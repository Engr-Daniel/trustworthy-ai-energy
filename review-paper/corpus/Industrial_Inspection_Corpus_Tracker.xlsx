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0e4ddbf21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5eda9f228414b93"/>
    <x:sheet xmlns:r="http://schemas.openxmlformats.org/officeDocument/2006/relationships" name="Corpus" sheetId="2" r:id="R53119a48e2c84ad2"/>
    <x:sheet xmlns:r="http://schemas.openxmlformats.org/officeDocument/2006/relationships" name="Screening" sheetId="3" r:id="Rea8ef3daffc64e38"/>
    <x:sheet xmlns:r="http://schemas.openxmlformats.org/officeDocument/2006/relationships" name="Identification" sheetId="4" r:id="Rf718a2f8fc8f4c7c"/>
    <x:sheet xmlns:r="http://schemas.openxmlformats.org/officeDocument/2006/relationships" name="Searches" sheetId="5" r:id="R96cce361b8894337"/>
    <x:sheet xmlns:r="http://schemas.openxmlformats.org/officeDocument/2006/relationships" name="Evidence matrix" sheetId="6" r:id="Raf218e9a19af43ac"/>
    <x:sheet xmlns:r="http://schemas.openxmlformats.org/officeDocument/2006/relationships" name="Synthesis" sheetId="7" r:id="Ra54cbfe63f334a16"/>
    <x:sheet xmlns:r="http://schemas.openxmlformats.org/officeDocument/2006/relationships" name="Data audit" sheetId="8" r:id="Rfeae27413e0742c6"/>
    <x:sheet xmlns:r="http://schemas.openxmlformats.org/officeDocument/2006/relationships" name="Decisions" sheetId="9" r:id="Rfaa20ec549df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7">
    <x:font>
      <x:sz val="11"/>
      <x:name val="Carlito"/>
    </x:font>
    <x:font>
      <x:b/>
      <x:sz val="14"/>
      <x:name val="Arial"/>
    </x:font>
    <x:font>
      <x:i/>
      <x:sz val="10"/>
      <x:color rgb="FF555555"/>
      <x:name val="Arial"/>
    </x:font>
    <x:font>
      <x:sz val="11"/>
      <x:color rgb="FF111111"/>
      <x:name val="Arial"/>
    </x:font>
    <x:font>
      <x:b/>
      <x:sz val="11"/>
      <x:color rgb="FF111111"/>
      <x:name val="Arial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CEF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52dc744944b07" /><Relationship Type="http://schemas.openxmlformats.org/officeDocument/2006/relationships/theme" Target="/xl/theme/theme1.xml" Id="R1d328e8eafb648b2" /><Relationship Type="http://schemas.openxmlformats.org/officeDocument/2006/relationships/sharedStrings" Target="/xl/sharedStrings.xml" Id="R3e872004af1a4070" /><Relationship Type="http://schemas.openxmlformats.org/officeDocument/2006/relationships/worksheet" Target="/xl/worksheets/sheet1.xml" Id="R65eda9f228414b93" /><Relationship Type="http://schemas.openxmlformats.org/officeDocument/2006/relationships/worksheet" Target="/xl/worksheets/sheet2.xml" Id="R53119a48e2c84ad2" /><Relationship Type="http://schemas.openxmlformats.org/officeDocument/2006/relationships/worksheet" Target="/xl/worksheets/sheet3.xml" Id="Rea8ef3daffc64e38" /><Relationship Type="http://schemas.openxmlformats.org/officeDocument/2006/relationships/worksheet" Target="/xl/worksheets/sheet4.xml" Id="Rf718a2f8fc8f4c7c" /><Relationship Type="http://schemas.openxmlformats.org/officeDocument/2006/relationships/worksheet" Target="/xl/worksheets/sheet5.xml" Id="R96cce361b8894337" /><Relationship Type="http://schemas.openxmlformats.org/officeDocument/2006/relationships/worksheet" Target="/xl/worksheets/sheet6.xml" Id="Raf218e9a19af43ac" /><Relationship Type="http://schemas.openxmlformats.org/officeDocument/2006/relationships/worksheet" Target="/xl/worksheets/sheet7.xml" Id="Ra54cbfe63f334a16" /><Relationship Type="http://schemas.openxmlformats.org/officeDocument/2006/relationships/worksheet" Target="/xl/worksheets/sheet8.xml" Id="Rfeae27413e0742c6" /><Relationship Type="http://schemas.openxmlformats.org/officeDocument/2006/relationships/worksheet" Target="/xl/worksheets/sheet9.xml" Id="Rfaa20ec549df4dc0" /></Relationships>
</file>

<file path=xl/tables/table1.xml><?xml version="1.0" encoding="utf-8"?>
<x:table xmlns:x="http://schemas.openxmlformats.org/spreadsheetml/2006/main" id="1" name="CorpusRecords" displayName="CorpusRecords" ref="A7:AN237" headerRowCount="1" totalsRowCount="0" totalsRowShown="0">
  <x:autoFilter ref="A7:AN237"/>
  <x:tableColumns count="40">
    <x:tableColumn id="1" name="Paper ID"/>
    <x:tableColumn id="2" name="Cluster ID"/>
    <x:tableColumn id="3" name="Cluster"/>
    <x:tableColumn id="4" name="Secondary Cluster"/>
    <x:tableColumn id="5" name="Pillar"/>
    <x:tableColumn id="6" name="Full Authors"/>
    <x:tableColumn id="7" name="First Author"/>
    <x:tableColumn id="8" name="Year"/>
    <x:tableColumn id="9" name="Full Title"/>
    <x:tableColumn id="10" name="Venue / Journal"/>
    <x:tableColumn id="11" name="DOI"/>
    <x:tableColumn id="12" name="arXiv ID"/>
    <x:tableColumn id="13" name="Publisher URL"/>
    <x:tableColumn id="14" name="URL (Paper Access)"/>
    <x:tableColumn id="15" name="Modality"/>
    <x:tableColumn id="16" name="Task"/>
    <x:tableColumn id="17" name="Shift Type"/>
    <x:tableColumn id="18" name="Dataset / Benchmark"/>
    <x:tableColumn id="19" name="Method Family"/>
    <x:tableColumn id="20" name="Paper Type"/>
    <x:tableColumn id="21" name="Evidence Type Rationale (keywords)"/>
    <x:tableColumn id="22" name="Method Family Assignment Rationale (if ambiguous)"/>
    <x:tableColumn id="23" name="Evaluation Type"/>
    <x:tableColumn id="24" name="Inclusion Rationale"/>
    <x:tableColumn id="25" name="BibTeX Key"/>
    <x:tableColumn id="26" name="BibTeX Status"/>
    <x:tableColumn id="27" name="Cited in Main Text?"/>
    <x:tableColumn id="28" name="Citation Verified?"/>
    <x:tableColumn id="29" name="Accessible?"/>
    <x:tableColumn id="30" name="Status"/>
    <x:tableColumn id="31" name="Study ID"/>
    <x:tableColumn id="32" name="Search IDs"/>
    <x:tableColumn id="33" name="Source Platform"/>
    <x:tableColumn id="34" name="Publication Status"/>
    <x:tableColumn id="35" name="Reading Stage"/>
    <x:tableColumn id="36" name="Metadata Status"/>
    <x:tableColumn id="37" name="Record Type"/>
    <x:tableColumn id="38" name="Automated Queue"/>
    <x:tableColumn id="39" name="Evidence Locator"/>
    <x:tableColumn id="40" name="Last Checke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creeningRecords" displayName="ScreeningRecords" ref="A7:Y367" headerRowCount="1" totalsRowCount="0" totalsRowShown="0">
  <x:autoFilter ref="A7:Y367"/>
  <x:tableColumns count="25">
    <x:tableColumn id="1" name="Paper ID"/>
    <x:tableColumn id="2" name="Full Title"/>
    <x:tableColumn id="3" name="DOI"/>
    <x:tableColumn id="4" name="arXiv ID"/>
    <x:tableColumn id="5" name="Record Type"/>
    <x:tableColumn id="6" name="Source / Search IDs"/>
    <x:tableColumn id="7" name="Queue"/>
    <x:tableColumn id="8" name="Reviewer 1"/>
    <x:tableColumn id="9" name="TA Decision R1"/>
    <x:tableColumn id="10" name="Reviewer 2"/>
    <x:tableColumn id="11" name="TA Decision R2"/>
    <x:tableColumn id="12" name="TA Final"/>
    <x:tableColumn id="13" name="TA Reason Code"/>
    <x:tableColumn id="14" name="Full text sought?"/>
    <x:tableColumn id="15" name="Retrieval Result"/>
    <x:tableColumn id="16" name="FT Decision R1"/>
    <x:tableColumn id="17" name="FT Decision R2"/>
    <x:tableColumn id="18" name="FT Final"/>
    <x:tableColumn id="19" name="FT Exclusion Code"/>
    <x:tableColumn id="20" name="Decision Rationale"/>
    <x:tableColumn id="21" name="Decision Date"/>
    <x:tableColumn id="22" name="Adjudicator"/>
    <x:tableColumn id="23" name="Study ID"/>
    <x:tableColumn id="24" name="Included in synthesis?"/>
    <x:tableColumn id="25" name="Decision Integrity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IdentificationRecords" displayName="IdentificationRecords" ref="A7:J440" headerRowCount="1" totalsRowCount="0" totalsRowShown="0">
  <x:autoFilter ref="A7:J440"/>
  <x:tableColumns count="10">
    <x:tableColumn id="1" name="Event ID"/>
    <x:tableColumn id="2" name="Paper ID"/>
    <x:tableColumn id="3" name="Source"/>
    <x:tableColumn id="4" name="Run ID"/>
    <x:tableColumn id="5" name="Search ID"/>
    <x:tableColumn id="6" name="Rank"/>
    <x:tableColumn id="7" name="DOI"/>
    <x:tableColumn id="8" name="Duplicate of"/>
    <x:tableColumn id="9" name="Repeated identity flag"/>
    <x:tableColumn id="10" name="Titl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earchesRecords" displayName="SearchesRecords" ref="A7:P26" headerRowCount="1" totalsRowCount="0" totalsRowShown="0">
  <x:autoFilter ref="A7:P26"/>
  <x:tableColumns count="16">
    <x:tableColumn id="1" name="Run ID"/>
    <x:tableColumn id="2" name="Search ID"/>
    <x:tableColumn id="3" name="Source/platform"/>
    <x:tableColumn id="4" name="Search purpose"/>
    <x:tableColumn id="5" name="Exact query"/>
    <x:tableColumn id="6" name="Field"/>
    <x:tableColumn id="7" name="Filters"/>
    <x:tableColumn id="8" name="Run status"/>
    <x:tableColumn id="9" name="Returned records"/>
    <x:tableColumn id="10" name="API fuzzy hit count"/>
    <x:tableColumn id="11" name="Capture limit"/>
    <x:tableColumn id="12" name="Pagination"/>
    <x:tableColumn id="13" name="Search time UTC"/>
    <x:tableColumn id="14" name="Raw file"/>
    <x:tableColumn id="15" name="SHA256"/>
    <x:tableColumn id="16" name="Not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EvidencematrixRecords" displayName="EvidencematrixRecords" ref="A7:U237" headerRowCount="1" totalsRowCount="0" totalsRowShown="0">
  <x:autoFilter ref="A7:U237"/>
  <x:tableColumns count="21">
    <x:tableColumn id="1" name="Paper ID"/>
    <x:tableColumn id="2" name="Extraction status"/>
    <x:tableColumn id="3" name="Asset / setting"/>
    <x:tableColumn id="4" name="Modality"/>
    <x:tableColumn id="5" name="Task"/>
    <x:tableColumn id="6" name="Shift / challenge"/>
    <x:tableColumn id="7" name="Dataset / benchmark"/>
    <x:tableColumn id="8" name="Method family"/>
    <x:tableColumn id="9" name="Training data"/>
    <x:tableColumn id="10" name="Tuning / calibration data"/>
    <x:tableColumn id="11" name="Target data access"/>
    <x:tableColumn id="12" name="Evaluation unit"/>
    <x:tableColumn id="13" name="Metrics / risk definition"/>
    <x:tableColumn id="14" name="Threshold / referral policy"/>
    <x:tableColumn id="15" name="Review workload"/>
    <x:tableColumn id="16" name="Uncertainty / statistics"/>
    <x:tableColumn id="17" name="Validation maturity"/>
    <x:tableColumn id="18" name="Key evidence"/>
    <x:tableColumn id="19" name="Evidence locator"/>
    <x:tableColumn id="20" name="Extractor"/>
    <x:tableColumn id="21" name="Checked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SynthesisRecords" displayName="SynthesisRecords" ref="A7:E14" headerRowCount="1" totalsRowCount="0" totalsRowShown="0">
  <x:autoFilter ref="A7:E14"/>
  <x:tableColumns count="5">
    <x:tableColumn id="1" name="Prompt"/>
    <x:tableColumn id="2" name="Current position"/>
    <x:tableColumn id="3" name="Evidence IDs"/>
    <x:tableColumn id="4" name="Confidence / status"/>
    <x:tableColumn id="5" name="Next step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DataauditRecords" displayName="DataauditRecords" ref="A7:L13" headerRowCount="1" totalsRowCount="0" totalsRowShown="0">
  <x:autoFilter ref="A7:L13"/>
  <x:tableColumns count="12">
    <x:tableColumn id="1" name="ID"/>
    <x:tableColumn id="2" name="Dataset"/>
    <x:tableColumn id="3" name="Asset"/>
    <x:tableColumn id="4" name="Data origin"/>
    <x:tableColumn id="5" name="Image count"/>
    <x:tableColumn id="6" name="Labels and split"/>
    <x:tableColumn id="7" name="Domain information"/>
    <x:tableColumn id="8" name="Dataset terms"/>
    <x:tableColumn id="9" name="Audit stage"/>
    <x:tableColumn id="10" name="Pending action"/>
    <x:tableColumn id="11" name="Primary source URL"/>
    <x:tableColumn id="12" name="Checked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DecisionsRecords" displayName="DecisionsRecords" ref="A7:G24" headerRowCount="1" totalsRowCount="0" totalsRowShown="0">
  <x:autoFilter ref="A7:G24"/>
  <x:tableColumns count="7">
    <x:tableColumn id="1" name="ID"/>
    <x:tableColumn id="2" name="Decision"/>
    <x:tableColumn id="3" name="Decision type"/>
    <x:tableColumn id="4" name="Evidence or trigger"/>
    <x:tableColumn id="5" name="Reason or next action"/>
    <x:tableColumn id="6" name="Status"/>
    <x:tableColumn id="7" name="Decision da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723ae07a804a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d75256b0e041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ef643a49744c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332543316548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84daf4083b4b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5c735bc7d849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5fcc3acec04b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5a5a3644ce4b5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30" hidden="0" customWidth="1"/>
    <x:col min="3" max="3" width="58" hidden="0" customWidth="1"/>
    <x:col min="4" max="4" width="38" hidden="0" customWidth="1"/>
  </x:cols>
  <x:sheetData>
    <x:row r="2">
      <x:c r="A2" s="1" t="str">
        <x:v>Scoping status</x:v>
      </x:c>
    </x:row>
    <x:row r="4">
      <x:c r="A4" t="str">
        <x:v>Pilot identification completed; formal screening has not started.</x:v>
      </x:c>
    </x:row>
    <x:row r="6" ht="42" customHeight="1">
      <x:c r="A6" s="14" t="str">
        <x:v>Measure</x:v>
      </x:c>
      <x:c r="B6" s="14" t="str">
        <x:v>Count</x:v>
      </x:c>
      <x:c r="C6" s="14" t="str">
        <x:v>Meaning</x:v>
      </x:c>
      <x:c r="D6" s="14" t="str">
        <x:v>Source</x:v>
      </x:c>
    </x:row>
    <x:row r="7" ht="42" customHeight="1">
      <x:c r="A7" s="12" t="str">
        <x:v>Captured occurrences</x:v>
      </x:c>
      <x:c r="B7" s="12" t="n">
        <x:f>COUNTA('Identification'!A8:A2000)</x:f>
        <x:v>433</x:v>
      </x:c>
      <x:c r="C7" s="12" t="str">
        <x:v>Returned pilot records plus seed occurrences</x:v>
      </x:c>
      <x:c r="D7" s="12" t="str">
        <x:v>Identification ledger</x:v>
      </x:c>
    </x:row>
    <x:row r="8" ht="42" customHeight="1">
      <x:c r="A8" s="12" t="str">
        <x:v>Duplicate occurrences</x:v>
      </x:c>
      <x:c r="B8" s="12" t="n">
        <x:f>SUM('Identification'!I8:I2000)</x:f>
        <x:v>73</x:v>
      </x:c>
      <x:c r="C8" s="12" t="str">
        <x:v>Persistent-identity repeats; not study-version linkage</x:v>
      </x:c>
      <x:c r="D8" s="12" t="str">
        <x:v>Deduplication log</x:v>
      </x:c>
    </x:row>
    <x:row r="9" ht="42" customHeight="1">
      <x:c r="A9" s="12" t="str">
        <x:v>Unique report records</x:v>
      </x:c>
      <x:c r="B9" s="12" t="n">
        <x:f>COUNTA('Screening'!A8:A2000)</x:f>
        <x:v>360</x:v>
      </x:c>
      <x:c r="C9" s="12" t="str">
        <x:v>Reports waiting for eligibility assessment</x:v>
      </x:c>
      <x:c r="D9" s="12" t="str">
        <x:v>Screening ledger</x:v>
      </x:c>
    </x:row>
    <x:row r="10" ht="42" customHeight="1">
      <x:c r="A10" s="12" t="str">
        <x:v>Reading-queue records</x:v>
      </x:c>
      <x:c r="B10" s="12" t="n">
        <x:f>COUNTA('Corpus'!A8:A2000)</x:f>
        <x:v>230</x:v>
      </x:c>
      <x:c r="C10" s="12" t="str">
        <x:v>Prioritised records, including supporting methodology</x:v>
      </x:c>
      <x:c r="D10" s="12" t="str">
        <x:v>Corpus table</x:v>
      </x:c>
    </x:row>
    <x:row r="11" ht="42" customHeight="1">
      <x:c r="A11" s="12" t="str">
        <x:v>Title/abstract decisions</x:v>
      </x:c>
      <x:c r="B11" s="12" t="n">
        <x:f>COUNTIFS('Screening'!L8:L2000,"Include")+COUNTIFS('Screening'!L8:L2000,"Exclude")</x:f>
        <x:v>0</x:v>
      </x:c>
      <x:c r="C11" s="12" t="str">
        <x:v>Final human eligibility decisions recorded</x:v>
      </x:c>
      <x:c r="D11" s="12" t="str">
        <x:v>Screening ledger</x:v>
      </x:c>
    </x:row>
    <x:row r="12" ht="42" customHeight="1">
      <x:c r="A12" s="12" t="str">
        <x:v>Full-text decisions</x:v>
      </x:c>
      <x:c r="B12" s="12" t="n">
        <x:f>COUNTIFS('Screening'!R8:R2000,"Include")+COUNTIFS('Screening'!R8:R2000,"Exclude")</x:f>
        <x:v>0</x:v>
      </x:c>
      <x:c r="C12" s="12" t="str">
        <x:v>Final full-text decisions recorded</x:v>
      </x:c>
      <x:c r="D12" s="12" t="str">
        <x:v>Screening ledger</x:v>
      </x:c>
    </x:row>
    <x:row r="13" ht="42" customHeight="1">
      <x:c r="A13" s="12" t="str">
        <x:v>Included in synthesis</x:v>
      </x:c>
      <x:c r="B13" s="12" t="n">
        <x:f>COUNTIFS('Screening'!X8:X2000,"Yes")</x:f>
        <x:v>0</x:v>
      </x:c>
      <x:c r="C13" s="12" t="str">
        <x:v>Final included reports; zero is pending work</x:v>
      </x:c>
      <x:c r="D13" s="12" t="str">
        <x:v>Screening ledger</x:v>
      </x:c>
    </x:row>
    <x:row r="14" ht="42" customHeight="1">
      <x:c r="A14" s="12" t="str">
        <x:v>Pilot section extracts</x:v>
      </x:c>
      <x:c r="B14" s="12" t="n">
        <x:f>COUNTIFS('Evidence matrix'!B8:B1000,"Pilot section extraction")</x:f>
        <x:v>6</x:v>
      </x:c>
      <x:c r="C14" s="12" t="str">
        <x:v>Selected-section extraction; human audit pending</x:v>
      </x:c>
      <x:c r="D14" s="12" t="str">
        <x:v>Evidence matrix</x:v>
      </x:c>
    </x:row>
    <x:row r="15" ht="42" customHeight="1">
      <x:c r="A15" s="12"/>
      <x:c r="B15" s="12"/>
      <x:c r="C15" s="12"/>
      <x:c r="D15" s="12"/>
    </x:row>
    <x:row r="16" ht="42" customHeight="1">
      <x:c r="A16" s="12"/>
      <x:c r="B16" s="12"/>
      <x:c r="C16" s="12"/>
      <x:c r="D16" s="12"/>
    </x:row>
    <x:row r="17" ht="42" customHeight="1">
      <x:c r="A17" s="12" t="str">
        <x:v>Review design</x:v>
      </x:c>
      <x:c r="B17" s="12" t="str">
        <x:v>Systematic scoping review</x:v>
      </x:c>
      <x:c r="C17" s="12" t="str">
        <x:v>Reporting: PRISMA-ScR and PRISMA-S</x:v>
      </x:c>
      <x:c r="D17" s="12" t="str">
        <x:v>Conduct: JBI</x:v>
      </x:c>
    </x:row>
    <x:row r="18" ht="42" customHeight="1">
      <x:c r="A18" s="12" t="str">
        <x:v>Search coverage</x:v>
      </x:c>
      <x:c r="B18" s="12" t="str">
        <x:v>16 Crossref families; capped at 25 each</x:v>
      </x:c>
      <x:c r="C18" s="12" t="str">
        <x:v>No subject-database export yet</x:v>
      </x:c>
      <x:c r="D18" s="12" t="str">
        <x:v>Cutoff 13 October 2026</x:v>
      </x:c>
    </x:row>
    <x:row r="19" ht="42" customHeight="1">
      <x:c r="A19" s="12" t="str">
        <x:v>Taxonomy</x:v>
      </x:c>
      <x:c r="B19" s="12" t="str">
        <x:v>Unassigned</x:v>
      </x:c>
      <x:c r="C19" s="12" t="str">
        <x:v>Develop after pilot charting</x:v>
      </x:c>
      <x:c r="D19" s="12" t="str">
        <x:v>Not search-keyword labels</x:v>
      </x:c>
    </x:row>
    <x:row r="20" ht="42" customHeight="1">
      <x:c r="A20" s="12" t="str">
        <x:v>Human reviewers</x:v>
      </x:c>
      <x:c r="B20" s="12" t="str">
        <x:v>Not appointed</x:v>
      </x:c>
      <x:c r="C20" s="12" t="str">
        <x:v>AI-assisted triage is not independent dual review</x:v>
      </x:c>
      <x:c r="D20" s="12" t="str">
        <x:v>Screening pending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48" hidden="0" customWidth="1"/>
    <x:col min="7" max="7" width="28" hidden="0" customWidth="1"/>
    <x:col min="8" max="8" width="10" hidden="0" customWidth="1"/>
    <x:col min="9" max="9" width="58" hidden="0" customWidth="1"/>
    <x:col min="10" max="10" width="28" hidden="0" customWidth="1"/>
    <x:col min="11" max="11" width="28" hidden="0" customWidth="1"/>
    <x:col min="12" max="12" width="18" hidden="0" customWidth="1"/>
    <x:col min="13" max="13" width="48" hidden="0" customWidth="1"/>
    <x:col min="14" max="14" width="4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2" hidden="0" customWidth="1"/>
    <x:col min="22" max="22" width="42" hidden="0" customWidth="1"/>
    <x:col min="23" max="23" width="28" hidden="0" customWidth="1"/>
    <x:col min="24" max="24" width="42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18" hidden="0" customWidth="1"/>
    <x:col min="32" max="32" width="1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48" hidden="0" customWidth="1"/>
    <x:col min="40" max="40" width="28" hidden="0" customWidth="1"/>
  </x:cols>
  <x:sheetData>
    <x:row r="2">
      <x:c r="A2" s="1" t="str">
        <x:v>Corpus</x:v>
      </x:c>
    </x:row>
    <x:row r="4">
      <x:c r="A4" s="2" t="str">
        <x:v>Reading queue. These records are not yet included studies. Clusters and pillars await charting.</x:v>
      </x:c>
    </x:row>
    <x:row r="7" ht="46" customHeight="1">
      <x:c r="A7" s="7" t="str">
        <x:v>Paper ID</x:v>
      </x:c>
      <x:c r="B7" s="7" t="str">
        <x:v>Cluster ID</x:v>
      </x:c>
      <x:c r="C7" s="7" t="str">
        <x:v>Cluster</x:v>
      </x:c>
      <x:c r="D7" s="7" t="str">
        <x:v>Secondary Cluster</x:v>
      </x:c>
      <x:c r="E7" s="7" t="str">
        <x:v>Pillar</x:v>
      </x:c>
      <x:c r="F7" s="7" t="str">
        <x:v>Full Authors</x:v>
      </x:c>
      <x:c r="G7" s="7" t="str">
        <x:v>First Author</x:v>
      </x:c>
      <x:c r="H7" s="7" t="str">
        <x:v>Year</x:v>
      </x:c>
      <x:c r="I7" s="7" t="str">
        <x:v>Full Title</x:v>
      </x:c>
      <x:c r="J7" s="7" t="str">
        <x:v>Venue / Journal</x:v>
      </x:c>
      <x:c r="K7" s="7" t="str">
        <x:v>DOI</x:v>
      </x:c>
      <x:c r="L7" s="7" t="str">
        <x:v>arXiv ID</x:v>
      </x:c>
      <x:c r="M7" s="7" t="str">
        <x:v>Publisher URL</x:v>
      </x:c>
      <x:c r="N7" s="7" t="str">
        <x:v>URL (Paper Access)</x:v>
      </x:c>
      <x:c r="O7" s="7" t="str">
        <x:v>Modality</x:v>
      </x:c>
      <x:c r="P7" s="7" t="str">
        <x:v>Task</x:v>
      </x:c>
      <x:c r="Q7" s="7" t="str">
        <x:v>Shift Type</x:v>
      </x:c>
      <x:c r="R7" s="7" t="str">
        <x:v>Dataset / Benchmark</x:v>
      </x:c>
      <x:c r="S7" s="7" t="str">
        <x:v>Method Family</x:v>
      </x:c>
      <x:c r="T7" s="7" t="str">
        <x:v>Paper Type</x:v>
      </x:c>
      <x:c r="U7" s="7" t="str">
        <x:v>Evidence Type Rationale (keywords)</x:v>
      </x:c>
      <x:c r="V7" s="7" t="str">
        <x:v>Method Family Assignment Rationale (if ambiguous)</x:v>
      </x:c>
      <x:c r="W7" s="7" t="str">
        <x:v>Evaluation Type</x:v>
      </x:c>
      <x:c r="X7" s="7" t="str">
        <x:v>Inclusion Rationale</x:v>
      </x:c>
      <x:c r="Y7" s="7" t="str">
        <x:v>BibTeX Key</x:v>
      </x:c>
      <x:c r="Z7" s="7" t="str">
        <x:v>BibTeX Status</x:v>
      </x:c>
      <x:c r="AA7" s="7" t="str">
        <x:v>Cited in Main Text?</x:v>
      </x:c>
      <x:c r="AB7" s="7" t="str">
        <x:v>Citation Verified?</x:v>
      </x:c>
      <x:c r="AC7" s="7" t="str">
        <x:v>Accessible?</x:v>
      </x:c>
      <x:c r="AD7" s="7" t="str">
        <x:v>Status</x:v>
      </x:c>
      <x:c r="AE7" s="7" t="str">
        <x:v>Study ID</x:v>
      </x:c>
      <x:c r="AF7" s="7" t="str">
        <x:v>Search IDs</x:v>
      </x:c>
      <x:c r="AG7" s="7" t="str">
        <x:v>Source Platform</x:v>
      </x:c>
      <x:c r="AH7" s="7" t="str">
        <x:v>Publication Status</x:v>
      </x:c>
      <x:c r="AI7" s="7" t="str">
        <x:v>Reading Stage</x:v>
      </x:c>
      <x:c r="AJ7" s="7" t="str">
        <x:v>Metadata Status</x:v>
      </x:c>
      <x:c r="AK7" s="7" t="str">
        <x:v>Record Type</x:v>
      </x:c>
      <x:c r="AL7" s="7" t="str">
        <x:v>Automated Queue</x:v>
      </x:c>
      <x:c r="AM7" s="7" t="str">
        <x:v>Evidence Locator</x:v>
      </x:c>
      <x:c r="AN7" s="7" t="str">
        <x:v>Last Checked</x:v>
      </x:c>
    </x:row>
    <x:row r="8" ht="53" customHeight="1">
      <x:c r="A8" s="5" t="str">
        <x:v>B01</x:v>
      </x:c>
      <x:c r="B8" s="5" t="str">
        <x:v>Unassigned</x:v>
      </x:c>
      <x:c r="C8" s="5" t="str">
        <x:v>Unassigned</x:v>
      </x:c>
      <x:c r="D8" s="5" t="str">
        <x:v>Unassigned</x:v>
      </x:c>
      <x:c r="E8" s="5" t="str">
        <x:v>Unassigned</x:v>
      </x:c>
      <x:c r="F8" s="5" t="str">
        <x:v>Paul Bergmann; Michael Fauser; David Sattlegger; Carsten Steger</x:v>
      </x:c>
      <x:c r="G8" s="5" t="str">
        <x:v>Paul Bergmann</x:v>
      </x:c>
      <x:c r="H8" s="5" t="n">
        <x:v>2019</x:v>
      </x:c>
      <x:c r="I8" s="5" t="str">
        <x:v>MVTec AD — A Comprehensive Real-World Dataset for Unsupervised Anomaly Detection</x:v>
      </x:c>
      <x:c r="J8" s="5" t="str">
        <x:v>2019 IEEE/CVF Conference on Computer Vision and Pattern Recognition (CVPR)</x:v>
      </x:c>
      <x:c r="K8" s="5" t="str">
        <x:v>10.1109/cvpr.2019.00982</x:v>
      </x:c>
      <x:c r="L8" s="5" t="str"/>
      <x:c r="M8" s="5" t="str">
        <x:v>https://ieeexplore.ieee.org/document/8954181/</x:v>
      </x:c>
      <x:c r="N8" s="5" t="str">
        <x:v>https://doi.org/10.1109/cvpr.2019.00982</x:v>
      </x:c>
      <x:c r="O8" s="5" t="str">
        <x:v>Not extracted</x:v>
      </x:c>
      <x:c r="P8" s="5" t="str">
        <x:v>Not extracted</x:v>
      </x:c>
      <x:c r="Q8" s="5" t="str">
        <x:v>Not extracted</x:v>
      </x:c>
      <x:c r="R8" s="5" t="str">
        <x:v>Not extracted</x:v>
      </x:c>
      <x:c r="S8" s="5" t="str">
        <x:v>Unassigned</x:v>
      </x:c>
      <x:c r="T8" s="5" t="str">
        <x:v>Benchmark</x:v>
      </x:c>
      <x:c r="U8" s="5" t="str"/>
      <x:c r="V8" s="5" t="str"/>
      <x:c r="W8" s="5" t="str">
        <x:v>Not extracted</x:v>
      </x:c>
      <x:c r="X8" s="5" t="str">
        <x:v>Pending eligibility screening</x:v>
      </x:c>
      <x:c r="Y8" s="5" t="str">
        <x:v>bergmann2019_B01</x:v>
      </x:c>
      <x:c r="Z8" s="5" t="str">
        <x:v>Generated; needs verification</x:v>
      </x:c>
      <x:c r="AA8" s="5" t="str">
        <x:v>No manuscript yet</x:v>
      </x:c>
      <x:c r="AB8" s="5" t="str">
        <x:v>No</x:v>
      </x:c>
      <x:c r="AC8" s="5" t="str">
        <x:v>Not checked</x:v>
      </x:c>
      <x:c r="AD8" s="5" t="str">
        <x:v>Unscreened</x:v>
      </x:c>
      <x:c r="AE8" s="5" t="str">
        <x:v>Not linked</x:v>
      </x:c>
      <x:c r="AF8" s="5" t="str">
        <x:v>SEED</x:v>
      </x:c>
      <x:c r="AG8" s="5" t="str">
        <x:v>Seed metadata / primary source</x:v>
      </x:c>
      <x:c r="AH8" s="5" t="str">
        <x:v>Journal / conference record; peer review not audited</x:v>
      </x:c>
      <x:c r="AI8" s="5" t="str">
        <x:v>Metadata only</x:v>
      </x:c>
      <x:c r="AJ8" s="5" t="str">
        <x:v>Verified against deposited metadata; publisher citation check pending</x:v>
      </x:c>
      <x:c r="AK8" s="5" t="str">
        <x:v>proceedings-article</x:v>
      </x:c>
      <x:c r="AL8" s="5" t="str">
        <x:v>Seed priority</x:v>
      </x:c>
      <x:c r="AM8" s="5" t="str">
        <x:v>review-paper/search-strategy/runs/BASELINE-METADATA-20261013/B01.json</x:v>
      </x:c>
      <x:c r="AN8" s="8" t="d">
        <x:v>2026-10-13T00:00:00.000Z</x:v>
      </x:c>
    </x:row>
    <x:row r="9" ht="53" customHeight="1">
      <x:c r="A9" s="5" t="str">
        <x:v>B02</x:v>
      </x:c>
      <x:c r="B9" s="5" t="str">
        <x:v>Unassigned</x:v>
      </x:c>
      <x:c r="C9" s="5" t="str">
        <x:v>Unassigned</x:v>
      </x:c>
      <x:c r="D9" s="5" t="str">
        <x:v>Unassigned</x:v>
      </x:c>
      <x:c r="E9" s="5" t="str">
        <x:v>Unassigned</x:v>
      </x:c>
      <x:c r="F9" s="5" t="str">
        <x:v>Karsten Roth; Latha Pemula; Joaquin Zepeda; Bernhard Scholkopf; Thomas Brox; Peter Gehler</x:v>
      </x:c>
      <x:c r="G9" s="5" t="str">
        <x:v>Karsten Roth</x:v>
      </x:c>
      <x:c r="H9" s="5" t="n">
        <x:v>2022</x:v>
      </x:c>
      <x:c r="I9" s="5" t="str">
        <x:v>Towards Total Recall in Industrial Anomaly Detection</x:v>
      </x:c>
      <x:c r="J9" s="5" t="str">
        <x:v>2022 IEEE/CVF Conference on Computer Vision and Pattern Recognition (CVPR)</x:v>
      </x:c>
      <x:c r="K9" s="5" t="str">
        <x:v>10.1109/cvpr52688.2022.01392</x:v>
      </x:c>
      <x:c r="L9" s="5" t="str">
        <x:v>2106.08265</x:v>
      </x:c>
      <x:c r="M9" s="5" t="str">
        <x:v>https://ieeexplore.ieee.org/document/9879738/</x:v>
      </x:c>
      <x:c r="N9" s="5" t="str">
        <x:v>https://doi.org/10.1109/cvpr52688.2022.01392</x:v>
      </x:c>
      <x:c r="O9" s="5" t="str">
        <x:v>Not extracted</x:v>
      </x:c>
      <x:c r="P9" s="5" t="str">
        <x:v>Not extracted</x:v>
      </x:c>
      <x:c r="Q9" s="5" t="str">
        <x:v>Not extracted</x:v>
      </x:c>
      <x:c r="R9" s="5" t="str">
        <x:v>Not extracted</x:v>
      </x:c>
      <x:c r="S9" s="5" t="str">
        <x:v>Unassigned</x:v>
      </x:c>
      <x:c r="T9" s="5" t="str">
        <x:v>Original study</x:v>
      </x:c>
      <x:c r="U9" s="5" t="str"/>
      <x:c r="V9" s="5" t="str"/>
      <x:c r="W9" s="5" t="str">
        <x:v>Not extracted</x:v>
      </x:c>
      <x:c r="X9" s="5" t="str">
        <x:v>Pending eligibility screening</x:v>
      </x:c>
      <x:c r="Y9" s="5" t="str">
        <x:v>roth2022_B02</x:v>
      </x:c>
      <x:c r="Z9" s="5" t="str">
        <x:v>Generated; needs verification</x:v>
      </x:c>
      <x:c r="AA9" s="5" t="str">
        <x:v>No manuscript yet</x:v>
      </x:c>
      <x:c r="AB9" s="5" t="str">
        <x:v>No</x:v>
      </x:c>
      <x:c r="AC9" s="5" t="str">
        <x:v>Not checked</x:v>
      </x:c>
      <x:c r="AD9" s="5" t="str">
        <x:v>Unscreened</x:v>
      </x:c>
      <x:c r="AE9" s="5" t="str">
        <x:v>Not linked</x:v>
      </x:c>
      <x:c r="AF9" s="5" t="str">
        <x:v>SEED</x:v>
      </x:c>
      <x:c r="AG9" s="5" t="str">
        <x:v>Seed metadata / primary source</x:v>
      </x:c>
      <x:c r="AH9" s="5" t="str">
        <x:v>Journal / conference record; peer review not audited</x:v>
      </x:c>
      <x:c r="AI9" s="5" t="str">
        <x:v>Metadata only</x:v>
      </x:c>
      <x:c r="AJ9" s="5" t="str">
        <x:v>Verified against deposited metadata; publisher citation check pending</x:v>
      </x:c>
      <x:c r="AK9" s="5" t="str">
        <x:v>proceedings-article</x:v>
      </x:c>
      <x:c r="AL9" s="5" t="str">
        <x:v>Seed priority</x:v>
      </x:c>
      <x:c r="AM9" s="5" t="str">
        <x:v>review-paper/search-strategy/runs/BASELINE-METADATA-20261013/B02.json</x:v>
      </x:c>
      <x:c r="AN9" s="8" t="d">
        <x:v>2026-10-13T00:00:00.000Z</x:v>
      </x:c>
    </x:row>
    <x:row r="10" ht="53" customHeight="1">
      <x:c r="A10" s="5" t="str">
        <x:v>B03</x:v>
      </x:c>
      <x:c r="B10" s="5" t="str">
        <x:v>Unassigned</x:v>
      </x:c>
      <x:c r="C10" s="5" t="str">
        <x:v>Unassigned</x:v>
      </x:c>
      <x:c r="D10" s="5" t="str">
        <x:v>Unassigned</x:v>
      </x:c>
      <x:c r="E10" s="5" t="str">
        <x:v>Unassigned</x:v>
      </x:c>
      <x:c r="F10" s="5" t="str">
        <x:v>Qihang Zhou; Guansong Pang; Yu Tian; Shibo He; Jiming Chen</x:v>
      </x:c>
      <x:c r="G10" s="5" t="str">
        <x:v>Qihang Zhou</x:v>
      </x:c>
      <x:c r="H10" s="5" t="n">
        <x:v>2023</x:v>
      </x:c>
      <x:c r="I10" s="5" t="str">
        <x:v>AnomalyCLIP: Object-agnostic Prompt Learning for Zero-shot Anomaly Detection</x:v>
      </x:c>
      <x:c r="J10" s="5" t="str">
        <x:v>arXiv preprint</x:v>
      </x:c>
      <x:c r="K10" s="5" t="str"/>
      <x:c r="L10" s="5" t="str">
        <x:v>2310.18961</x:v>
      </x:c>
      <x:c r="M10" s="5" t="str">
        <x:v>http://arxiv.org/abs/2310.18961v12</x:v>
      </x:c>
      <x:c r="N10" s="5" t="str">
        <x:v>http://arxiv.org/abs/2310.18961v12</x:v>
      </x:c>
      <x:c r="O10" s="5" t="str">
        <x:v>Not extracted</x:v>
      </x:c>
      <x:c r="P10" s="5" t="str">
        <x:v>Not extracted</x:v>
      </x:c>
      <x:c r="Q10" s="5" t="str">
        <x:v>Not extracted</x:v>
      </x:c>
      <x:c r="R10" s="5" t="str">
        <x:v>Not extracted</x:v>
      </x:c>
      <x:c r="S10" s="5" t="str">
        <x:v>Unassigned</x:v>
      </x:c>
      <x:c r="T10" s="5" t="str">
        <x:v>Original study</x:v>
      </x:c>
      <x:c r="U10" s="5" t="str"/>
      <x:c r="V10" s="5" t="str"/>
      <x:c r="W10" s="5" t="str">
        <x:v>Not extracted</x:v>
      </x:c>
      <x:c r="X10" s="5" t="str">
        <x:v>Pending eligibility screening</x:v>
      </x:c>
      <x:c r="Y10" s="5" t="str">
        <x:v>zhou2023_B03</x:v>
      </x:c>
      <x:c r="Z10" s="5" t="str">
        <x:v>Generated; needs verification</x:v>
      </x:c>
      <x:c r="AA10" s="5" t="str">
        <x:v>No manuscript yet</x:v>
      </x:c>
      <x:c r="AB10" s="5" t="str">
        <x:v>No</x:v>
      </x:c>
      <x:c r="AC10" s="5" t="str">
        <x:v>Not checked</x:v>
      </x:c>
      <x:c r="AD10" s="5" t="str">
        <x:v>Unscreened</x:v>
      </x:c>
      <x:c r="AE10" s="5" t="str">
        <x:v>Not linked</x:v>
      </x:c>
      <x:c r="AF10" s="5" t="str">
        <x:v>SEED</x:v>
      </x:c>
      <x:c r="AG10" s="5" t="str">
        <x:v>Seed metadata / primary source</x:v>
      </x:c>
      <x:c r="AH10" s="5" t="str">
        <x:v>Preprint / repository record</x:v>
      </x:c>
      <x:c r="AI10" s="5" t="str">
        <x:v>Metadata only</x:v>
      </x:c>
      <x:c r="AJ10" s="5" t="str">
        <x:v>Verified against arXiv metadata; publication linkage pending</x:v>
      </x:c>
      <x:c r="AK10" s="5" t="str">
        <x:v>arxiv-preprint</x:v>
      </x:c>
      <x:c r="AL10" s="5" t="str">
        <x:v>Seed priority</x:v>
      </x:c>
      <x:c r="AM10" s="5" t="str">
        <x:v>review-paper/search-strategy/runs/BASELINE-METADATA-20261013/B03.xml</x:v>
      </x:c>
      <x:c r="AN10" s="8" t="d">
        <x:v>2026-10-13T00:00:00.000Z</x:v>
      </x:c>
    </x:row>
    <x:row r="11" ht="53" customHeight="1">
      <x:c r="A11" s="5" t="str">
        <x:v>B04</x:v>
      </x:c>
      <x:c r="B11" s="5" t="str">
        <x:v>Unassigned</x:v>
      </x:c>
      <x:c r="C11" s="5" t="str">
        <x:v>Unassigned</x:v>
      </x:c>
      <x:c r="D11" s="5" t="str">
        <x:v>Unassigned</x:v>
      </x:c>
      <x:c r="E11" s="5" t="str">
        <x:v>Unassigned</x:v>
      </x:c>
      <x:c r="F11" s="5" t="str">
        <x:v>Thomas Defard; Aleksandr Setkov; Angelique Loesch; Romaric Audigier</x:v>
      </x:c>
      <x:c r="G11" s="5" t="str">
        <x:v>Thomas Defard</x:v>
      </x:c>
      <x:c r="H11" s="5" t="n">
        <x:v>2020</x:v>
      </x:c>
      <x:c r="I11" s="5" t="str">
        <x:v>PaDiM: a Patch Distribution Modeling Framework for Anomaly Detection and Localization</x:v>
      </x:c>
      <x:c r="J11" s="5" t="str">
        <x:v>arXiv preprint</x:v>
      </x:c>
      <x:c r="K11" s="5" t="str"/>
      <x:c r="L11" s="5" t="str">
        <x:v>2011.08785</x:v>
      </x:c>
      <x:c r="M11" s="5" t="str">
        <x:v>http://arxiv.org/abs/2011.08785v1</x:v>
      </x:c>
      <x:c r="N11" s="5" t="str">
        <x:v>http://arxiv.org/abs/2011.08785v1</x:v>
      </x:c>
      <x:c r="O11" s="5" t="str">
        <x:v>Not extracted</x:v>
      </x:c>
      <x:c r="P11" s="5" t="str">
        <x:v>Not extracted</x:v>
      </x:c>
      <x:c r="Q11" s="5" t="str">
        <x:v>Not extracted</x:v>
      </x:c>
      <x:c r="R11" s="5" t="str">
        <x:v>Not extracted</x:v>
      </x:c>
      <x:c r="S11" s="5" t="str">
        <x:v>Unassigned</x:v>
      </x:c>
      <x:c r="T11" s="5" t="str">
        <x:v>Original study</x:v>
      </x:c>
      <x:c r="U11" s="5" t="str"/>
      <x:c r="V11" s="5" t="str"/>
      <x:c r="W11" s="5" t="str">
        <x:v>Not extracted</x:v>
      </x:c>
      <x:c r="X11" s="5" t="str">
        <x:v>Pending eligibility screening</x:v>
      </x:c>
      <x:c r="Y11" s="5" t="str">
        <x:v>defard2020_B04</x:v>
      </x:c>
      <x:c r="Z11" s="5" t="str">
        <x:v>Generated; needs verification</x:v>
      </x:c>
      <x:c r="AA11" s="5" t="str">
        <x:v>No manuscript yet</x:v>
      </x:c>
      <x:c r="AB11" s="5" t="str">
        <x:v>No</x:v>
      </x:c>
      <x:c r="AC11" s="5" t="str">
        <x:v>Not checked</x:v>
      </x:c>
      <x:c r="AD11" s="5" t="str">
        <x:v>Unscreened</x:v>
      </x:c>
      <x:c r="AE11" s="5" t="str">
        <x:v>Not linked</x:v>
      </x:c>
      <x:c r="AF11" s="5" t="str">
        <x:v>SEED</x:v>
      </x:c>
      <x:c r="AG11" s="5" t="str">
        <x:v>Seed metadata / primary source</x:v>
      </x:c>
      <x:c r="AH11" s="5" t="str">
        <x:v>Preprint / repository record</x:v>
      </x:c>
      <x:c r="AI11" s="5" t="str">
        <x:v>Metadata only</x:v>
      </x:c>
      <x:c r="AJ11" s="5" t="str">
        <x:v>Verified against arXiv metadata; publication linkage pending</x:v>
      </x:c>
      <x:c r="AK11" s="5" t="str">
        <x:v>arxiv-preprint</x:v>
      </x:c>
      <x:c r="AL11" s="5" t="str">
        <x:v>Seed priority</x:v>
      </x:c>
      <x:c r="AM11" s="5" t="str">
        <x:v>review-paper/search-strategy/runs/BASELINE-METADATA-20261013/B04.xml</x:v>
      </x:c>
      <x:c r="AN11" s="8" t="d">
        <x:v>2026-10-13T00:00:00.000Z</x:v>
      </x:c>
    </x:row>
    <x:row r="12" ht="68" customHeight="1">
      <x:c r="A12" s="5" t="str">
        <x:v>B05</x:v>
      </x:c>
      <x:c r="B12" s="5" t="str">
        <x:v>Unassigned</x:v>
      </x:c>
      <x:c r="C12" s="5" t="str">
        <x:v>Unassigned</x:v>
      </x:c>
      <x:c r="D12" s="5" t="str">
        <x:v>Unassigned</x:v>
      </x:c>
      <x:c r="E12" s="5" t="str">
        <x:v>Unassigned</x:v>
      </x:c>
      <x:c r="F12" s="5" t="str">
        <x:v>Wang, Chengjie; Zhu, Wenbing; Gao, Bin-Bin; Gan, Zhenye; Zhang, Jiangning; Gu, Zhihao; Qian, Shuguang; Chen, Mingang; Ma, Lizhuang</x:v>
      </x:c>
      <x:c r="G12" s="5" t="str">
        <x:v>Wang, Chengjie</x:v>
      </x:c>
      <x:c r="H12" s="5" t="n">
        <x:v>2024</x:v>
      </x:c>
      <x:c r="I12" s="5" t="str">
        <x:v>Real-IAD: A Real-World Multi-View Dataset for Benchmarking Versatile Industrial Anomaly Detection</x:v>
      </x:c>
      <x:c r="J12" s="5" t="str">
        <x:v>Proceedings of the IEEE/CVF Conference on Computer Vision and Pattern Recognition</x:v>
      </x:c>
      <x:c r="K12" s="5" t="str"/>
      <x:c r="L12" s="5" t="str"/>
      <x:c r="M12" s="5" t="str">
        <x:v>https://openaccess.thecvf.com/content/CVPR2024/html/Wang_Real-IAD_A_Real-World_Multi-View_Dataset_for_Benchmarking_Versatile_Industrial_Anomaly_CVPR_2024_paper.html</x:v>
      </x:c>
      <x:c r="N12" s="5" t="str">
        <x:v>https://openaccess.thecvf.com/content/CVPR2024/html/Wang_Real-IAD_A_Real-World_Multi-View_Dataset_for_Benchmarking_Versatile_Industrial_Anomaly_CVPR_2024_paper.html</x:v>
      </x:c>
      <x:c r="O12" s="5" t="str">
        <x:v>Not extracted</x:v>
      </x:c>
      <x:c r="P12" s="5" t="str">
        <x:v>Not extracted</x:v>
      </x:c>
      <x:c r="Q12" s="5" t="str">
        <x:v>Not extracted</x:v>
      </x:c>
      <x:c r="R12" s="5" t="str">
        <x:v>Not extracted</x:v>
      </x:c>
      <x:c r="S12" s="5" t="str">
        <x:v>Unassigned</x:v>
      </x:c>
      <x:c r="T12" s="5" t="str">
        <x:v>Benchmark</x:v>
      </x:c>
      <x:c r="U12" s="5" t="str"/>
      <x:c r="V12" s="5" t="str"/>
      <x:c r="W12" s="5" t="str">
        <x:v>Not extracted</x:v>
      </x:c>
      <x:c r="X12" s="5" t="str">
        <x:v>Pending eligibility screening</x:v>
      </x:c>
      <x:c r="Y12" s="5" t="str">
        <x:v>chengjie2024_B05</x:v>
      </x:c>
      <x:c r="Z12" s="5" t="str">
        <x:v>Generated; needs verification</x:v>
      </x:c>
      <x:c r="AA12" s="5" t="str">
        <x:v>No manuscript yet</x:v>
      </x:c>
      <x:c r="AB12" s="5" t="str">
        <x:v>No</x:v>
      </x:c>
      <x:c r="AC12" s="5" t="str">
        <x:v>Not checked</x:v>
      </x:c>
      <x:c r="AD12" s="5" t="str">
        <x:v>Unscreened</x:v>
      </x:c>
      <x:c r="AE12" s="5" t="str">
        <x:v>Not linked</x:v>
      </x:c>
      <x:c r="AF12" s="5" t="str">
        <x:v>SEED</x:v>
      </x:c>
      <x:c r="AG12" s="5" t="str">
        <x:v>Seed metadata / primary source</x:v>
      </x:c>
      <x:c r="AH12" s="5" t="str">
        <x:v>Journal / conference record; peer review not audited</x:v>
      </x:c>
      <x:c r="AI12" s="5" t="str">
        <x:v>Metadata only</x:v>
      </x:c>
      <x:c r="AJ12" s="5" t="str">
        <x:v>CVF metadata inspected</x:v>
      </x:c>
      <x:c r="AK12" s="5" t="str">
        <x:v>conference-paper</x:v>
      </x:c>
      <x:c r="AL12" s="5" t="str">
        <x:v>Seed priority</x:v>
      </x:c>
      <x:c r="AM12" s="5" t="str">
        <x:v>review-paper/search-strategy/runs/BASELINE-METADATA-20261013/B05.html</x:v>
      </x:c>
      <x:c r="AN12" s="8" t="d">
        <x:v>2026-10-13T00:00:00.000Z</x:v>
      </x:c>
    </x:row>
    <x:row r="13" ht="173" customHeight="1">
      <x:c r="A13" s="5" t="str">
        <x:v>F01</x:v>
      </x:c>
      <x:c r="B13" s="5" t="str">
        <x:v>Unassigned</x:v>
      </x:c>
      <x:c r="C13" s="5" t="str">
        <x:v>Unassigned</x:v>
      </x:c>
      <x:c r="D13" s="5" t="str">
        <x:v>Unassigned</x:v>
      </x:c>
      <x:c r="E13" s="5" t="str">
        <x:v>Unassigned</x:v>
      </x:c>
      <x:c r="F13" s="5" t="str">
        <x:v>Andrea C. Tricco; Erin Lillie; Wasifa Zarin; Kelly K. O'Brien; Heather Colquhoun; Danielle Levac; David Moher; Micah D.J. Peters; Tanya Horsley; Laura Weeks; Susanne Hempel; Elie A. Akl; Christine Chang; Jessie McGowan; Lesley Stewart; Lisa Hartling; Adrian Aldcroft; Michael G. Wilson; Chantelle Garritty; Simon Lewin; Christina M. Godfrey; Marilyn T. Macdonald; Etienne V. Langlois; Karla Soares-Weiser; Jo Moriarty; Tammy Clifford; Özge Tunçalp; Sharon E. Straus</x:v>
      </x:c>
      <x:c r="G13" s="5" t="str">
        <x:v>Andrea C. Tricco</x:v>
      </x:c>
      <x:c r="H13" s="5" t="n">
        <x:v>2018</x:v>
      </x:c>
      <x:c r="I13" s="5" t="str">
        <x:v>PRISMA Extension for Scoping Reviews (PRISMA-ScR): Checklist and Explanation</x:v>
      </x:c>
      <x:c r="J13" s="5" t="str">
        <x:v>Annals of Internal Medicine</x:v>
      </x:c>
      <x:c r="K13" s="5" t="str">
        <x:v>10.7326/m18-0850</x:v>
      </x:c>
      <x:c r="L13" s="5" t="str"/>
      <x:c r="M13" s="5" t="str">
        <x:v>https://www.acpjournals.org/doi/10.7326/M18-0850</x:v>
      </x:c>
      <x:c r="N13" s="5" t="str">
        <x:v>https://doi.org/10.7326/m18-0850</x:v>
      </x:c>
      <x:c r="O13" s="5" t="str">
        <x:v>Not extracted</x:v>
      </x:c>
      <x:c r="P13" s="5" t="str">
        <x:v>Not extracted</x:v>
      </x:c>
      <x:c r="Q13" s="5" t="str">
        <x:v>Not extracted</x:v>
      </x:c>
      <x:c r="R13" s="5" t="str">
        <x:v>Not extracted</x:v>
      </x:c>
      <x:c r="S13" s="5" t="str">
        <x:v>Unassigned</x:v>
      </x:c>
      <x:c r="T13" s="5" t="str">
        <x:v>Methodology</x:v>
      </x:c>
      <x:c r="U13" s="5" t="str"/>
      <x:c r="V13" s="5" t="str"/>
      <x:c r="W13" s="5" t="str">
        <x:v>Not extracted</x:v>
      </x:c>
      <x:c r="X13" s="5" t="str">
        <x:v>Pending eligibility screening</x:v>
      </x:c>
      <x:c r="Y13" s="5" t="str">
        <x:v>tricco2018_F01</x:v>
      </x:c>
      <x:c r="Z13" s="5" t="str">
        <x:v>Generated; needs verification</x:v>
      </x:c>
      <x:c r="AA13" s="5" t="str">
        <x:v>No manuscript yet</x:v>
      </x:c>
      <x:c r="AB13" s="5" t="str">
        <x:v>No</x:v>
      </x:c>
      <x:c r="AC13" s="5" t="str">
        <x:v>Not checked</x:v>
      </x:c>
      <x:c r="AD13" s="5" t="str">
        <x:v>Unscreened</x:v>
      </x:c>
      <x:c r="AE13" s="5" t="str">
        <x:v>Not linked</x:v>
      </x:c>
      <x:c r="AF13" s="5" t="str">
        <x:v>SEED</x:v>
      </x:c>
      <x:c r="AG13" s="5" t="str">
        <x:v>Seed metadata / primary source</x:v>
      </x:c>
      <x:c r="AH13" s="5" t="str">
        <x:v>Journal / conference record; peer review not audited</x:v>
      </x:c>
      <x:c r="AI13" s="5" t="str">
        <x:v>Metadata only</x:v>
      </x:c>
      <x:c r="AJ13" s="5" t="str">
        <x:v>Verified against deposited metadata; publisher citation check pending</x:v>
      </x:c>
      <x:c r="AK13" s="5" t="str">
        <x:v>journal-article</x:v>
      </x:c>
      <x:c r="AL13" s="5" t="str">
        <x:v>Supporting methodology</x:v>
      </x:c>
      <x:c r="AM13" s="5" t="str">
        <x:v>review-paper/search-strategy/runs/SEED-METADATA-20261013/F01.json</x:v>
      </x:c>
      <x:c r="AN13" s="8" t="d">
        <x:v>2026-10-13T00:00:00.000Z</x:v>
      </x:c>
    </x:row>
    <x:row r="14" ht="233" customHeight="1">
      <x:c r="A14" s="5" t="str">
        <x:v>F02</x:v>
      </x:c>
      <x:c r="B14" s="5" t="str">
        <x:v>Unassigned</x:v>
      </x:c>
      <x:c r="C14" s="5" t="str">
        <x:v>Unassigned</x:v>
      </x:c>
      <x:c r="D14" s="5" t="str">
        <x:v>Unassigned</x:v>
      </x:c>
      <x:c r="E14" s="5" t="str">
        <x:v>Unassigned</x:v>
      </x:c>
      <x:c r="F14" s="5" t="str">
        <x:v>Melissa L. Rethlefsen; Shona Kirtley; Siw Waffenschmidt; Ana Patricia Ayala; David Moher; Matthew J. Page; Jonathan B. Koffel; PRISMA-S Group; Heather Blunt; Tara Brigham; Steven Chang; Justin Clark; Aislinn Conway; Rachel Couban; Shelley de Kock; Kelly Farrah; Paul Fehrmann; Margaret Foster; Susan A. Fowler; Julie Glanville; Elizabeth Harris; Lilian Hoffecker; Jaana Isojarvi; David Kaunelis; Hans Ket; Paul Levay; Jennifer Lyon; Jessie McGowan; M. Hassan Murad; Joey Nicholson; Virginia Pannabecker; Robin Paynter; Rachel Pinotti; Amanda Ross-White; Margaret Sampson; Tracy Shields; Adrienne Stevens; Anthea Sutton; Elizabeth Weinfurter; Kath Wright; Sarah Young</x:v>
      </x:c>
      <x:c r="G14" s="5" t="str">
        <x:v>Melissa L. Rethlefsen</x:v>
      </x:c>
      <x:c r="H14" s="5" t="n">
        <x:v>2021</x:v>
      </x:c>
      <x:c r="I14" s="5" t="str">
        <x:v>PRISMA-S: an extension to the PRISMA Statement for Reporting Literature Searches in Systematic Reviews</x:v>
      </x:c>
      <x:c r="J14" s="5" t="str">
        <x:v>Systematic Reviews</x:v>
      </x:c>
      <x:c r="K14" s="5" t="str">
        <x:v>10.1186/s13643-020-01542-z</x:v>
      </x:c>
      <x:c r="L14" s="5" t="str"/>
      <x:c r="M14" s="5" t="str">
        <x:v>https://systematicreviewsjournal.biomedcentral.com/articles/10.1186/s13643-020-01542-z</x:v>
      </x:c>
      <x:c r="N14" s="5" t="str">
        <x:v>https://doi.org/10.1186/s13643-020-01542-z</x:v>
      </x:c>
      <x:c r="O14" s="5" t="str">
        <x:v>Not extracted</x:v>
      </x:c>
      <x:c r="P14" s="5" t="str">
        <x:v>Not extracted</x:v>
      </x:c>
      <x:c r="Q14" s="5" t="str">
        <x:v>Not extracted</x:v>
      </x:c>
      <x:c r="R14" s="5" t="str">
        <x:v>Not extracted</x:v>
      </x:c>
      <x:c r="S14" s="5" t="str">
        <x:v>Unassigned</x:v>
      </x:c>
      <x:c r="T14" s="5" t="str">
        <x:v>Methodology</x:v>
      </x:c>
      <x:c r="U14" s="5" t="str"/>
      <x:c r="V14" s="5" t="str"/>
      <x:c r="W14" s="5" t="str">
        <x:v>Not extracted</x:v>
      </x:c>
      <x:c r="X14" s="5" t="str">
        <x:v>Pending eligibility screening</x:v>
      </x:c>
      <x:c r="Y14" s="5" t="str">
        <x:v>rethlefsen2021_F02</x:v>
      </x:c>
      <x:c r="Z14" s="5" t="str">
        <x:v>Generated; needs verification</x:v>
      </x:c>
      <x:c r="AA14" s="5" t="str">
        <x:v>No manuscript yet</x:v>
      </x:c>
      <x:c r="AB14" s="5" t="str">
        <x:v>No</x:v>
      </x:c>
      <x:c r="AC14" s="5" t="str">
        <x:v>Not checked</x:v>
      </x:c>
      <x:c r="AD14" s="5" t="str">
        <x:v>Unscreened</x:v>
      </x:c>
      <x:c r="AE14" s="5" t="str">
        <x:v>Not linked</x:v>
      </x:c>
      <x:c r="AF14" s="5" t="str">
        <x:v>SEED</x:v>
      </x:c>
      <x:c r="AG14" s="5" t="str">
        <x:v>Seed metadata / primary source</x:v>
      </x:c>
      <x:c r="AH14" s="5" t="str">
        <x:v>Journal / conference record; peer review not audited</x:v>
      </x:c>
      <x:c r="AI14" s="5" t="str">
        <x:v>Metadata only</x:v>
      </x:c>
      <x:c r="AJ14" s="5" t="str">
        <x:v>Verified against deposited metadata; publisher citation check pending</x:v>
      </x:c>
      <x:c r="AK14" s="5" t="str">
        <x:v>journal-article</x:v>
      </x:c>
      <x:c r="AL14" s="5" t="str">
        <x:v>Supporting methodology</x:v>
      </x:c>
      <x:c r="AM14" s="5" t="str">
        <x:v>review-paper/search-strategy/runs/SEED-METADATA-20261013/F02.json</x:v>
      </x:c>
      <x:c r="AN14" s="8" t="d">
        <x:v>2026-10-13T00:00:00.000Z</x:v>
      </x:c>
    </x:row>
    <x:row r="15" ht="68" customHeight="1">
      <x:c r="A15" s="5" t="str">
        <x:v>F03</x:v>
      </x:c>
      <x:c r="B15" s="5" t="str">
        <x:v>Unassigned</x:v>
      </x:c>
      <x:c r="C15" s="5" t="str">
        <x:v>Unassigned</x:v>
      </x:c>
      <x:c r="D15" s="5" t="str">
        <x:v>Unassigned</x:v>
      </x:c>
      <x:c r="E15" s="5" t="str">
        <x:v>Unassigned</x:v>
      </x:c>
      <x:c r="F15" s="5" t="str">
        <x:v>Micah D.J. Peters; Casey Marnie; Andrea C. Tricco; Danielle Pollock; Zachary Munn; Lyndsay Alexander; Patricia McInerney; Christina M. Godfrey; Hanan Khalil</x:v>
      </x:c>
      <x:c r="G15" s="5" t="str">
        <x:v>Micah D.J. Peters</x:v>
      </x:c>
      <x:c r="H15" s="5" t="n">
        <x:v>2020</x:v>
      </x:c>
      <x:c r="I15" s="5" t="str">
        <x:v>Updated methodological guidance for the conduct of scoping reviews</x:v>
      </x:c>
      <x:c r="J15" s="5" t="str">
        <x:v>JBI Evidence Synthesis</x:v>
      </x:c>
      <x:c r="K15" s="5" t="str">
        <x:v>10.11124/jbies-20-00167</x:v>
      </x:c>
      <x:c r="L15" s="5" t="str"/>
      <x:c r="M15" s="5" t="str">
        <x:v>https://www.ovid.com/10.11124/JBIES-20-00167</x:v>
      </x:c>
      <x:c r="N15" s="5" t="str">
        <x:v>https://doi.org/10.11124/jbies-20-00167</x:v>
      </x:c>
      <x:c r="O15" s="5" t="str">
        <x:v>Not extracted</x:v>
      </x:c>
      <x:c r="P15" s="5" t="str">
        <x:v>Not extracted</x:v>
      </x:c>
      <x:c r="Q15" s="5" t="str">
        <x:v>Not extracted</x:v>
      </x:c>
      <x:c r="R15" s="5" t="str">
        <x:v>Not extracted</x:v>
      </x:c>
      <x:c r="S15" s="5" t="str">
        <x:v>Unassigned</x:v>
      </x:c>
      <x:c r="T15" s="5" t="str">
        <x:v>Methodology</x:v>
      </x:c>
      <x:c r="U15" s="5" t="str"/>
      <x:c r="V15" s="5" t="str"/>
      <x:c r="W15" s="5" t="str">
        <x:v>Not extracted</x:v>
      </x:c>
      <x:c r="X15" s="5" t="str">
        <x:v>Pending eligibility screening</x:v>
      </x:c>
      <x:c r="Y15" s="5" t="str">
        <x:v>peters2020_F03</x:v>
      </x:c>
      <x:c r="Z15" s="5" t="str">
        <x:v>Generated; needs verification</x:v>
      </x:c>
      <x:c r="AA15" s="5" t="str">
        <x:v>No manuscript yet</x:v>
      </x:c>
      <x:c r="AB15" s="5" t="str">
        <x:v>No</x:v>
      </x:c>
      <x:c r="AC15" s="5" t="str">
        <x:v>Not checked</x:v>
      </x:c>
      <x:c r="AD15" s="5" t="str">
        <x:v>Unscreened</x:v>
      </x:c>
      <x:c r="AE15" s="5" t="str">
        <x:v>Not linked</x:v>
      </x:c>
      <x:c r="AF15" s="5" t="str">
        <x:v>SEED</x:v>
      </x:c>
      <x:c r="AG15" s="5" t="str">
        <x:v>Seed metadata / primary source</x:v>
      </x:c>
      <x:c r="AH15" s="5" t="str">
        <x:v>Journal / conference record; peer review not audited</x:v>
      </x:c>
      <x:c r="AI15" s="5" t="str">
        <x:v>Metadata only</x:v>
      </x:c>
      <x:c r="AJ15" s="5" t="str">
        <x:v>Verified against deposited metadata; publisher citation check pending</x:v>
      </x:c>
      <x:c r="AK15" s="5" t="str">
        <x:v>journal-article</x:v>
      </x:c>
      <x:c r="AL15" s="5" t="str">
        <x:v>Supporting methodology</x:v>
      </x:c>
      <x:c r="AM15" s="5" t="str">
        <x:v>review-paper/search-strategy/runs/SEED-METADATA-20261013/F03.json</x:v>
      </x:c>
      <x:c r="AN15" s="8" t="d">
        <x:v>2026-10-13T00:00:00.000Z</x:v>
      </x:c>
    </x:row>
    <x:row r="16" ht="53" customHeight="1">
      <x:c r="A16" s="5" t="str">
        <x:v>P01</x:v>
      </x:c>
      <x:c r="B16" s="5" t="str">
        <x:v>Unassigned</x:v>
      </x:c>
      <x:c r="C16" s="5" t="str">
        <x:v>Unassigned</x:v>
      </x:c>
      <x:c r="D16" s="5" t="str">
        <x:v>Unassigned</x:v>
      </x:c>
      <x:c r="E16" s="5" t="str">
        <x:v>Unassigned</x:v>
      </x:c>
      <x:c r="F16" s="5" t="str">
        <x:v>Will Nash; Liang Zheng; Nick Birbilis</x:v>
      </x:c>
      <x:c r="G16" s="5" t="str">
        <x:v>Will Nash</x:v>
      </x:c>
      <x:c r="H16" s="5" t="n">
        <x:v>2022</x:v>
      </x:c>
      <x:c r="I16" s="5" t="str">
        <x:v>Deep learning corrosion detection with confidence</x:v>
      </x:c>
      <x:c r="J16" s="5" t="str">
        <x:v>npj Materials Degradation</x:v>
      </x:c>
      <x:c r="K16" s="5" t="str">
        <x:v>10.1038/s41529-022-00232-6</x:v>
      </x:c>
      <x:c r="L16" s="5" t="str"/>
      <x:c r="M16" s="5" t="str">
        <x:v>https://www.nature.com/articles/s41529-022-00232-6</x:v>
      </x:c>
      <x:c r="N16" s="5" t="str">
        <x:v>https://doi.org/10.1038/s41529-022-00232-6</x:v>
      </x:c>
      <x:c r="O16" s="5" t="str">
        <x:v>Not extracted</x:v>
      </x:c>
      <x:c r="P16" s="5" t="str">
        <x:v>Not extracted</x:v>
      </x:c>
      <x:c r="Q16" s="5" t="str">
        <x:v>Not extracted</x:v>
      </x:c>
      <x:c r="R16" s="5" t="str">
        <x:v>Not extracted</x:v>
      </x:c>
      <x:c r="S16" s="5" t="str">
        <x:v>Unassigned</x:v>
      </x:c>
      <x:c r="T16" s="5" t="str">
        <x:v>Original study</x:v>
      </x:c>
      <x:c r="U16" s="5" t="str"/>
      <x:c r="V16" s="5" t="str"/>
      <x:c r="W16" s="5" t="str">
        <x:v>Not extracted</x:v>
      </x:c>
      <x:c r="X16" s="5" t="str">
        <x:v>Pending eligibility screening</x:v>
      </x:c>
      <x:c r="Y16" s="5" t="str">
        <x:v>nash2022_P01</x:v>
      </x:c>
      <x:c r="Z16" s="5" t="str">
        <x:v>Generated; needs verification</x:v>
      </x:c>
      <x:c r="AA16" s="5" t="str">
        <x:v>No manuscript yet</x:v>
      </x:c>
      <x:c r="AB16" s="5" t="str">
        <x:v>No</x:v>
      </x:c>
      <x:c r="AC16" s="5" t="str">
        <x:v>Full text retrieved; current link not rechecked</x:v>
      </x:c>
      <x:c r="AD16" s="5" t="str">
        <x:v>Unscreened</x:v>
      </x:c>
      <x:c r="AE16" s="5" t="str">
        <x:v>Not linked</x:v>
      </x:c>
      <x:c r="AF16" s="5" t="str">
        <x:v>SEED</x:v>
      </x:c>
      <x:c r="AG16" s="5" t="str">
        <x:v>Seed metadata / primary source</x:v>
      </x:c>
      <x:c r="AH16" s="5" t="str">
        <x:v>Journal / conference record; peer review not audited</x:v>
      </x:c>
      <x:c r="AI16" s="5" t="str">
        <x:v>Section extraction</x:v>
      </x:c>
      <x:c r="AJ16" s="5" t="str">
        <x:v>Verified against deposited metadata; publisher citation check pending</x:v>
      </x:c>
      <x:c r="AK16" s="5" t="str">
        <x:v>journal-article</x:v>
      </x:c>
      <x:c r="AL16" s="5" t="str">
        <x:v>Seed priority</x:v>
      </x:c>
      <x:c r="AM16" s="5" t="str">
        <x:v>review-paper/search-strategy/runs/SEED-METADATA-20261013/P01.json</x:v>
      </x:c>
      <x:c r="AN16" s="8" t="d">
        <x:v>2026-10-13T00:00:00.000Z</x:v>
      </x:c>
    </x:row>
    <x:row r="17" ht="53" customHeight="1">
      <x:c r="A17" s="5" t="str">
        <x:v>P02</x:v>
      </x:c>
      <x:c r="B17" s="5" t="str">
        <x:v>Unassigned</x:v>
      </x:c>
      <x:c r="C17" s="5" t="str">
        <x:v>Unassigned</x:v>
      </x:c>
      <x:c r="D17" s="5" t="str">
        <x:v>Unassigned</x:v>
      </x:c>
      <x:c r="E17" s="5" t="str">
        <x:v>Unassigned</x:v>
      </x:c>
      <x:c r="F17" s="5" t="str">
        <x:v>Tri Cao; Jiawen Zhu; Guansong Pang</x:v>
      </x:c>
      <x:c r="G17" s="5" t="str">
        <x:v>Tri Cao</x:v>
      </x:c>
      <x:c r="H17" s="5" t="n">
        <x:v>2023</x:v>
      </x:c>
      <x:c r="I17" s="5" t="str">
        <x:v>Anomaly Detection under Distribution Shift</x:v>
      </x:c>
      <x:c r="J17" s="5" t="str">
        <x:v>arXiv preprint</x:v>
      </x:c>
      <x:c r="K17" s="5" t="str"/>
      <x:c r="L17" s="5" t="str">
        <x:v>2303.13845</x:v>
      </x:c>
      <x:c r="M17" s="5" t="str">
        <x:v>http://arxiv.org/abs/2303.13845v2</x:v>
      </x:c>
      <x:c r="N17" s="5" t="str">
        <x:v>http://arxiv.org/abs/2303.13845v2</x:v>
      </x:c>
      <x:c r="O17" s="5" t="str">
        <x:v>Not extracted</x:v>
      </x:c>
      <x:c r="P17" s="5" t="str">
        <x:v>Not extracted</x:v>
      </x:c>
      <x:c r="Q17" s="5" t="str">
        <x:v>Not extracted</x:v>
      </x:c>
      <x:c r="R17" s="5" t="str">
        <x:v>Not extracted</x:v>
      </x:c>
      <x:c r="S17" s="5" t="str">
        <x:v>Unassigned</x:v>
      </x:c>
      <x:c r="T17" s="5" t="str">
        <x:v>Original study</x:v>
      </x:c>
      <x:c r="U17" s="5" t="str"/>
      <x:c r="V17" s="5" t="str"/>
      <x:c r="W17" s="5" t="str">
        <x:v>Not extracted</x:v>
      </x:c>
      <x:c r="X17" s="5" t="str">
        <x:v>Pending eligibility screening</x:v>
      </x:c>
      <x:c r="Y17" s="5" t="str">
        <x:v>cao2023_P02</x:v>
      </x:c>
      <x:c r="Z17" s="5" t="str">
        <x:v>Generated; needs verification</x:v>
      </x:c>
      <x:c r="AA17" s="5" t="str">
        <x:v>No manuscript yet</x:v>
      </x:c>
      <x:c r="AB17" s="5" t="str">
        <x:v>No</x:v>
      </x:c>
      <x:c r="AC17" s="5" t="str">
        <x:v>Full text retrieved; current link not rechecked</x:v>
      </x:c>
      <x:c r="AD17" s="5" t="str">
        <x:v>Unscreened</x:v>
      </x:c>
      <x:c r="AE17" s="5" t="str">
        <x:v>Not linked</x:v>
      </x:c>
      <x:c r="AF17" s="5" t="str">
        <x:v>SEED</x:v>
      </x:c>
      <x:c r="AG17" s="5" t="str">
        <x:v>Seed metadata / primary source</x:v>
      </x:c>
      <x:c r="AH17" s="5" t="str">
        <x:v>Preprint / repository record</x:v>
      </x:c>
      <x:c r="AI17" s="5" t="str">
        <x:v>Section extraction</x:v>
      </x:c>
      <x:c r="AJ17" s="5" t="str">
        <x:v>Verified against arXiv metadata; publication linkage pending</x:v>
      </x:c>
      <x:c r="AK17" s="5" t="str">
        <x:v>arxiv-preprint</x:v>
      </x:c>
      <x:c r="AL17" s="5" t="str">
        <x:v>Seed priority</x:v>
      </x:c>
      <x:c r="AM17" s="5" t="str">
        <x:v>review-paper/search-strategy/runs/SEED-METADATA-20261013/P02.xml</x:v>
      </x:c>
      <x:c r="AN17" s="8" t="d">
        <x:v>2026-10-13T00:00:00.000Z</x:v>
      </x:c>
    </x:row>
    <x:row r="18" ht="53" customHeight="1">
      <x:c r="A18" s="5" t="str">
        <x:v>P03</x:v>
      </x:c>
      <x:c r="B18" s="5" t="str">
        <x:v>Unassigned</x:v>
      </x:c>
      <x:c r="C18" s="5" t="str">
        <x:v>Unassigned</x:v>
      </x:c>
      <x:c r="D18" s="5" t="str">
        <x:v>Unassigned</x:v>
      </x:c>
      <x:c r="E18" s="5" t="str">
        <x:v>Unassigned</x:v>
      </x:c>
      <x:c r="F18" s="5" t="str">
        <x:v>Yorick Estievenart; Sukanya Patra; Souhaib Ben Taieb</x:v>
      </x:c>
      <x:c r="G18" s="5" t="str">
        <x:v>Yorick Estievenart</x:v>
      </x:c>
      <x:c r="H18" s="5" t="n">
        <x:v>2025</x:v>
      </x:c>
      <x:c r="I18" s="5" t="str">
        <x:v>Risk-Based Thresholding for Reliable Anomaly Detection in Concentrated Solar Power Plants</x:v>
      </x:c>
      <x:c r="J18" s="5" t="str">
        <x:v>arXiv preprint</x:v>
      </x:c>
      <x:c r="K18" s="5" t="str"/>
      <x:c r="L18" s="5" t="str">
        <x:v>2503.19146</x:v>
      </x:c>
      <x:c r="M18" s="5" t="str">
        <x:v>http://arxiv.org/abs/2503.19146v2</x:v>
      </x:c>
      <x:c r="N18" s="5" t="str">
        <x:v>http://arxiv.org/abs/2503.19146v2</x:v>
      </x:c>
      <x:c r="O18" s="5" t="str">
        <x:v>Not extracted</x:v>
      </x:c>
      <x:c r="P18" s="5" t="str">
        <x:v>Not extracted</x:v>
      </x:c>
      <x:c r="Q18" s="5" t="str">
        <x:v>Not extracted</x:v>
      </x:c>
      <x:c r="R18" s="5" t="str">
        <x:v>Not extracted</x:v>
      </x:c>
      <x:c r="S18" s="5" t="str">
        <x:v>Unassigned</x:v>
      </x:c>
      <x:c r="T18" s="5" t="str">
        <x:v>Original study</x:v>
      </x:c>
      <x:c r="U18" s="5" t="str"/>
      <x:c r="V18" s="5" t="str"/>
      <x:c r="W18" s="5" t="str">
        <x:v>Not extracted</x:v>
      </x:c>
      <x:c r="X18" s="5" t="str">
        <x:v>Pending eligibility screening</x:v>
      </x:c>
      <x:c r="Y18" s="5" t="str">
        <x:v>estievenart2025_P03</x:v>
      </x:c>
      <x:c r="Z18" s="5" t="str">
        <x:v>Generated; needs verification</x:v>
      </x:c>
      <x:c r="AA18" s="5" t="str">
        <x:v>No manuscript yet</x:v>
      </x:c>
      <x:c r="AB18" s="5" t="str">
        <x:v>No</x:v>
      </x:c>
      <x:c r="AC18" s="5" t="str">
        <x:v>Full text retrieved; current link not rechecked</x:v>
      </x:c>
      <x:c r="AD18" s="5" t="str">
        <x:v>Unscreened</x:v>
      </x:c>
      <x:c r="AE18" s="5" t="str">
        <x:v>Not linked</x:v>
      </x:c>
      <x:c r="AF18" s="5" t="str">
        <x:v>SEED</x:v>
      </x:c>
      <x:c r="AG18" s="5" t="str">
        <x:v>Seed metadata / primary source</x:v>
      </x:c>
      <x:c r="AH18" s="5" t="str">
        <x:v>Preprint / repository record</x:v>
      </x:c>
      <x:c r="AI18" s="5" t="str">
        <x:v>Section extraction</x:v>
      </x:c>
      <x:c r="AJ18" s="5" t="str">
        <x:v>Verified against arXiv metadata; publication linkage pending</x:v>
      </x:c>
      <x:c r="AK18" s="5" t="str">
        <x:v>arxiv-preprint</x:v>
      </x:c>
      <x:c r="AL18" s="5" t="str">
        <x:v>Seed priority</x:v>
      </x:c>
      <x:c r="AM18" s="5" t="str">
        <x:v>review-paper/search-strategy/runs/SEED-METADATA-20261013/P03.xml</x:v>
      </x:c>
      <x:c r="AN18" s="8" t="d">
        <x:v>2026-10-13T00:00:00.000Z</x:v>
      </x:c>
    </x:row>
    <x:row r="19" ht="53" customHeight="1">
      <x:c r="A19" s="5" t="str">
        <x:v>P04</x:v>
      </x:c>
      <x:c r="B19" s="5" t="str">
        <x:v>Unassigned</x:v>
      </x:c>
      <x:c r="C19" s="5" t="str">
        <x:v>Unassigned</x:v>
      </x:c>
      <x:c r="D19" s="5" t="str">
        <x:v>Unassigned</x:v>
      </x:c>
      <x:c r="E19" s="5" t="str">
        <x:v>Unassigned</x:v>
      </x:c>
      <x:c r="F19" s="5" t="str">
        <x:v>Yi Ding</x:v>
      </x:c>
      <x:c r="G19" s="5" t="str">
        <x:v>Yi Ding</x:v>
      </x:c>
      <x:c r="H19" s="5" t="n">
        <x:v>2026</x:v>
      </x:c>
      <x:c r="I19" s="5" t="str">
        <x:v>Risk-Calibrated Multimodal Inspection for Full-Coverage Industrial Anomaly Detection</x:v>
      </x:c>
      <x:c r="J19" s="5" t="str">
        <x:v>2026 Cross Strait Radio Science and Wireless Technology Conference (CSRSWTC)</x:v>
      </x:c>
      <x:c r="K19" s="5" t="str">
        <x:v>10.1109/csrswtc71154.2026.11669645</x:v>
      </x:c>
      <x:c r="L19" s="5" t="str"/>
      <x:c r="M19" s="5" t="str">
        <x:v>https://ieeexplore.ieee.org/document/11669645/</x:v>
      </x:c>
      <x:c r="N19" s="5" t="str">
        <x:v>https://doi.org/10.1109/csrswtc71154.2026.11669645</x:v>
      </x:c>
      <x:c r="O19" s="5" t="str">
        <x:v>Not extracted</x:v>
      </x:c>
      <x:c r="P19" s="5" t="str">
        <x:v>Not extracted</x:v>
      </x:c>
      <x:c r="Q19" s="5" t="str">
        <x:v>Not extracted</x:v>
      </x:c>
      <x:c r="R19" s="5" t="str">
        <x:v>Not extracted</x:v>
      </x:c>
      <x:c r="S19" s="5" t="str">
        <x:v>Unassigned</x:v>
      </x:c>
      <x:c r="T19" s="5" t="str">
        <x:v>Original study</x:v>
      </x:c>
      <x:c r="U19" s="5" t="str"/>
      <x:c r="V19" s="5" t="str"/>
      <x:c r="W19" s="5" t="str">
        <x:v>Not extracted</x:v>
      </x:c>
      <x:c r="X19" s="5" t="str">
        <x:v>Pending eligibility screening</x:v>
      </x:c>
      <x:c r="Y19" s="5" t="str">
        <x:v>ding2026_P04</x:v>
      </x:c>
      <x:c r="Z19" s="5" t="str">
        <x:v>Generated; needs verification</x:v>
      </x:c>
      <x:c r="AA19" s="5" t="str">
        <x:v>No manuscript yet</x:v>
      </x:c>
      <x:c r="AB19" s="5" t="str">
        <x:v>No</x:v>
      </x:c>
      <x:c r="AC19" s="5" t="str">
        <x:v>Not checked</x:v>
      </x:c>
      <x:c r="AD19" s="5" t="str">
        <x:v>Unscreened</x:v>
      </x:c>
      <x:c r="AE19" s="5" t="str">
        <x:v>Not linked</x:v>
      </x:c>
      <x:c r="AF19" s="5" t="str">
        <x:v>S10; S16; SEED</x:v>
      </x:c>
      <x:c r="AG19" s="5" t="str">
        <x:v>Seed metadata / primary source</x:v>
      </x:c>
      <x:c r="AH19" s="5" t="str">
        <x:v>Journal / conference record; peer review not audited</x:v>
      </x:c>
      <x:c r="AI19" s="5" t="str">
        <x:v>Search extract only</x:v>
      </x:c>
      <x:c r="AJ19" s="5" t="str">
        <x:v>Verified against deposited metadata; publisher citation check pending</x:v>
      </x:c>
      <x:c r="AK19" s="5" t="str">
        <x:v>proceedings-article</x:v>
      </x:c>
      <x:c r="AL19" s="5" t="str">
        <x:v>Seed priority</x:v>
      </x:c>
      <x:c r="AM19" s="5" t="str">
        <x:v>review-paper/search-strategy/runs/PILOT-20261013-01/S10.json</x:v>
      </x:c>
      <x:c r="AN19" s="8" t="d">
        <x:v>2026-10-13T00:00:00.000Z</x:v>
      </x:c>
    </x:row>
    <x:row r="20" ht="53" customHeight="1">
      <x:c r="A20" s="5" t="str">
        <x:v>P05</x:v>
      </x:c>
      <x:c r="B20" s="5" t="str">
        <x:v>Unassigned</x:v>
      </x:c>
      <x:c r="C20" s="5" t="str">
        <x:v>Unassigned</x:v>
      </x:c>
      <x:c r="D20" s="5" t="str">
        <x:v>Unassigned</x:v>
      </x:c>
      <x:c r="E20" s="5" t="str">
        <x:v>Unassigned</x:v>
      </x:c>
      <x:c r="F20" s="5" t="str"/>
      <x:c r="G20" s="5" t="str"/>
      <x:c r="H20" s="5"/>
      <x:c r="I20" s="5" t="str">
        <x:v>Class-conditional conformal prediction with discriminant-analysis backbones for reliable open-set fault diagnosis in safety-critical industrial systems</x:v>
      </x:c>
      <x:c r="J20" s="5" t="str"/>
      <x:c r="K20" s="5" t="str"/>
      <x:c r="L20" s="5" t="str"/>
      <x:c r="M20" s="5" t="str">
        <x:v>https://www.sciencedirect.com/science/article/pii/S0959152426000843</x:v>
      </x:c>
      <x:c r="N20" s="5" t="str">
        <x:v>https://www.sciencedirect.com/science/article/pii/S0959152426000843</x:v>
      </x:c>
      <x:c r="O20" s="5" t="str">
        <x:v>Not extracted</x:v>
      </x:c>
      <x:c r="P20" s="5" t="str">
        <x:v>Not extracted</x:v>
      </x:c>
      <x:c r="Q20" s="5" t="str">
        <x:v>Not extracted</x:v>
      </x:c>
      <x:c r="R20" s="5" t="str">
        <x:v>Not extracted</x:v>
      </x:c>
      <x:c r="S20" s="5" t="str">
        <x:v>Unassigned</x:v>
      </x:c>
      <x:c r="T20" s="5" t="str">
        <x:v>Original study</x:v>
      </x:c>
      <x:c r="U20" s="5" t="str"/>
      <x:c r="V20" s="5" t="str"/>
      <x:c r="W20" s="5" t="str">
        <x:v>Not extracted</x:v>
      </x:c>
      <x:c r="X20" s="5" t="str">
        <x:v>Pending eligibility screening</x:v>
      </x:c>
      <x:c r="Y20" s="5" t="str">
        <x:v>unknownnd_P05</x:v>
      </x:c>
      <x:c r="Z20" s="5" t="str">
        <x:v>Incomplete metadata</x:v>
      </x:c>
      <x:c r="AA20" s="5" t="str">
        <x:v>No manuscript yet</x:v>
      </x:c>
      <x:c r="AB20" s="5" t="str">
        <x:v>No</x:v>
      </x:c>
      <x:c r="AC20" s="5" t="str">
        <x:v>Not checked</x:v>
      </x:c>
      <x:c r="AD20" s="5" t="str">
        <x:v>Unscreened</x:v>
      </x:c>
      <x:c r="AE20" s="5" t="str">
        <x:v>Not linked</x:v>
      </x:c>
      <x:c r="AF20" s="5" t="str">
        <x:v>SEED</x:v>
      </x:c>
      <x:c r="AG20" s="5" t="str">
        <x:v>Seed metadata / primary source</x:v>
      </x:c>
      <x:c r="AH20" s="5" t="str">
        <x:v>Publication status unverified</x:v>
      </x:c>
      <x:c r="AI20" s="5" t="str">
        <x:v>Search extract only</x:v>
      </x:c>
      <x:c r="AJ20" s="5" t="str">
        <x:v>Needs bibliographic verification</x:v>
      </x:c>
      <x:c r="AK20" s="5" t="str">
        <x:v>unresolved</x:v>
      </x:c>
      <x:c r="AL20" s="5" t="str">
        <x:v>Seed priority</x:v>
      </x:c>
      <x:c r="AM20" s="5" t="str">
        <x:v>Legacy/web seed</x:v>
      </x:c>
      <x:c r="AN20" s="8" t="d">
        <x:v>2026-10-13T00:00:00.000Z</x:v>
      </x:c>
    </x:row>
    <x:row r="21" ht="53" customHeight="1">
      <x:c r="A21" s="5" t="str">
        <x:v>P06</x:v>
      </x:c>
      <x:c r="B21" s="5" t="str">
        <x:v>Unassigned</x:v>
      </x:c>
      <x:c r="C21" s="5" t="str">
        <x:v>Unassigned</x:v>
      </x:c>
      <x:c r="D21" s="5" t="str">
        <x:v>Unassigned</x:v>
      </x:c>
      <x:c r="E21" s="5" t="str">
        <x:v>Unassigned</x:v>
      </x:c>
      <x:c r="F21" s="5" t="str">
        <x:v>Seokhee Han; Seungjun Chu; Mateusz Nowak; Peter Chin</x:v>
      </x:c>
      <x:c r="G21" s="5" t="str">
        <x:v>Seokhee Han</x:v>
      </x:c>
      <x:c r="H21" s="5" t="n">
        <x:v>2026</x:v>
      </x:c>
      <x:c r="I21" s="5" t="str">
        <x:v>SPARC: Subspace Position-Aware Robust Few-Shot Calibration for Distribution-Shifted Industrial Anomaly Detection</x:v>
      </x:c>
      <x:c r="J21" s="5" t="str">
        <x:v>arXiv preprint</x:v>
      </x:c>
      <x:c r="K21" s="5" t="str"/>
      <x:c r="L21" s="5" t="str">
        <x:v>2608.18585</x:v>
      </x:c>
      <x:c r="M21" s="5" t="str">
        <x:v>http://arxiv.org/abs/2608.18585v1</x:v>
      </x:c>
      <x:c r="N21" s="5" t="str">
        <x:v>http://arxiv.org/abs/2608.18585v1</x:v>
      </x:c>
      <x:c r="O21" s="5" t="str">
        <x:v>Not extracted</x:v>
      </x:c>
      <x:c r="P21" s="5" t="str">
        <x:v>Not extracted</x:v>
      </x:c>
      <x:c r="Q21" s="5" t="str">
        <x:v>Not extracted</x:v>
      </x:c>
      <x:c r="R21" s="5" t="str">
        <x:v>Not extracted</x:v>
      </x:c>
      <x:c r="S21" s="5" t="str">
        <x:v>Unassigned</x:v>
      </x:c>
      <x:c r="T21" s="5" t="str">
        <x:v>Original study</x:v>
      </x:c>
      <x:c r="U21" s="5" t="str"/>
      <x:c r="V21" s="5" t="str"/>
      <x:c r="W21" s="5" t="str">
        <x:v>Not extracted</x:v>
      </x:c>
      <x:c r="X21" s="5" t="str">
        <x:v>Pending eligibility screening</x:v>
      </x:c>
      <x:c r="Y21" s="5" t="str">
        <x:v>han2026_P06</x:v>
      </x:c>
      <x:c r="Z21" s="5" t="str">
        <x:v>Generated; needs verification</x:v>
      </x:c>
      <x:c r="AA21" s="5" t="str">
        <x:v>No manuscript yet</x:v>
      </x:c>
      <x:c r="AB21" s="5" t="str">
        <x:v>No</x:v>
      </x:c>
      <x:c r="AC21" s="5" t="str">
        <x:v>Full text retrieved; current link not rechecked</x:v>
      </x:c>
      <x:c r="AD21" s="5" t="str">
        <x:v>Unscreened</x:v>
      </x:c>
      <x:c r="AE21" s="5" t="str">
        <x:v>Not linked</x:v>
      </x:c>
      <x:c r="AF21" s="5" t="str">
        <x:v>SEED</x:v>
      </x:c>
      <x:c r="AG21" s="5" t="str">
        <x:v>Seed metadata / primary source</x:v>
      </x:c>
      <x:c r="AH21" s="5" t="str">
        <x:v>Preprint / repository record</x:v>
      </x:c>
      <x:c r="AI21" s="5" t="str">
        <x:v>Section extraction</x:v>
      </x:c>
      <x:c r="AJ21" s="5" t="str">
        <x:v>Verified against arXiv metadata; publication linkage pending</x:v>
      </x:c>
      <x:c r="AK21" s="5" t="str">
        <x:v>arxiv-preprint</x:v>
      </x:c>
      <x:c r="AL21" s="5" t="str">
        <x:v>Seed priority</x:v>
      </x:c>
      <x:c r="AM21" s="5" t="str">
        <x:v>review-paper/search-strategy/runs/SEED-METADATA-20261013/P06.xml</x:v>
      </x:c>
      <x:c r="AN21" s="8" t="d">
        <x:v>2026-10-13T00:00:00.000Z</x:v>
      </x:c>
    </x:row>
    <x:row r="22" ht="53" customHeight="1">
      <x:c r="A22" s="5" t="str">
        <x:v>P07</x:v>
      </x:c>
      <x:c r="B22" s="5" t="str">
        <x:v>Unassigned</x:v>
      </x:c>
      <x:c r="C22" s="5" t="str">
        <x:v>Unassigned</x:v>
      </x:c>
      <x:c r="D22" s="5" t="str">
        <x:v>Unassigned</x:v>
      </x:c>
      <x:c r="E22" s="5" t="str">
        <x:v>Unassigned</x:v>
      </x:c>
      <x:c r="F22" s="5" t="str">
        <x:v>Dat Cao; Son Nghiem; Phan Nguyen; Jun Rekimoto; Jhih-Ciang Wu</x:v>
      </x:c>
      <x:c r="G22" s="5" t="str">
        <x:v>Dat Cao</x:v>
      </x:c>
      <x:c r="H22" s="5" t="n">
        <x:v>2026</x:v>
      </x:c>
      <x:c r="I22" s="5" t="str">
        <x:v>NFAD: Nuisance-Filtered Anomaly Detection Under Distribution Shift</x:v>
      </x:c>
      <x:c r="J22" s="5" t="str">
        <x:v>arXiv preprint</x:v>
      </x:c>
      <x:c r="K22" s="5" t="str"/>
      <x:c r="L22" s="5" t="str">
        <x:v>2608.29112</x:v>
      </x:c>
      <x:c r="M22" s="5" t="str">
        <x:v>http://arxiv.org/abs/2608.29112v1</x:v>
      </x:c>
      <x:c r="N22" s="5" t="str">
        <x:v>http://arxiv.org/abs/2608.29112v1</x:v>
      </x:c>
      <x:c r="O22" s="5" t="str">
        <x:v>Not extracted</x:v>
      </x:c>
      <x:c r="P22" s="5" t="str">
        <x:v>Not extracted</x:v>
      </x:c>
      <x:c r="Q22" s="5" t="str">
        <x:v>Not extracted</x:v>
      </x:c>
      <x:c r="R22" s="5" t="str">
        <x:v>Not extracted</x:v>
      </x:c>
      <x:c r="S22" s="5" t="str">
        <x:v>Unassigned</x:v>
      </x:c>
      <x:c r="T22" s="5" t="str">
        <x:v>Original study</x:v>
      </x:c>
      <x:c r="U22" s="5" t="str"/>
      <x:c r="V22" s="5" t="str"/>
      <x:c r="W22" s="5" t="str">
        <x:v>Not extracted</x:v>
      </x:c>
      <x:c r="X22" s="5" t="str">
        <x:v>Pending eligibility screening</x:v>
      </x:c>
      <x:c r="Y22" s="5" t="str">
        <x:v>cao2026_P07</x:v>
      </x:c>
      <x:c r="Z22" s="5" t="str">
        <x:v>Generated; needs verification</x:v>
      </x:c>
      <x:c r="AA22" s="5" t="str">
        <x:v>No manuscript yet</x:v>
      </x:c>
      <x:c r="AB22" s="5" t="str">
        <x:v>No</x:v>
      </x:c>
      <x:c r="AC22" s="5" t="str">
        <x:v>Full text retrieved; current link not rechecked</x:v>
      </x:c>
      <x:c r="AD22" s="5" t="str">
        <x:v>Unscreened</x:v>
      </x:c>
      <x:c r="AE22" s="5" t="str">
        <x:v>Not linked</x:v>
      </x:c>
      <x:c r="AF22" s="5" t="str">
        <x:v>SEED</x:v>
      </x:c>
      <x:c r="AG22" s="5" t="str">
        <x:v>Seed metadata / primary source</x:v>
      </x:c>
      <x:c r="AH22" s="5" t="str">
        <x:v>Preprint / repository record</x:v>
      </x:c>
      <x:c r="AI22" s="5" t="str">
        <x:v>Section extraction</x:v>
      </x:c>
      <x:c r="AJ22" s="5" t="str">
        <x:v>Verified against arXiv metadata; publication linkage pending</x:v>
      </x:c>
      <x:c r="AK22" s="5" t="str">
        <x:v>arxiv-preprint</x:v>
      </x:c>
      <x:c r="AL22" s="5" t="str">
        <x:v>Seed priority</x:v>
      </x:c>
      <x:c r="AM22" s="5" t="str">
        <x:v>review-paper/search-strategy/runs/SEED-METADATA-20261013/P07.xml</x:v>
      </x:c>
      <x:c r="AN22" s="8" t="d">
        <x:v>2026-10-13T00:00:00.000Z</x:v>
      </x:c>
    </x:row>
    <x:row r="23" ht="53" customHeight="1">
      <x:c r="A23" s="5" t="str">
        <x:v>P08</x:v>
      </x:c>
      <x:c r="B23" s="5" t="str">
        <x:v>Unassigned</x:v>
      </x:c>
      <x:c r="C23" s="5" t="str">
        <x:v>Unassigned</x:v>
      </x:c>
      <x:c r="D23" s="5" t="str">
        <x:v>Unassigned</x:v>
      </x:c>
      <x:c r="E23" s="5" t="str">
        <x:v>Unassigned</x:v>
      </x:c>
      <x:c r="F23" s="5" t="str">
        <x:v>Zilong Zhang; Zhibin Zhao; Xingwu Zhang; Chuang Sun; Xuefeng Chen</x:v>
      </x:c>
      <x:c r="G23" s="5" t="str">
        <x:v>Zilong Zhang</x:v>
      </x:c>
      <x:c r="H23" s="5" t="n">
        <x:v>2023</x:v>
      </x:c>
      <x:c r="I23" s="5" t="str">
        <x:v>Industrial anomaly detection with domain shift: A real-world dataset and masked multi-scale reconstruction</x:v>
      </x:c>
      <x:c r="J23" s="5" t="str">
        <x:v>Computers in Industry</x:v>
      </x:c>
      <x:c r="K23" s="5" t="str">
        <x:v>10.1016/j.compind.2023.103990</x:v>
      </x:c>
      <x:c r="L23" s="5" t="str"/>
      <x:c r="M23" s="5" t="str">
        <x:v>https://linkinghub.elsevier.com/retrieve/pii/S0166361523001409</x:v>
      </x:c>
      <x:c r="N23" s="5" t="str">
        <x:v>https://doi.org/10.1016/j.compind.2023.103990</x:v>
      </x:c>
      <x:c r="O23" s="5" t="str">
        <x:v>Not extracted</x:v>
      </x:c>
      <x:c r="P23" s="5" t="str">
        <x:v>Not extracted</x:v>
      </x:c>
      <x:c r="Q23" s="5" t="str">
        <x:v>Not extracted</x:v>
      </x:c>
      <x:c r="R23" s="5" t="str">
        <x:v>Not extracted</x:v>
      </x:c>
      <x:c r="S23" s="5" t="str">
        <x:v>Unassigned</x:v>
      </x:c>
      <x:c r="T23" s="5" t="str">
        <x:v>Original study</x:v>
      </x:c>
      <x:c r="U23" s="5" t="str"/>
      <x:c r="V23" s="5" t="str"/>
      <x:c r="W23" s="5" t="str">
        <x:v>Not extracted</x:v>
      </x:c>
      <x:c r="X23" s="5" t="str">
        <x:v>Pending eligibility screening</x:v>
      </x:c>
      <x:c r="Y23" s="5" t="str">
        <x:v>zhang2023_P08</x:v>
      </x:c>
      <x:c r="Z23" s="5" t="str">
        <x:v>Generated; needs verification</x:v>
      </x:c>
      <x:c r="AA23" s="5" t="str">
        <x:v>No manuscript yet</x:v>
      </x:c>
      <x:c r="AB23" s="5" t="str">
        <x:v>No</x:v>
      </x:c>
      <x:c r="AC23" s="5" t="str">
        <x:v>Not checked</x:v>
      </x:c>
      <x:c r="AD23" s="5" t="str">
        <x:v>Unscreened</x:v>
      </x:c>
      <x:c r="AE23" s="5" t="str">
        <x:v>Not linked</x:v>
      </x:c>
      <x:c r="AF23" s="5" t="str">
        <x:v>S03; SEED</x:v>
      </x:c>
      <x:c r="AG23" s="5" t="str">
        <x:v>Seed metadata / primary source</x:v>
      </x:c>
      <x:c r="AH23" s="5" t="str">
        <x:v>Journal / conference record; peer review not audited</x:v>
      </x:c>
      <x:c r="AI23" s="5" t="str">
        <x:v>Abstract inspected</x:v>
      </x:c>
      <x:c r="AJ23" s="5" t="str">
        <x:v>Verified against deposited metadata; publisher citation check pending</x:v>
      </x:c>
      <x:c r="AK23" s="5" t="str">
        <x:v>journal-article</x:v>
      </x:c>
      <x:c r="AL23" s="5" t="str">
        <x:v>Seed priority</x:v>
      </x:c>
      <x:c r="AM23" s="5" t="str">
        <x:v>review-paper/search-strategy/runs/SEED-METADATA-20261013/P08.json</x:v>
      </x:c>
      <x:c r="AN23" s="8" t="d">
        <x:v>2026-10-13T00:00:00.000Z</x:v>
      </x:c>
    </x:row>
    <x:row r="24" ht="53" customHeight="1">
      <x:c r="A24" s="5" t="str">
        <x:v>P09</x:v>
      </x:c>
      <x:c r="B24" s="5" t="str">
        <x:v>Unassigned</x:v>
      </x:c>
      <x:c r="C24" s="5" t="str">
        <x:v>Unassigned</x:v>
      </x:c>
      <x:c r="D24" s="5" t="str">
        <x:v>Unassigned</x:v>
      </x:c>
      <x:c r="E24" s="5" t="str">
        <x:v>Unassigned</x:v>
      </x:c>
      <x:c r="F24" s="5" t="str">
        <x:v>Shaoliang Yang; Jun Wang</x:v>
      </x:c>
      <x:c r="G24" s="5" t="str">
        <x:v>Shaoliang Yang</x:v>
      </x:c>
      <x:c r="H24" s="5" t="n">
        <x:v>2026</x:v>
      </x:c>
      <x:c r="I24" s="5" t="str">
        <x:v>SafeRestore: Detector-Relative Risk Certificates for Selective Industrial Image Restoration</x:v>
      </x:c>
      <x:c r="J24" s="5" t="str">
        <x:v>arXiv preprint</x:v>
      </x:c>
      <x:c r="K24" s="5" t="str"/>
      <x:c r="L24" s="5" t="str">
        <x:v>2609.03475</x:v>
      </x:c>
      <x:c r="M24" s="5" t="str">
        <x:v>http://arxiv.org/abs/2609.03475v1</x:v>
      </x:c>
      <x:c r="N24" s="5" t="str">
        <x:v>http://arxiv.org/abs/2609.03475v1</x:v>
      </x:c>
      <x:c r="O24" s="5" t="str">
        <x:v>Not extracted</x:v>
      </x:c>
      <x:c r="P24" s="5" t="str">
        <x:v>Not extracted</x:v>
      </x:c>
      <x:c r="Q24" s="5" t="str">
        <x:v>Not extracted</x:v>
      </x:c>
      <x:c r="R24" s="5" t="str">
        <x:v>Not extracted</x:v>
      </x:c>
      <x:c r="S24" s="5" t="str">
        <x:v>Unassigned</x:v>
      </x:c>
      <x:c r="T24" s="5" t="str">
        <x:v>Original study</x:v>
      </x:c>
      <x:c r="U24" s="5" t="str"/>
      <x:c r="V24" s="5" t="str"/>
      <x:c r="W24" s="5" t="str">
        <x:v>Not extracted</x:v>
      </x:c>
      <x:c r="X24" s="5" t="str">
        <x:v>Pending eligibility screening</x:v>
      </x:c>
      <x:c r="Y24" s="5" t="str">
        <x:v>yang2026_P09</x:v>
      </x:c>
      <x:c r="Z24" s="5" t="str">
        <x:v>Generated; needs verification</x:v>
      </x:c>
      <x:c r="AA24" s="5" t="str">
        <x:v>No manuscript yet</x:v>
      </x:c>
      <x:c r="AB24" s="5" t="str">
        <x:v>No</x:v>
      </x:c>
      <x:c r="AC24" s="5" t="str">
        <x:v>Full text retrieved; current link not rechecked</x:v>
      </x:c>
      <x:c r="AD24" s="5" t="str">
        <x:v>Unscreened</x:v>
      </x:c>
      <x:c r="AE24" s="5" t="str">
        <x:v>Not linked</x:v>
      </x:c>
      <x:c r="AF24" s="5" t="str">
        <x:v>SEED</x:v>
      </x:c>
      <x:c r="AG24" s="5" t="str">
        <x:v>Seed metadata / primary source</x:v>
      </x:c>
      <x:c r="AH24" s="5" t="str">
        <x:v>Preprint / repository record</x:v>
      </x:c>
      <x:c r="AI24" s="5" t="str">
        <x:v>Section extraction</x:v>
      </x:c>
      <x:c r="AJ24" s="5" t="str">
        <x:v>Verified against arXiv metadata; publication linkage pending</x:v>
      </x:c>
      <x:c r="AK24" s="5" t="str">
        <x:v>arxiv-preprint</x:v>
      </x:c>
      <x:c r="AL24" s="5" t="str">
        <x:v>Seed priority</x:v>
      </x:c>
      <x:c r="AM24" s="5" t="str">
        <x:v>review-paper/search-strategy/runs/SEED-METADATA-20261013/P09.xml</x:v>
      </x:c>
      <x:c r="AN24" s="8" t="d">
        <x:v>2026-10-13T00:00:00.000Z</x:v>
      </x:c>
    </x:row>
    <x:row r="25" ht="53" customHeight="1">
      <x:c r="A25" s="5" t="str">
        <x:v>P10</x:v>
      </x:c>
      <x:c r="B25" s="5" t="str">
        <x:v>Unassigned</x:v>
      </x:c>
      <x:c r="C25" s="5" t="str">
        <x:v>Unassigned</x:v>
      </x:c>
      <x:c r="D25" s="5" t="str">
        <x:v>Unassigned</x:v>
      </x:c>
      <x:c r="E25" s="5" t="str">
        <x:v>Unassigned</x:v>
      </x:c>
      <x:c r="F25" s="5" t="str">
        <x:v>Shreejan Maharjan; Shogo Inadomi; Kenta Itakura; Pang‐jo Chun</x:v>
      </x:c>
      <x:c r="G25" s="5" t="str">
        <x:v>Shreejan Maharjan</x:v>
      </x:c>
      <x:c r="H25" s="5" t="n">
        <x:v>2025</x:v>
      </x:c>
      <x:c r="I25" s="5" t="str">
        <x:v>Domain‐adaptive self‐supervised learning for corrosion detection and 3D building information model mapping in steel tunnels</x:v>
      </x:c>
      <x:c r="J25" s="5" t="str">
        <x:v>Computer-Aided Civil and Infrastructure Engineering</x:v>
      </x:c>
      <x:c r="K25" s="5" t="str">
        <x:v>10.1111/mice.70077</x:v>
      </x:c>
      <x:c r="L25" s="5" t="str"/>
      <x:c r="M25" s="5" t="str">
        <x:v>https://linkinghub.elsevier.com/retrieve/pii/S1093968726013149</x:v>
      </x:c>
      <x:c r="N25" s="5" t="str">
        <x:v>https://doi.org/10.1111/mice.70077</x:v>
      </x:c>
      <x:c r="O25" s="5" t="str">
        <x:v>Not extracted</x:v>
      </x:c>
      <x:c r="P25" s="5" t="str">
        <x:v>Not extracted</x:v>
      </x:c>
      <x:c r="Q25" s="5" t="str">
        <x:v>Not extracted</x:v>
      </x:c>
      <x:c r="R25" s="5" t="str">
        <x:v>Not extracted</x:v>
      </x:c>
      <x:c r="S25" s="5" t="str">
        <x:v>Unassigned</x:v>
      </x:c>
      <x:c r="T25" s="5" t="str">
        <x:v>Original study</x:v>
      </x:c>
      <x:c r="U25" s="5" t="str"/>
      <x:c r="V25" s="5" t="str"/>
      <x:c r="W25" s="5" t="str">
        <x:v>Not extracted</x:v>
      </x:c>
      <x:c r="X25" s="5" t="str">
        <x:v>Pending eligibility screening</x:v>
      </x:c>
      <x:c r="Y25" s="5" t="str">
        <x:v>maharjan2025_P10</x:v>
      </x:c>
      <x:c r="Z25" s="5" t="str">
        <x:v>Generated; needs verification</x:v>
      </x:c>
      <x:c r="AA25" s="5" t="str">
        <x:v>No manuscript yet</x:v>
      </x:c>
      <x:c r="AB25" s="5" t="str">
        <x:v>No</x:v>
      </x:c>
      <x:c r="AC25" s="5" t="str">
        <x:v>Not checked</x:v>
      </x:c>
      <x:c r="AD25" s="5" t="str">
        <x:v>Unscreened</x:v>
      </x:c>
      <x:c r="AE25" s="5" t="str">
        <x:v>Not linked</x:v>
      </x:c>
      <x:c r="AF25" s="5" t="str">
        <x:v>SEED</x:v>
      </x:c>
      <x:c r="AG25" s="5" t="str">
        <x:v>Seed metadata / primary source</x:v>
      </x:c>
      <x:c r="AH25" s="5" t="str">
        <x:v>Journal / conference record; peer review not audited</x:v>
      </x:c>
      <x:c r="AI25" s="5" t="str">
        <x:v>Abstract inspected</x:v>
      </x:c>
      <x:c r="AJ25" s="5" t="str">
        <x:v>Verified against deposited metadata; publisher citation check pending</x:v>
      </x:c>
      <x:c r="AK25" s="5" t="str">
        <x:v>journal-article</x:v>
      </x:c>
      <x:c r="AL25" s="5" t="str">
        <x:v>Seed priority</x:v>
      </x:c>
      <x:c r="AM25" s="5" t="str">
        <x:v>review-paper/search-strategy/runs/SEED-METADATA-20261013/P10.json</x:v>
      </x:c>
      <x:c r="AN25" s="8" t="d">
        <x:v>2026-10-13T00:00:00.000Z</x:v>
      </x:c>
    </x:row>
    <x:row r="26" ht="53" customHeight="1">
      <x:c r="A26" s="5" t="str">
        <x:v>P11</x:v>
      </x:c>
      <x:c r="B26" s="5" t="str">
        <x:v>Unassigned</x:v>
      </x:c>
      <x:c r="C26" s="5" t="str">
        <x:v>Unassigned</x:v>
      </x:c>
      <x:c r="D26" s="5" t="str">
        <x:v>Unassigned</x:v>
      </x:c>
      <x:c r="E26" s="5" t="str">
        <x:v>Unassigned</x:v>
      </x:c>
      <x:c r="F26" s="5" t="str">
        <x:v>Shengyi Wang; Hai Nguyen; Brian Eick; Rebekah Wilson; Nora El-Gohary</x:v>
      </x:c>
      <x:c r="G26" s="5" t="str">
        <x:v>Shengyi Wang</x:v>
      </x:c>
      <x:c r="H26" s="5" t="n">
        <x:v>2025</x:v>
      </x:c>
      <x:c r="I26" s="5" t="str">
        <x:v>Efficient domain adaptation network for corrosion segmentation in infrastructure: from laboratory to real-world images</x:v>
      </x:c>
      <x:c r="J26" s="5" t="str">
        <x:v>Journal of Civil Structural Health Monitoring</x:v>
      </x:c>
      <x:c r="K26" s="5" t="str">
        <x:v>10.1007/s13349-025-01003-y</x:v>
      </x:c>
      <x:c r="L26" s="5" t="str"/>
      <x:c r="M26" s="5" t="str">
        <x:v>https://link.springer.com/10.1007/s13349-025-01003-y</x:v>
      </x:c>
      <x:c r="N26" s="5" t="str">
        <x:v>https://doi.org/10.1007/s13349-025-01003-y</x:v>
      </x:c>
      <x:c r="O26" s="5" t="str">
        <x:v>Not extracted</x:v>
      </x:c>
      <x:c r="P26" s="5" t="str">
        <x:v>Not extracted</x:v>
      </x:c>
      <x:c r="Q26" s="5" t="str">
        <x:v>Not extracted</x:v>
      </x:c>
      <x:c r="R26" s="5" t="str">
        <x:v>Not extracted</x:v>
      </x:c>
      <x:c r="S26" s="5" t="str">
        <x:v>Unassigned</x:v>
      </x:c>
      <x:c r="T26" s="5" t="str">
        <x:v>Original study</x:v>
      </x:c>
      <x:c r="U26" s="5" t="str"/>
      <x:c r="V26" s="5" t="str"/>
      <x:c r="W26" s="5" t="str">
        <x:v>Not extracted</x:v>
      </x:c>
      <x:c r="X26" s="5" t="str">
        <x:v>Pending eligibility screening</x:v>
      </x:c>
      <x:c r="Y26" s="5" t="str">
        <x:v>wang2025_P11</x:v>
      </x:c>
      <x:c r="Z26" s="5" t="str">
        <x:v>Generated; needs verification</x:v>
      </x:c>
      <x:c r="AA26" s="5" t="str">
        <x:v>No manuscript yet</x:v>
      </x:c>
      <x:c r="AB26" s="5" t="str">
        <x:v>No</x:v>
      </x:c>
      <x:c r="AC26" s="5" t="str">
        <x:v>Not checked</x:v>
      </x:c>
      <x:c r="AD26" s="5" t="str">
        <x:v>Unscreened</x:v>
      </x:c>
      <x:c r="AE26" s="5" t="str">
        <x:v>Not linked</x:v>
      </x:c>
      <x:c r="AF26" s="5" t="str">
        <x:v>SEED</x:v>
      </x:c>
      <x:c r="AG26" s="5" t="str">
        <x:v>Seed metadata / primary source</x:v>
      </x:c>
      <x:c r="AH26" s="5" t="str">
        <x:v>Journal / conference record; peer review not audited</x:v>
      </x:c>
      <x:c r="AI26" s="5" t="str">
        <x:v>Metadata only</x:v>
      </x:c>
      <x:c r="AJ26" s="5" t="str">
        <x:v>Verified against deposited metadata; publisher citation check pending</x:v>
      </x:c>
      <x:c r="AK26" s="5" t="str">
        <x:v>journal-article</x:v>
      </x:c>
      <x:c r="AL26" s="5" t="str">
        <x:v>Seed priority</x:v>
      </x:c>
      <x:c r="AM26" s="5" t="str">
        <x:v>review-paper/search-strategy/runs/SEED-METADATA-20261013/P11.json</x:v>
      </x:c>
      <x:c r="AN26" s="8" t="d">
        <x:v>2026-10-13T00:00:00.000Z</x:v>
      </x:c>
    </x:row>
    <x:row r="27" ht="53" customHeight="1">
      <x:c r="A27" s="5" t="str">
        <x:v>P12</x:v>
      </x:c>
      <x:c r="B27" s="5" t="str">
        <x:v>Unassigned</x:v>
      </x:c>
      <x:c r="C27" s="5" t="str">
        <x:v>Unassigned</x:v>
      </x:c>
      <x:c r="D27" s="5" t="str">
        <x:v>Unassigned</x:v>
      </x:c>
      <x:c r="E27" s="5" t="str">
        <x:v>Unassigned</x:v>
      </x:c>
      <x:c r="F27" s="5" t="str">
        <x:v>Hongkuan Zhou; Tristan Rehm; Nadeem Nazer; Lavdim Halilaj; Jingcheng Wu; Steffen Staab</x:v>
      </x:c>
      <x:c r="G27" s="5" t="str">
        <x:v>Hongkuan Zhou</x:v>
      </x:c>
      <x:c r="H27" s="5" t="n">
        <x:v>2026</x:v>
      </x:c>
      <x:c r="I27" s="5" t="str">
        <x:v>GenAU: Language-Grounded Industrial Anomaly Understanding with Vision-Language Models</x:v>
      </x:c>
      <x:c r="J27" s="5" t="str">
        <x:v>arXiv preprint</x:v>
      </x:c>
      <x:c r="K27" s="5" t="str"/>
      <x:c r="L27" s="5" t="str">
        <x:v>2607.01049</x:v>
      </x:c>
      <x:c r="M27" s="5" t="str">
        <x:v>http://arxiv.org/abs/2607.01049v1</x:v>
      </x:c>
      <x:c r="N27" s="5" t="str">
        <x:v>http://arxiv.org/abs/2607.01049v1</x:v>
      </x:c>
      <x:c r="O27" s="5" t="str">
        <x:v>Not extracted</x:v>
      </x:c>
      <x:c r="P27" s="5" t="str">
        <x:v>Not extracted</x:v>
      </x:c>
      <x:c r="Q27" s="5" t="str">
        <x:v>Not extracted</x:v>
      </x:c>
      <x:c r="R27" s="5" t="str">
        <x:v>Not extracted</x:v>
      </x:c>
      <x:c r="S27" s="5" t="str">
        <x:v>Unassigned</x:v>
      </x:c>
      <x:c r="T27" s="5" t="str">
        <x:v>Original study</x:v>
      </x:c>
      <x:c r="U27" s="5" t="str"/>
      <x:c r="V27" s="5" t="str"/>
      <x:c r="W27" s="5" t="str">
        <x:v>Not extracted</x:v>
      </x:c>
      <x:c r="X27" s="5" t="str">
        <x:v>Pending eligibility screening</x:v>
      </x:c>
      <x:c r="Y27" s="5" t="str">
        <x:v>zhou2026_P12</x:v>
      </x:c>
      <x:c r="Z27" s="5" t="str">
        <x:v>Generated; needs verification</x:v>
      </x:c>
      <x:c r="AA27" s="5" t="str">
        <x:v>No manuscript yet</x:v>
      </x:c>
      <x:c r="AB27" s="5" t="str">
        <x:v>No</x:v>
      </x:c>
      <x:c r="AC27" s="5" t="str">
        <x:v>Not checked</x:v>
      </x:c>
      <x:c r="AD27" s="5" t="str">
        <x:v>Unscreened</x:v>
      </x:c>
      <x:c r="AE27" s="5" t="str">
        <x:v>Not linked</x:v>
      </x:c>
      <x:c r="AF27" s="5" t="str">
        <x:v>SEED</x:v>
      </x:c>
      <x:c r="AG27" s="5" t="str">
        <x:v>Seed metadata / primary source</x:v>
      </x:c>
      <x:c r="AH27" s="5" t="str">
        <x:v>Preprint / repository record</x:v>
      </x:c>
      <x:c r="AI27" s="5" t="str">
        <x:v>Metadata only</x:v>
      </x:c>
      <x:c r="AJ27" s="5" t="str">
        <x:v>Verified against arXiv metadata; publication linkage pending</x:v>
      </x:c>
      <x:c r="AK27" s="5" t="str">
        <x:v>arxiv-preprint</x:v>
      </x:c>
      <x:c r="AL27" s="5" t="str">
        <x:v>Seed priority</x:v>
      </x:c>
      <x:c r="AM27" s="5" t="str">
        <x:v>review-paper/search-strategy/runs/SEED-METADATA-20261013/P12.xml</x:v>
      </x:c>
      <x:c r="AN27" s="8" t="d">
        <x:v>2026-10-13T00:00:00.000Z</x:v>
      </x:c>
    </x:row>
    <x:row r="28" ht="53" customHeight="1">
      <x:c r="A28" s="5" t="str">
        <x:v>R01</x:v>
      </x:c>
      <x:c r="B28" s="5" t="str">
        <x:v>Unassigned</x:v>
      </x:c>
      <x:c r="C28" s="5" t="str">
        <x:v>Unassigned</x:v>
      </x:c>
      <x:c r="D28" s="5" t="str">
        <x:v>Unassigned</x:v>
      </x:c>
      <x:c r="E28" s="5" t="str">
        <x:v>Unassigned</x:v>
      </x:c>
      <x:c r="F28" s="5" t="str">
        <x:v>Jiaqi Liu; Guoyang Xie; Jinbao Wang; Shangnian Li; Chengjie Wang; Feng Zheng; Yaochu Jin</x:v>
      </x:c>
      <x:c r="G28" s="5" t="str">
        <x:v>Jiaqi Liu</x:v>
      </x:c>
      <x:c r="H28" s="5" t="n">
        <x:v>2024</x:v>
      </x:c>
      <x:c r="I28" s="5" t="str">
        <x:v>Deep Industrial Image Anomaly Detection: A Survey</x:v>
      </x:c>
      <x:c r="J28" s="5" t="str">
        <x:v>Machine Intelligence Research</x:v>
      </x:c>
      <x:c r="K28" s="5" t="str">
        <x:v>10.1007/s11633-023-1459-z</x:v>
      </x:c>
      <x:c r="L28" s="5" t="str"/>
      <x:c r="M28" s="5" t="str">
        <x:v>https://link.springer.com/10.1007/s11633-023-1459-z</x:v>
      </x:c>
      <x:c r="N28" s="5" t="str">
        <x:v>https://doi.org/10.1007/s11633-023-1459-z</x:v>
      </x:c>
      <x:c r="O28" s="5" t="str">
        <x:v>Not extracted</x:v>
      </x:c>
      <x:c r="P28" s="5" t="str">
        <x:v>Not extracted</x:v>
      </x:c>
      <x:c r="Q28" s="5" t="str">
        <x:v>Not extracted</x:v>
      </x:c>
      <x:c r="R28" s="5" t="str">
        <x:v>Not extracted</x:v>
      </x:c>
      <x:c r="S28" s="5" t="str">
        <x:v>Unassigned</x:v>
      </x:c>
      <x:c r="T28" s="5" t="str">
        <x:v>Review</x:v>
      </x:c>
      <x:c r="U28" s="5" t="str"/>
      <x:c r="V28" s="5" t="str"/>
      <x:c r="W28" s="5" t="str">
        <x:v>Not extracted</x:v>
      </x:c>
      <x:c r="X28" s="5" t="str">
        <x:v>Pending eligibility screening</x:v>
      </x:c>
      <x:c r="Y28" s="5" t="str">
        <x:v>liu2024_R01</x:v>
      </x:c>
      <x:c r="Z28" s="5" t="str">
        <x:v>Generated; needs verification</x:v>
      </x:c>
      <x:c r="AA28" s="5" t="str">
        <x:v>No manuscript yet</x:v>
      </x:c>
      <x:c r="AB28" s="5" t="str">
        <x:v>No</x:v>
      </x:c>
      <x:c r="AC28" s="5" t="str">
        <x:v>Not checked</x:v>
      </x:c>
      <x:c r="AD28" s="5" t="str">
        <x:v>Unscreened</x:v>
      </x:c>
      <x:c r="AE28" s="5" t="str">
        <x:v>Not linked</x:v>
      </x:c>
      <x:c r="AF28" s="5" t="str">
        <x:v>SEED</x:v>
      </x:c>
      <x:c r="AG28" s="5" t="str">
        <x:v>Seed metadata / primary source</x:v>
      </x:c>
      <x:c r="AH28" s="5" t="str">
        <x:v>Journal / conference record; peer review not audited</x:v>
      </x:c>
      <x:c r="AI28" s="5" t="str">
        <x:v>Abstract inspected</x:v>
      </x:c>
      <x:c r="AJ28" s="5" t="str">
        <x:v>Verified against deposited metadata; publisher citation check pending</x:v>
      </x:c>
      <x:c r="AK28" s="5" t="str">
        <x:v>journal-article</x:v>
      </x:c>
      <x:c r="AL28" s="5" t="str">
        <x:v>Seed priority</x:v>
      </x:c>
      <x:c r="AM28" s="5" t="str">
        <x:v>review-paper/search-strategy/runs/SEED-METADATA-20261013/R01.json</x:v>
      </x:c>
      <x:c r="AN28" s="8" t="d">
        <x:v>2026-10-13T00:00:00.000Z</x:v>
      </x:c>
    </x:row>
    <x:row r="29" ht="53" customHeight="1">
      <x:c r="A29" s="5" t="str">
        <x:v>R02</x:v>
      </x:c>
      <x:c r="B29" s="5" t="str">
        <x:v>Unassigned</x:v>
      </x:c>
      <x:c r="C29" s="5" t="str">
        <x:v>Unassigned</x:v>
      </x:c>
      <x:c r="D29" s="5" t="str">
        <x:v>Unassigned</x:v>
      </x:c>
      <x:c r="E29" s="5" t="str">
        <x:v>Unassigned</x:v>
      </x:c>
      <x:c r="F29" s="5" t="str">
        <x:v>Zhuo Li; Yuhao Yan; Xiangheng Wang; Yifei Ge; Lin Meng</x:v>
      </x:c>
      <x:c r="G29" s="5" t="str">
        <x:v>Zhuo Li</x:v>
      </x:c>
      <x:c r="H29" s="5" t="n">
        <x:v>2025</x:v>
      </x:c>
      <x:c r="I29" s="5" t="str">
        <x:v>A survey of deep learning for industrial visual anomaly detection</x:v>
      </x:c>
      <x:c r="J29" s="5" t="str">
        <x:v>Artificial Intelligence Review</x:v>
      </x:c>
      <x:c r="K29" s="5" t="str">
        <x:v>10.1007/s10462-025-11287-7</x:v>
      </x:c>
      <x:c r="L29" s="5" t="str"/>
      <x:c r="M29" s="5" t="str">
        <x:v>https://link.springer.com/10.1007/s10462-025-11287-7</x:v>
      </x:c>
      <x:c r="N29" s="5" t="str">
        <x:v>https://doi.org/10.1007/s10462-025-11287-7</x:v>
      </x:c>
      <x:c r="O29" s="5" t="str">
        <x:v>Not extracted</x:v>
      </x:c>
      <x:c r="P29" s="5" t="str">
        <x:v>Not extracted</x:v>
      </x:c>
      <x:c r="Q29" s="5" t="str">
        <x:v>Not extracted</x:v>
      </x:c>
      <x:c r="R29" s="5" t="str">
        <x:v>Not extracted</x:v>
      </x:c>
      <x:c r="S29" s="5" t="str">
        <x:v>Unassigned</x:v>
      </x:c>
      <x:c r="T29" s="5" t="str">
        <x:v>Review</x:v>
      </x:c>
      <x:c r="U29" s="5" t="str"/>
      <x:c r="V29" s="5" t="str"/>
      <x:c r="W29" s="5" t="str">
        <x:v>Not extracted</x:v>
      </x:c>
      <x:c r="X29" s="5" t="str">
        <x:v>Pending eligibility screening</x:v>
      </x:c>
      <x:c r="Y29" s="5" t="str">
        <x:v>li2025_R02</x:v>
      </x:c>
      <x:c r="Z29" s="5" t="str">
        <x:v>Generated; needs verification</x:v>
      </x:c>
      <x:c r="AA29" s="5" t="str">
        <x:v>No manuscript yet</x:v>
      </x:c>
      <x:c r="AB29" s="5" t="str">
        <x:v>No</x:v>
      </x:c>
      <x:c r="AC29" s="5" t="str">
        <x:v>Full text retrieved; current link not rechecked</x:v>
      </x:c>
      <x:c r="AD29" s="5" t="str">
        <x:v>Unscreened</x:v>
      </x:c>
      <x:c r="AE29" s="5" t="str">
        <x:v>Not linked</x:v>
      </x:c>
      <x:c r="AF29" s="5" t="str">
        <x:v>S01; S02; SEED</x:v>
      </x:c>
      <x:c r="AG29" s="5" t="str">
        <x:v>Seed metadata / primary source</x:v>
      </x:c>
      <x:c r="AH29" s="5" t="str">
        <x:v>Journal / conference record; peer review not audited</x:v>
      </x:c>
      <x:c r="AI29" s="5" t="str">
        <x:v>Section extraction</x:v>
      </x:c>
      <x:c r="AJ29" s="5" t="str">
        <x:v>Verified against deposited metadata; publisher citation check pending</x:v>
      </x:c>
      <x:c r="AK29" s="5" t="str">
        <x:v>journal-article</x:v>
      </x:c>
      <x:c r="AL29" s="5" t="str">
        <x:v>Seed priority</x:v>
      </x:c>
      <x:c r="AM29" s="5" t="str">
        <x:v>review-paper/search-strategy/runs/SEED-METADATA-20261013/R02.json</x:v>
      </x:c>
      <x:c r="AN29" s="8" t="d">
        <x:v>2026-10-13T00:00:00.000Z</x:v>
      </x:c>
    </x:row>
    <x:row r="30" ht="53" customHeight="1">
      <x:c r="A30" s="5" t="str">
        <x:v>R03</x:v>
      </x:c>
      <x:c r="B30" s="5" t="str">
        <x:v>Unassigned</x:v>
      </x:c>
      <x:c r="C30" s="5" t="str">
        <x:v>Unassigned</x:v>
      </x:c>
      <x:c r="D30" s="5" t="str">
        <x:v>Unassigned</x:v>
      </x:c>
      <x:c r="E30" s="5" t="str">
        <x:v>Unassigned</x:v>
      </x:c>
      <x:c r="F30" s="5" t="str">
        <x:v>Yunkang Cao; Xiaohao Xu; Jiangning Zhang; Yuqi Cheng; Xiaonan Huang; Guansong Pang; Weiming Shen</x:v>
      </x:c>
      <x:c r="G30" s="5" t="str">
        <x:v>Yunkang Cao</x:v>
      </x:c>
      <x:c r="H30" s="5" t="n">
        <x:v>2024</x:v>
      </x:c>
      <x:c r="I30" s="5" t="str">
        <x:v>A Survey on Visual Anomaly Detection: Challenge, Approach, and Prospect</x:v>
      </x:c>
      <x:c r="J30" s="5" t="str">
        <x:v>arXiv preprint</x:v>
      </x:c>
      <x:c r="K30" s="5" t="str"/>
      <x:c r="L30" s="5" t="str">
        <x:v>2401.16402</x:v>
      </x:c>
      <x:c r="M30" s="5" t="str">
        <x:v>http://arxiv.org/abs/2401.16402v1</x:v>
      </x:c>
      <x:c r="N30" s="5" t="str">
        <x:v>http://arxiv.org/abs/2401.16402v1</x:v>
      </x:c>
      <x:c r="O30" s="5" t="str">
        <x:v>Not extracted</x:v>
      </x:c>
      <x:c r="P30" s="5" t="str">
        <x:v>Not extracted</x:v>
      </x:c>
      <x:c r="Q30" s="5" t="str">
        <x:v>Not extracted</x:v>
      </x:c>
      <x:c r="R30" s="5" t="str">
        <x:v>Not extracted</x:v>
      </x:c>
      <x:c r="S30" s="5" t="str">
        <x:v>Unassigned</x:v>
      </x:c>
      <x:c r="T30" s="5" t="str">
        <x:v>Review</x:v>
      </x:c>
      <x:c r="U30" s="5" t="str"/>
      <x:c r="V30" s="5" t="str"/>
      <x:c r="W30" s="5" t="str">
        <x:v>Not extracted</x:v>
      </x:c>
      <x:c r="X30" s="5" t="str">
        <x:v>Pending eligibility screening</x:v>
      </x:c>
      <x:c r="Y30" s="5" t="str">
        <x:v>cao2024_R03</x:v>
      </x:c>
      <x:c r="Z30" s="5" t="str">
        <x:v>Generated; needs verification</x:v>
      </x:c>
      <x:c r="AA30" s="5" t="str">
        <x:v>No manuscript yet</x:v>
      </x:c>
      <x:c r="AB30" s="5" t="str">
        <x:v>No</x:v>
      </x:c>
      <x:c r="AC30" s="5" t="str">
        <x:v>Full text retrieved; current link not rechecked</x:v>
      </x:c>
      <x:c r="AD30" s="5" t="str">
        <x:v>Unscreened</x:v>
      </x:c>
      <x:c r="AE30" s="5" t="str">
        <x:v>Not linked</x:v>
      </x:c>
      <x:c r="AF30" s="5" t="str">
        <x:v>SEED</x:v>
      </x:c>
      <x:c r="AG30" s="5" t="str">
        <x:v>Seed metadata / primary source</x:v>
      </x:c>
      <x:c r="AH30" s="5" t="str">
        <x:v>Preprint / repository record</x:v>
      </x:c>
      <x:c r="AI30" s="5" t="str">
        <x:v>Full text retrieved</x:v>
      </x:c>
      <x:c r="AJ30" s="5" t="str">
        <x:v>Verified against arXiv metadata; publication linkage pending</x:v>
      </x:c>
      <x:c r="AK30" s="5" t="str">
        <x:v>arxiv-preprint</x:v>
      </x:c>
      <x:c r="AL30" s="5" t="str">
        <x:v>Seed priority</x:v>
      </x:c>
      <x:c r="AM30" s="5" t="str">
        <x:v>review-paper/search-strategy/runs/SEED-METADATA-20261013/R03.xml</x:v>
      </x:c>
      <x:c r="AN30" s="8" t="d">
        <x:v>2026-10-13T00:00:00.000Z</x:v>
      </x:c>
    </x:row>
    <x:row r="31" ht="53" customHeight="1">
      <x:c r="A31" s="5" t="str">
        <x:v>R04</x:v>
      </x:c>
      <x:c r="B31" s="5" t="str">
        <x:v>Unassigned</x:v>
      </x:c>
      <x:c r="C31" s="5" t="str">
        <x:v>Unassigned</x:v>
      </x:c>
      <x:c r="D31" s="5" t="str">
        <x:v>Unassigned</x:v>
      </x:c>
      <x:c r="E31" s="5" t="str">
        <x:v>Unassigned</x:v>
      </x:c>
      <x:c r="F31" s="5" t="str">
        <x:v>Abdelrahman Alzarooni; Ehtesham Iqbal; Samee Ullah Khan; Sajid Javed; Brain Moyo; Yusra Abdulrahman</x:v>
      </x:c>
      <x:c r="G31" s="5" t="str">
        <x:v>Abdelrahman Alzarooni</x:v>
      </x:c>
      <x:c r="H31" s="5" t="n">
        <x:v>2025</x:v>
      </x:c>
      <x:c r="I31" s="5" t="str">
        <x:v>Anomaly Detection for Industrial Applications, Its Challenges, Solutions, and Future Directions: A Review</x:v>
      </x:c>
      <x:c r="J31" s="5" t="str">
        <x:v>arXiv preprint</x:v>
      </x:c>
      <x:c r="K31" s="5" t="str"/>
      <x:c r="L31" s="5" t="str">
        <x:v>2501.11310</x:v>
      </x:c>
      <x:c r="M31" s="5" t="str">
        <x:v>http://arxiv.org/abs/2501.11310v1</x:v>
      </x:c>
      <x:c r="N31" s="5" t="str">
        <x:v>http://arxiv.org/abs/2501.11310v1</x:v>
      </x:c>
      <x:c r="O31" s="5" t="str">
        <x:v>Not extracted</x:v>
      </x:c>
      <x:c r="P31" s="5" t="str">
        <x:v>Not extracted</x:v>
      </x:c>
      <x:c r="Q31" s="5" t="str">
        <x:v>Not extracted</x:v>
      </x:c>
      <x:c r="R31" s="5" t="str">
        <x:v>Not extracted</x:v>
      </x:c>
      <x:c r="S31" s="5" t="str">
        <x:v>Unassigned</x:v>
      </x:c>
      <x:c r="T31" s="5" t="str">
        <x:v>Review</x:v>
      </x:c>
      <x:c r="U31" s="5" t="str"/>
      <x:c r="V31" s="5" t="str"/>
      <x:c r="W31" s="5" t="str">
        <x:v>Not extracted</x:v>
      </x:c>
      <x:c r="X31" s="5" t="str">
        <x:v>Pending eligibility screening</x:v>
      </x:c>
      <x:c r="Y31" s="5" t="str">
        <x:v>alzarooni2025_R04</x:v>
      </x:c>
      <x:c r="Z31" s="5" t="str">
        <x:v>Generated; needs verification</x:v>
      </x:c>
      <x:c r="AA31" s="5" t="str">
        <x:v>No manuscript yet</x:v>
      </x:c>
      <x:c r="AB31" s="5" t="str">
        <x:v>No</x:v>
      </x:c>
      <x:c r="AC31" s="5" t="str">
        <x:v>Full text retrieved; current link not rechecked</x:v>
      </x:c>
      <x:c r="AD31" s="5" t="str">
        <x:v>Unscreened</x:v>
      </x:c>
      <x:c r="AE31" s="5" t="str">
        <x:v>Not linked</x:v>
      </x:c>
      <x:c r="AF31" s="5" t="str">
        <x:v>SEED</x:v>
      </x:c>
      <x:c r="AG31" s="5" t="str">
        <x:v>Seed metadata / primary source</x:v>
      </x:c>
      <x:c r="AH31" s="5" t="str">
        <x:v>Preprint / repository record</x:v>
      </x:c>
      <x:c r="AI31" s="5" t="str">
        <x:v>Full text retrieved</x:v>
      </x:c>
      <x:c r="AJ31" s="5" t="str">
        <x:v>Verified against arXiv metadata; publication linkage pending</x:v>
      </x:c>
      <x:c r="AK31" s="5" t="str">
        <x:v>arxiv-preprint</x:v>
      </x:c>
      <x:c r="AL31" s="5" t="str">
        <x:v>Seed priority</x:v>
      </x:c>
      <x:c r="AM31" s="5" t="str">
        <x:v>review-paper/search-strategy/runs/SEED-METADATA-20261013/R04.xml</x:v>
      </x:c>
      <x:c r="AN31" s="8" t="d">
        <x:v>2026-10-13T00:00:00.000Z</x:v>
      </x:c>
    </x:row>
    <x:row r="32" ht="53" customHeight="1">
      <x:c r="A32" s="5" t="str">
        <x:v>R05</x:v>
      </x:c>
      <x:c r="B32" s="5" t="str">
        <x:v>Unassigned</x:v>
      </x:c>
      <x:c r="C32" s="5" t="str">
        <x:v>Unassigned</x:v>
      </x:c>
      <x:c r="D32" s="5" t="str">
        <x:v>Unassigned</x:v>
      </x:c>
      <x:c r="E32" s="5" t="str">
        <x:v>Unassigned</x:v>
      </x:c>
      <x:c r="F32" s="5" t="str">
        <x:v>Yu Mao; Ziyang Chen; Ying Liu; Cong Dong; Kechen Song</x:v>
      </x:c>
      <x:c r="G32" s="5" t="str">
        <x:v>Yu Mao</x:v>
      </x:c>
      <x:c r="H32" s="5" t="n">
        <x:v>2025</x:v>
      </x:c>
      <x:c r="I32" s="5" t="str">
        <x:v>A survey on industrial image anomaly detection: methods, benchmarks and rethinks</x:v>
      </x:c>
      <x:c r="J32" s="5" t="str">
        <x:v>Measurement</x:v>
      </x:c>
      <x:c r="K32" s="5" t="str">
        <x:v>10.1016/j.measurement.2025.118377</x:v>
      </x:c>
      <x:c r="L32" s="5" t="str"/>
      <x:c r="M32" s="5" t="str">
        <x:v>https://linkinghub.elsevier.com/retrieve/pii/S0263224125017361</x:v>
      </x:c>
      <x:c r="N32" s="5" t="str">
        <x:v>https://doi.org/10.1016/j.measurement.2025.118377</x:v>
      </x:c>
      <x:c r="O32" s="5" t="str">
        <x:v>Not extracted</x:v>
      </x:c>
      <x:c r="P32" s="5" t="str">
        <x:v>Not extracted</x:v>
      </x:c>
      <x:c r="Q32" s="5" t="str">
        <x:v>Not extracted</x:v>
      </x:c>
      <x:c r="R32" s="5" t="str">
        <x:v>Not extracted</x:v>
      </x:c>
      <x:c r="S32" s="5" t="str">
        <x:v>Unassigned</x:v>
      </x:c>
      <x:c r="T32" s="5" t="str">
        <x:v>Review</x:v>
      </x:c>
      <x:c r="U32" s="5" t="str"/>
      <x:c r="V32" s="5" t="str"/>
      <x:c r="W32" s="5" t="str">
        <x:v>Not extracted</x:v>
      </x:c>
      <x:c r="X32" s="5" t="str">
        <x:v>Pending eligibility screening</x:v>
      </x:c>
      <x:c r="Y32" s="5" t="str">
        <x:v>mao2025_R05</x:v>
      </x:c>
      <x:c r="Z32" s="5" t="str">
        <x:v>Generated; needs verification</x:v>
      </x:c>
      <x:c r="AA32" s="5" t="str">
        <x:v>No manuscript yet</x:v>
      </x:c>
      <x:c r="AB32" s="5" t="str">
        <x:v>No</x:v>
      </x:c>
      <x:c r="AC32" s="5" t="str">
        <x:v>Not checked</x:v>
      </x:c>
      <x:c r="AD32" s="5" t="str">
        <x:v>Unscreened</x:v>
      </x:c>
      <x:c r="AE32" s="5" t="str">
        <x:v>Not linked</x:v>
      </x:c>
      <x:c r="AF32" s="5" t="str">
        <x:v>SEED</x:v>
      </x:c>
      <x:c r="AG32" s="5" t="str">
        <x:v>Seed metadata / primary source</x:v>
      </x:c>
      <x:c r="AH32" s="5" t="str">
        <x:v>Journal / conference record; peer review not audited</x:v>
      </x:c>
      <x:c r="AI32" s="5" t="str">
        <x:v>Search extract only</x:v>
      </x:c>
      <x:c r="AJ32" s="5" t="str">
        <x:v>Verified against deposited metadata; publisher citation check pending</x:v>
      </x:c>
      <x:c r="AK32" s="5" t="str">
        <x:v>journal-article</x:v>
      </x:c>
      <x:c r="AL32" s="5" t="str">
        <x:v>Seed priority</x:v>
      </x:c>
      <x:c r="AM32" s="5" t="str">
        <x:v>review-paper/search-strategy/runs/SEED-METADATA-20261013/R05.json</x:v>
      </x:c>
      <x:c r="AN32" s="8" t="d">
        <x:v>2026-10-13T00:00:00.000Z</x:v>
      </x:c>
    </x:row>
    <x:row r="33" ht="53" customHeight="1">
      <x:c r="A33" s="5" t="str">
        <x:v>R06</x:v>
      </x:c>
      <x:c r="B33" s="5" t="str">
        <x:v>Unassigned</x:v>
      </x:c>
      <x:c r="C33" s="5" t="str">
        <x:v>Unassigned</x:v>
      </x:c>
      <x:c r="D33" s="5" t="str">
        <x:v>Unassigned</x:v>
      </x:c>
      <x:c r="E33" s="5" t="str">
        <x:v>Unassigned</x:v>
      </x:c>
      <x:c r="F33" s="5" t="str"/>
      <x:c r="G33" s="5" t="str"/>
      <x:c r="H33" s="5"/>
      <x:c r="I33" s="5" t="str">
        <x:v>A comprehensive survey for real-world industrial surface defect detection: Challenges, approaches, and prospects</x:v>
      </x:c>
      <x:c r="J33" s="5" t="str"/>
      <x:c r="K33" s="5" t="str"/>
      <x:c r="L33" s="5" t="str"/>
      <x:c r="M33" s="5" t="str">
        <x:v>https://www.sciencedirect.com/science/article/abs/pii/S0278612525002845</x:v>
      </x:c>
      <x:c r="N33" s="5" t="str">
        <x:v>https://www.sciencedirect.com/science/article/abs/pii/S0278612525002845</x:v>
      </x:c>
      <x:c r="O33" s="5" t="str">
        <x:v>Not extracted</x:v>
      </x:c>
      <x:c r="P33" s="5" t="str">
        <x:v>Not extracted</x:v>
      </x:c>
      <x:c r="Q33" s="5" t="str">
        <x:v>Not extracted</x:v>
      </x:c>
      <x:c r="R33" s="5" t="str">
        <x:v>Not extracted</x:v>
      </x:c>
      <x:c r="S33" s="5" t="str">
        <x:v>Unassigned</x:v>
      </x:c>
      <x:c r="T33" s="5" t="str">
        <x:v>Review</x:v>
      </x:c>
      <x:c r="U33" s="5" t="str"/>
      <x:c r="V33" s="5" t="str"/>
      <x:c r="W33" s="5" t="str">
        <x:v>Not extracted</x:v>
      </x:c>
      <x:c r="X33" s="5" t="str">
        <x:v>Pending eligibility screening</x:v>
      </x:c>
      <x:c r="Y33" s="5" t="str">
        <x:v>unknownnd_R06</x:v>
      </x:c>
      <x:c r="Z33" s="5" t="str">
        <x:v>Incomplete metadata</x:v>
      </x:c>
      <x:c r="AA33" s="5" t="str">
        <x:v>No manuscript yet</x:v>
      </x:c>
      <x:c r="AB33" s="5" t="str">
        <x:v>No</x:v>
      </x:c>
      <x:c r="AC33" s="5" t="str">
        <x:v>Not checked</x:v>
      </x:c>
      <x:c r="AD33" s="5" t="str">
        <x:v>Unscreened</x:v>
      </x:c>
      <x:c r="AE33" s="5" t="str">
        <x:v>Not linked</x:v>
      </x:c>
      <x:c r="AF33" s="5" t="str">
        <x:v>SEED</x:v>
      </x:c>
      <x:c r="AG33" s="5" t="str">
        <x:v>Seed metadata / primary source</x:v>
      </x:c>
      <x:c r="AH33" s="5" t="str">
        <x:v>Publication status unverified</x:v>
      </x:c>
      <x:c r="AI33" s="5" t="str">
        <x:v>Search extract only</x:v>
      </x:c>
      <x:c r="AJ33" s="5" t="str">
        <x:v>Needs bibliographic verification</x:v>
      </x:c>
      <x:c r="AK33" s="5" t="str">
        <x:v>unresolved</x:v>
      </x:c>
      <x:c r="AL33" s="5" t="str">
        <x:v>Seed priority</x:v>
      </x:c>
      <x:c r="AM33" s="5" t="str">
        <x:v>Legacy/web seed</x:v>
      </x:c>
      <x:c r="AN33" s="8" t="d">
        <x:v>2026-10-13T00:00:00.000Z</x:v>
      </x:c>
    </x:row>
    <x:row r="34" ht="53" customHeight="1">
      <x:c r="A34" s="5" t="str">
        <x:v>R07</x:v>
      </x:c>
      <x:c r="B34" s="5" t="str">
        <x:v>Unassigned</x:v>
      </x:c>
      <x:c r="C34" s="5" t="str">
        <x:v>Unassigned</x:v>
      </x:c>
      <x:c r="D34" s="5" t="str">
        <x:v>Unassigned</x:v>
      </x:c>
      <x:c r="E34" s="5" t="str">
        <x:v>Unassigned</x:v>
      </x:c>
      <x:c r="F34" s="5" t="str">
        <x:v>Henri Vennikas; Olev Märtens; Tavo Kangru; Yannick Le Moullec</x:v>
      </x:c>
      <x:c r="G34" s="5" t="str">
        <x:v>Henri Vennikas</x:v>
      </x:c>
      <x:c r="H34" s="5" t="n">
        <x:v>2026</x:v>
      </x:c>
      <x:c r="I34" s="5" t="str">
        <x:v>Automated visual inspection of linear and areal surface defects: A metrological survey</x:v>
      </x:c>
      <x:c r="J34" s="5" t="str">
        <x:v>Measurement</x:v>
      </x:c>
      <x:c r="K34" s="5" t="str">
        <x:v>10.1016/j.measurement.2026.122522</x:v>
      </x:c>
      <x:c r="L34" s="5" t="str"/>
      <x:c r="M34" s="5" t="str">
        <x:v>https://linkinghub.elsevier.com/retrieve/pii/S0263224126022311</x:v>
      </x:c>
      <x:c r="N34" s="5" t="str">
        <x:v>https://doi.org/10.1016/j.measurement.2026.122522</x:v>
      </x:c>
      <x:c r="O34" s="5" t="str">
        <x:v>Not extracted</x:v>
      </x:c>
      <x:c r="P34" s="5" t="str">
        <x:v>Not extracted</x:v>
      </x:c>
      <x:c r="Q34" s="5" t="str">
        <x:v>Not extracted</x:v>
      </x:c>
      <x:c r="R34" s="5" t="str">
        <x:v>Not extracted</x:v>
      </x:c>
      <x:c r="S34" s="5" t="str">
        <x:v>Unassigned</x:v>
      </x:c>
      <x:c r="T34" s="5" t="str">
        <x:v>Review</x:v>
      </x:c>
      <x:c r="U34" s="5" t="str"/>
      <x:c r="V34" s="5" t="str"/>
      <x:c r="W34" s="5" t="str">
        <x:v>Not extracted</x:v>
      </x:c>
      <x:c r="X34" s="5" t="str">
        <x:v>Pending eligibility screening</x:v>
      </x:c>
      <x:c r="Y34" s="5" t="str">
        <x:v>vennikas2026_R07</x:v>
      </x:c>
      <x:c r="Z34" s="5" t="str">
        <x:v>Generated; needs verification</x:v>
      </x:c>
      <x:c r="AA34" s="5" t="str">
        <x:v>No manuscript yet</x:v>
      </x:c>
      <x:c r="AB34" s="5" t="str">
        <x:v>No</x:v>
      </x:c>
      <x:c r="AC34" s="5" t="str">
        <x:v>Not checked</x:v>
      </x:c>
      <x:c r="AD34" s="5" t="str">
        <x:v>Unscreened</x:v>
      </x:c>
      <x:c r="AE34" s="5" t="str">
        <x:v>Not linked</x:v>
      </x:c>
      <x:c r="AF34" s="5" t="str">
        <x:v>SEED</x:v>
      </x:c>
      <x:c r="AG34" s="5" t="str">
        <x:v>Seed metadata / primary source</x:v>
      </x:c>
      <x:c r="AH34" s="5" t="str">
        <x:v>Journal / conference record; peer review not audited</x:v>
      </x:c>
      <x:c r="AI34" s="5" t="str">
        <x:v>Search extract only</x:v>
      </x:c>
      <x:c r="AJ34" s="5" t="str">
        <x:v>Verified against deposited metadata; publisher citation check pending</x:v>
      </x:c>
      <x:c r="AK34" s="5" t="str">
        <x:v>journal-article</x:v>
      </x:c>
      <x:c r="AL34" s="5" t="str">
        <x:v>Seed priority</x:v>
      </x:c>
      <x:c r="AM34" s="5" t="str">
        <x:v>review-paper/search-strategy/runs/SEED-METADATA-20261013/R07.json</x:v>
      </x:c>
      <x:c r="AN34" s="8" t="d">
        <x:v>2026-10-13T00:00:00.000Z</x:v>
      </x:c>
    </x:row>
    <x:row r="35" ht="40" customHeight="1">
      <x:c r="A35" s="5" t="str">
        <x:v>R08</x:v>
      </x:c>
      <x:c r="B35" s="5" t="str">
        <x:v>Unassigned</x:v>
      </x:c>
      <x:c r="C35" s="5" t="str">
        <x:v>Unassigned</x:v>
      </x:c>
      <x:c r="D35" s="5" t="str">
        <x:v>Unassigned</x:v>
      </x:c>
      <x:c r="E35" s="5" t="str">
        <x:v>Unassigned</x:v>
      </x:c>
      <x:c r="F35" s="5" t="str"/>
      <x:c r="G35" s="5" t="str"/>
      <x:c r="H35" s="5" t="n">
        <x:v>2026</x:v>
      </x:c>
      <x:c r="I35" s="5" t="str">
        <x:v>Deep Learning Algorithms for Defect Detection on Electronic Assemblies: A Systematic Literature Review</x:v>
      </x:c>
      <x:c r="J35" s="5" t="str"/>
      <x:c r="K35" s="5" t="str"/>
      <x:c r="L35" s="5" t="str"/>
      <x:c r="M35" s="5" t="str">
        <x:v>https://www.mdpi.com/2504-4990/8/1/5</x:v>
      </x:c>
      <x:c r="N35" s="5" t="str">
        <x:v>https://www.mdpi.com/2504-4990/8/1/5</x:v>
      </x:c>
      <x:c r="O35" s="5" t="str">
        <x:v>Not extracted</x:v>
      </x:c>
      <x:c r="P35" s="5" t="str">
        <x:v>Not extracted</x:v>
      </x:c>
      <x:c r="Q35" s="5" t="str">
        <x:v>Not extracted</x:v>
      </x:c>
      <x:c r="R35" s="5" t="str">
        <x:v>Not extracted</x:v>
      </x:c>
      <x:c r="S35" s="5" t="str">
        <x:v>Unassigned</x:v>
      </x:c>
      <x:c r="T35" s="5" t="str">
        <x:v>Review</x:v>
      </x:c>
      <x:c r="U35" s="5" t="str"/>
      <x:c r="V35" s="5" t="str"/>
      <x:c r="W35" s="5" t="str">
        <x:v>Not extracted</x:v>
      </x:c>
      <x:c r="X35" s="5" t="str">
        <x:v>Pending eligibility screening</x:v>
      </x:c>
      <x:c r="Y35" s="5" t="str">
        <x:v>unknown2026_R08</x:v>
      </x:c>
      <x:c r="Z35" s="5" t="str">
        <x:v>Incomplete metadata</x:v>
      </x:c>
      <x:c r="AA35" s="5" t="str">
        <x:v>No manuscript yet</x:v>
      </x:c>
      <x:c r="AB35" s="5" t="str">
        <x:v>No</x:v>
      </x:c>
      <x:c r="AC35" s="5" t="str">
        <x:v>Not checked</x:v>
      </x:c>
      <x:c r="AD35" s="5" t="str">
        <x:v>Unscreened</x:v>
      </x:c>
      <x:c r="AE35" s="5" t="str">
        <x:v>Not linked</x:v>
      </x:c>
      <x:c r="AF35" s="5" t="str">
        <x:v>SEED</x:v>
      </x:c>
      <x:c r="AG35" s="5" t="str">
        <x:v>Seed metadata / primary source</x:v>
      </x:c>
      <x:c r="AH35" s="5" t="str">
        <x:v>Publication status unverified</x:v>
      </x:c>
      <x:c r="AI35" s="5" t="str">
        <x:v>Search extract only</x:v>
      </x:c>
      <x:c r="AJ35" s="5" t="str">
        <x:v>Needs bibliographic verification</x:v>
      </x:c>
      <x:c r="AK35" s="5" t="str">
        <x:v>unresolved</x:v>
      </x:c>
      <x:c r="AL35" s="5" t="str">
        <x:v>Seed priority</x:v>
      </x:c>
      <x:c r="AM35" s="5" t="str">
        <x:v>Legacy/web seed</x:v>
      </x:c>
      <x:c r="AN35" s="8" t="d">
        <x:v>2026-10-13T00:00:00.000Z</x:v>
      </x:c>
    </x:row>
    <x:row r="36" ht="53" customHeight="1">
      <x:c r="A36" s="5" t="str">
        <x:v>R09</x:v>
      </x:c>
      <x:c r="B36" s="5" t="str">
        <x:v>Unassigned</x:v>
      </x:c>
      <x:c r="C36" s="5" t="str">
        <x:v>Unassigned</x:v>
      </x:c>
      <x:c r="D36" s="5" t="str">
        <x:v>Unassigned</x:v>
      </x:c>
      <x:c r="E36" s="5" t="str">
        <x:v>Unassigned</x:v>
      </x:c>
      <x:c r="F36" s="5" t="str">
        <x:v>Martin Brenner; Napoleon H. Reyes; Teo Susnjak; Andre L. C. Barczak</x:v>
      </x:c>
      <x:c r="G36" s="5" t="str">
        <x:v>Martin Brenner</x:v>
      </x:c>
      <x:c r="H36" s="5" t="n">
        <x:v>2023</x:v>
      </x:c>
      <x:c r="I36" s="5" t="str">
        <x:v>RGB-D and Thermal Sensor Fusion: A Systematic Literature Review</x:v>
      </x:c>
      <x:c r="J36" s="5" t="str">
        <x:v>IEEE Access</x:v>
      </x:c>
      <x:c r="K36" s="5" t="str">
        <x:v>10.1109/access.2023.3301119</x:v>
      </x:c>
      <x:c r="L36" s="5" t="str">
        <x:v>2305.11427</x:v>
      </x:c>
      <x:c r="M36" s="5" t="str">
        <x:v>https://ieeexplore.ieee.org/document/10201865/</x:v>
      </x:c>
      <x:c r="N36" s="5" t="str">
        <x:v>https://doi.org/10.1109/access.2023.3301119</x:v>
      </x:c>
      <x:c r="O36" s="5" t="str">
        <x:v>Not extracted</x:v>
      </x:c>
      <x:c r="P36" s="5" t="str">
        <x:v>Not extracted</x:v>
      </x:c>
      <x:c r="Q36" s="5" t="str">
        <x:v>Not extracted</x:v>
      </x:c>
      <x:c r="R36" s="5" t="str">
        <x:v>Not extracted</x:v>
      </x:c>
      <x:c r="S36" s="5" t="str">
        <x:v>Unassigned</x:v>
      </x:c>
      <x:c r="T36" s="5" t="str">
        <x:v>Review</x:v>
      </x:c>
      <x:c r="U36" s="5" t="str"/>
      <x:c r="V36" s="5" t="str"/>
      <x:c r="W36" s="5" t="str">
        <x:v>Not extracted</x:v>
      </x:c>
      <x:c r="X36" s="5" t="str">
        <x:v>Pending eligibility screening</x:v>
      </x:c>
      <x:c r="Y36" s="5" t="str">
        <x:v>brenner2023_R09</x:v>
      </x:c>
      <x:c r="Z36" s="5" t="str">
        <x:v>Generated; needs verification</x:v>
      </x:c>
      <x:c r="AA36" s="5" t="str">
        <x:v>No manuscript yet</x:v>
      </x:c>
      <x:c r="AB36" s="5" t="str">
        <x:v>No</x:v>
      </x:c>
      <x:c r="AC36" s="5" t="str">
        <x:v>Not checked</x:v>
      </x:c>
      <x:c r="AD36" s="5" t="str">
        <x:v>Unscreened</x:v>
      </x:c>
      <x:c r="AE36" s="5" t="str">
        <x:v>Not linked</x:v>
      </x:c>
      <x:c r="AF36" s="5" t="str">
        <x:v>SEED</x:v>
      </x:c>
      <x:c r="AG36" s="5" t="str">
        <x:v>Seed metadata / primary source</x:v>
      </x:c>
      <x:c r="AH36" s="5" t="str">
        <x:v>Journal / conference record; peer review not audited</x:v>
      </x:c>
      <x:c r="AI36" s="5" t="str">
        <x:v>Metadata only</x:v>
      </x:c>
      <x:c r="AJ36" s="5" t="str">
        <x:v>Verified against deposited metadata; publisher citation check pending</x:v>
      </x:c>
      <x:c r="AK36" s="5" t="str">
        <x:v>journal-article</x:v>
      </x:c>
      <x:c r="AL36" s="5" t="str">
        <x:v>Seed priority</x:v>
      </x:c>
      <x:c r="AM36" s="5" t="str">
        <x:v>review-paper/search-strategy/runs/SEED-METADATA-20261013/R09.json</x:v>
      </x:c>
      <x:c r="AN36" s="8" t="d">
        <x:v>2026-10-13T00:00:00.000Z</x:v>
      </x:c>
    </x:row>
    <x:row r="37" ht="53" customHeight="1">
      <x:c r="A37" s="5" t="str">
        <x:v>R10</x:v>
      </x:c>
      <x:c r="B37" s="5" t="str">
        <x:v>Unassigned</x:v>
      </x:c>
      <x:c r="C37" s="5" t="str">
        <x:v>Unassigned</x:v>
      </x:c>
      <x:c r="D37" s="5" t="str">
        <x:v>Unassigned</x:v>
      </x:c>
      <x:c r="E37" s="5" t="str">
        <x:v>Unassigned</x:v>
      </x:c>
      <x:c r="F37" s="5" t="str">
        <x:v>Yuxuan Lin; Yang Chang; Xuan Tong; Jiawen Yu; Antonio Liotta; Guofan Huang; Wei Song; Deyu Zeng; Zongze Wu; Yan Wang; Wenqiang Zhang</x:v>
      </x:c>
      <x:c r="G37" s="5" t="str">
        <x:v>Yuxuan Lin</x:v>
      </x:c>
      <x:c r="H37" s="5" t="n">
        <x:v>2025</x:v>
      </x:c>
      <x:c r="I37" s="5" t="str">
        <x:v>A survey on RGB, 3D, and multimodal approaches for unsupervised industrial image anomaly detection</x:v>
      </x:c>
      <x:c r="J37" s="5" t="str">
        <x:v>Information Fusion</x:v>
      </x:c>
      <x:c r="K37" s="5" t="str">
        <x:v>10.1016/j.inffus.2025.103139</x:v>
      </x:c>
      <x:c r="L37" s="5" t="str"/>
      <x:c r="M37" s="5" t="str">
        <x:v>https://linkinghub.elsevier.com/retrieve/pii/S156625352500212X</x:v>
      </x:c>
      <x:c r="N37" s="5" t="str">
        <x:v>https://doi.org/10.1016/j.inffus.2025.103139</x:v>
      </x:c>
      <x:c r="O37" s="5" t="str">
        <x:v>Not extracted</x:v>
      </x:c>
      <x:c r="P37" s="5" t="str">
        <x:v>Not extracted</x:v>
      </x:c>
      <x:c r="Q37" s="5" t="str">
        <x:v>Not extracted</x:v>
      </x:c>
      <x:c r="R37" s="5" t="str">
        <x:v>Not extracted</x:v>
      </x:c>
      <x:c r="S37" s="5" t="str">
        <x:v>Unassigned</x:v>
      </x:c>
      <x:c r="T37" s="5" t="str">
        <x:v>Review</x:v>
      </x:c>
      <x:c r="U37" s="5" t="str"/>
      <x:c r="V37" s="5" t="str"/>
      <x:c r="W37" s="5" t="str">
        <x:v>Not extracted</x:v>
      </x:c>
      <x:c r="X37" s="5" t="str">
        <x:v>Pending eligibility screening</x:v>
      </x:c>
      <x:c r="Y37" s="5" t="str">
        <x:v>lin2025_R10</x:v>
      </x:c>
      <x:c r="Z37" s="5" t="str">
        <x:v>Generated; needs verification</x:v>
      </x:c>
      <x:c r="AA37" s="5" t="str">
        <x:v>No manuscript yet</x:v>
      </x:c>
      <x:c r="AB37" s="5" t="str">
        <x:v>No</x:v>
      </x:c>
      <x:c r="AC37" s="5" t="str">
        <x:v>Not checked</x:v>
      </x:c>
      <x:c r="AD37" s="5" t="str">
        <x:v>Unscreened</x:v>
      </x:c>
      <x:c r="AE37" s="5" t="str">
        <x:v>Not linked</x:v>
      </x:c>
      <x:c r="AF37" s="5" t="str">
        <x:v>SEED</x:v>
      </x:c>
      <x:c r="AG37" s="5" t="str">
        <x:v>Seed metadata / primary source</x:v>
      </x:c>
      <x:c r="AH37" s="5" t="str">
        <x:v>Journal / conference record; peer review not audited</x:v>
      </x:c>
      <x:c r="AI37" s="5" t="str">
        <x:v>Metadata only</x:v>
      </x:c>
      <x:c r="AJ37" s="5" t="str">
        <x:v>Verified against deposited metadata; publisher citation check pending</x:v>
      </x:c>
      <x:c r="AK37" s="5" t="str">
        <x:v>journal-article</x:v>
      </x:c>
      <x:c r="AL37" s="5" t="str">
        <x:v>Seed priority</x:v>
      </x:c>
      <x:c r="AM37" s="5" t="str">
        <x:v>review-paper/search-strategy/runs/SEED-METADATA-20261013/R10.json</x:v>
      </x:c>
      <x:c r="AN37" s="8" t="d">
        <x:v>2026-10-13T00:00:00.000Z</x:v>
      </x:c>
    </x:row>
    <x:row r="38" ht="53" customHeight="1">
      <x:c r="A38" s="5" t="str">
        <x:v>R11</x:v>
      </x:c>
      <x:c r="B38" s="5" t="str">
        <x:v>Unassigned</x:v>
      </x:c>
      <x:c r="C38" s="5" t="str">
        <x:v>Unassigned</x:v>
      </x:c>
      <x:c r="D38" s="5" t="str">
        <x:v>Unassigned</x:v>
      </x:c>
      <x:c r="E38" s="5" t="str">
        <x:v>Unassigned</x:v>
      </x:c>
      <x:c r="F38" s="5" t="str">
        <x:v>Jan Diers; Christian Pigorsch</x:v>
      </x:c>
      <x:c r="G38" s="5" t="str">
        <x:v>Jan Diers</x:v>
      </x:c>
      <x:c r="H38" s="5" t="n">
        <x:v>2023</x:v>
      </x:c>
      <x:c r="I38" s="5" t="str">
        <x:v>A Survey of Methods for Automated Quality Control Based on Images</x:v>
      </x:c>
      <x:c r="J38" s="5" t="str">
        <x:v>International Journal of Computer Vision</x:v>
      </x:c>
      <x:c r="K38" s="5" t="str">
        <x:v>10.1007/s11263-023-01822-w</x:v>
      </x:c>
      <x:c r="L38" s="5" t="str"/>
      <x:c r="M38" s="5" t="str">
        <x:v>https://link.springer.com/10.1007/s11263-023-01822-w</x:v>
      </x:c>
      <x:c r="N38" s="5" t="str">
        <x:v>https://doi.org/10.1007/s11263-023-01822-w</x:v>
      </x:c>
      <x:c r="O38" s="5" t="str">
        <x:v>Not extracted</x:v>
      </x:c>
      <x:c r="P38" s="5" t="str">
        <x:v>Not extracted</x:v>
      </x:c>
      <x:c r="Q38" s="5" t="str">
        <x:v>Not extracted</x:v>
      </x:c>
      <x:c r="R38" s="5" t="str">
        <x:v>Not extracted</x:v>
      </x:c>
      <x:c r="S38" s="5" t="str">
        <x:v>Unassigned</x:v>
      </x:c>
      <x:c r="T38" s="5" t="str">
        <x:v>Review</x:v>
      </x:c>
      <x:c r="U38" s="5" t="str"/>
      <x:c r="V38" s="5" t="str"/>
      <x:c r="W38" s="5" t="str">
        <x:v>Not extracted</x:v>
      </x:c>
      <x:c r="X38" s="5" t="str">
        <x:v>Pending eligibility screening</x:v>
      </x:c>
      <x:c r="Y38" s="5" t="str">
        <x:v>diers2023_R11</x:v>
      </x:c>
      <x:c r="Z38" s="5" t="str">
        <x:v>Generated; needs verification</x:v>
      </x:c>
      <x:c r="AA38" s="5" t="str">
        <x:v>No manuscript yet</x:v>
      </x:c>
      <x:c r="AB38" s="5" t="str">
        <x:v>No</x:v>
      </x:c>
      <x:c r="AC38" s="5" t="str">
        <x:v>Not checked</x:v>
      </x:c>
      <x:c r="AD38" s="5" t="str">
        <x:v>Unscreened</x:v>
      </x:c>
      <x:c r="AE38" s="5" t="str">
        <x:v>Not linked</x:v>
      </x:c>
      <x:c r="AF38" s="5" t="str">
        <x:v>SEED</x:v>
      </x:c>
      <x:c r="AG38" s="5" t="str">
        <x:v>Seed metadata / primary source</x:v>
      </x:c>
      <x:c r="AH38" s="5" t="str">
        <x:v>Journal / conference record; peer review not audited</x:v>
      </x:c>
      <x:c r="AI38" s="5" t="str">
        <x:v>Metadata only</x:v>
      </x:c>
      <x:c r="AJ38" s="5" t="str">
        <x:v>Verified against deposited metadata; publisher citation check pending</x:v>
      </x:c>
      <x:c r="AK38" s="5" t="str">
        <x:v>journal-article</x:v>
      </x:c>
      <x:c r="AL38" s="5" t="str">
        <x:v>Seed priority</x:v>
      </x:c>
      <x:c r="AM38" s="5" t="str">
        <x:v>review-paper/search-strategy/runs/SEED-METADATA-20261013/R11.json</x:v>
      </x:c>
      <x:c r="AN38" s="8" t="d">
        <x:v>2026-10-13T00:00:00.000Z</x:v>
      </x:c>
    </x:row>
    <x:row r="39" ht="53" customHeight="1">
      <x:c r="A39" s="5" t="str">
        <x:v>R12</x:v>
      </x:c>
      <x:c r="B39" s="5" t="str">
        <x:v>Unassigned</x:v>
      </x:c>
      <x:c r="C39" s="5" t="str">
        <x:v>Unassigned</x:v>
      </x:c>
      <x:c r="D39" s="5" t="str">
        <x:v>Unassigned</x:v>
      </x:c>
      <x:c r="E39" s="5" t="str">
        <x:v>Unassigned</x:v>
      </x:c>
      <x:c r="F39" s="5" t="str">
        <x:v>Carlos Medina; Mayteé Zambrano; Edson Galagarza; Fernando Arias</x:v>
      </x:c>
      <x:c r="G39" s="5" t="str">
        <x:v>Carlos Medina</x:v>
      </x:c>
      <x:c r="H39" s="5" t="n">
        <x:v>2026</x:v>
      </x:c>
      <x:c r="I39" s="5" t="str">
        <x:v>A taxonomy and roadmap for corrosion detection systems: bridging sensing, data, and deployment</x:v>
      </x:c>
      <x:c r="J39" s="5" t="str">
        <x:v>Journal of Engineering and Applied Science</x:v>
      </x:c>
      <x:c r="K39" s="5" t="str">
        <x:v>10.1186/s44147-026-01156-7</x:v>
      </x:c>
      <x:c r="L39" s="5" t="str"/>
      <x:c r="M39" s="5" t="str">
        <x:v>https://link.springer.com/10.1186/s44147-026-01156-7</x:v>
      </x:c>
      <x:c r="N39" s="5" t="str">
        <x:v>https://doi.org/10.1186/s44147-026-01156-7</x:v>
      </x:c>
      <x:c r="O39" s="5" t="str">
        <x:v>Not extracted</x:v>
      </x:c>
      <x:c r="P39" s="5" t="str">
        <x:v>Not extracted</x:v>
      </x:c>
      <x:c r="Q39" s="5" t="str">
        <x:v>Not extracted</x:v>
      </x:c>
      <x:c r="R39" s="5" t="str">
        <x:v>Not extracted</x:v>
      </x:c>
      <x:c r="S39" s="5" t="str">
        <x:v>Unassigned</x:v>
      </x:c>
      <x:c r="T39" s="5" t="str">
        <x:v>Review</x:v>
      </x:c>
      <x:c r="U39" s="5" t="str"/>
      <x:c r="V39" s="5" t="str"/>
      <x:c r="W39" s="5" t="str">
        <x:v>Not extracted</x:v>
      </x:c>
      <x:c r="X39" s="5" t="str">
        <x:v>Pending eligibility screening</x:v>
      </x:c>
      <x:c r="Y39" s="5" t="str">
        <x:v>medina2026_R12</x:v>
      </x:c>
      <x:c r="Z39" s="5" t="str">
        <x:v>Generated; needs verification</x:v>
      </x:c>
      <x:c r="AA39" s="5" t="str">
        <x:v>No manuscript yet</x:v>
      </x:c>
      <x:c r="AB39" s="5" t="str">
        <x:v>No</x:v>
      </x:c>
      <x:c r="AC39" s="5" t="str">
        <x:v>Not checked</x:v>
      </x:c>
      <x:c r="AD39" s="5" t="str">
        <x:v>Unscreened</x:v>
      </x:c>
      <x:c r="AE39" s="5" t="str">
        <x:v>Not linked</x:v>
      </x:c>
      <x:c r="AF39" s="5" t="str">
        <x:v>SEED</x:v>
      </x:c>
      <x:c r="AG39" s="5" t="str">
        <x:v>Seed metadata / primary source</x:v>
      </x:c>
      <x:c r="AH39" s="5" t="str">
        <x:v>Journal / conference record; peer review not audited</x:v>
      </x:c>
      <x:c r="AI39" s="5" t="str">
        <x:v>Metadata only</x:v>
      </x:c>
      <x:c r="AJ39" s="5" t="str">
        <x:v>Verified against deposited metadata; publisher citation check pending</x:v>
      </x:c>
      <x:c r="AK39" s="5" t="str">
        <x:v>journal-article</x:v>
      </x:c>
      <x:c r="AL39" s="5" t="str">
        <x:v>Seed priority</x:v>
      </x:c>
      <x:c r="AM39" s="5" t="str">
        <x:v>review-paper/search-strategy/runs/SEED-METADATA-20261013/R12.json</x:v>
      </x:c>
      <x:c r="AN39" s="8" t="d">
        <x:v>2026-10-13T00:00:00.000Z</x:v>
      </x:c>
    </x:row>
    <x:row r="40" ht="53" customHeight="1">
      <x:c r="A40" s="5" t="str">
        <x:v>R13</x:v>
      </x:c>
      <x:c r="B40" s="5" t="str">
        <x:v>Unassigned</x:v>
      </x:c>
      <x:c r="C40" s="5" t="str">
        <x:v>Unassigned</x:v>
      </x:c>
      <x:c r="D40" s="5" t="str">
        <x:v>Unassigned</x:v>
      </x:c>
      <x:c r="E40" s="5" t="str">
        <x:v>Unassigned</x:v>
      </x:c>
      <x:c r="F40" s="5" t="str">
        <x:v>Rona Firdes Çelik; Ulas Bagci; Sylvia Kessler</x:v>
      </x:c>
      <x:c r="G40" s="5" t="str">
        <x:v>Rona Firdes Çelik</x:v>
      </x:c>
      <x:c r="H40" s="5" t="n">
        <x:v>2026</x:v>
      </x:c>
      <x:c r="I40" s="5" t="str">
        <x:v>Vision language models for bridge inspections: A review of applications in image‐based damage documentation</x:v>
      </x:c>
      <x:c r="J40" s="5" t="str">
        <x:v>Structural Concrete</x:v>
      </x:c>
      <x:c r="K40" s="5" t="str">
        <x:v>10.1002/suco.70702</x:v>
      </x:c>
      <x:c r="L40" s="5" t="str"/>
      <x:c r="M40" s="5" t="str">
        <x:v>https://onlinelibrary.wiley.com/doi/10.1002/suco.70702</x:v>
      </x:c>
      <x:c r="N40" s="5" t="str">
        <x:v>https://doi.org/10.1002/suco.70702</x:v>
      </x:c>
      <x:c r="O40" s="5" t="str">
        <x:v>Not extracted</x:v>
      </x:c>
      <x:c r="P40" s="5" t="str">
        <x:v>Not extracted</x:v>
      </x:c>
      <x:c r="Q40" s="5" t="str">
        <x:v>Not extracted</x:v>
      </x:c>
      <x:c r="R40" s="5" t="str">
        <x:v>Not extracted</x:v>
      </x:c>
      <x:c r="S40" s="5" t="str">
        <x:v>Unassigned</x:v>
      </x:c>
      <x:c r="T40" s="5" t="str">
        <x:v>Review</x:v>
      </x:c>
      <x:c r="U40" s="5" t="str"/>
      <x:c r="V40" s="5" t="str"/>
      <x:c r="W40" s="5" t="str">
        <x:v>Not extracted</x:v>
      </x:c>
      <x:c r="X40" s="5" t="str">
        <x:v>Pending eligibility screening</x:v>
      </x:c>
      <x:c r="Y40" s="5" t="str">
        <x:v>celik2026_R13</x:v>
      </x:c>
      <x:c r="Z40" s="5" t="str">
        <x:v>Generated; needs verification</x:v>
      </x:c>
      <x:c r="AA40" s="5" t="str">
        <x:v>No manuscript yet</x:v>
      </x:c>
      <x:c r="AB40" s="5" t="str">
        <x:v>No</x:v>
      </x:c>
      <x:c r="AC40" s="5" t="str">
        <x:v>Not checked</x:v>
      </x:c>
      <x:c r="AD40" s="5" t="str">
        <x:v>Unscreened</x:v>
      </x:c>
      <x:c r="AE40" s="5" t="str">
        <x:v>Not linked</x:v>
      </x:c>
      <x:c r="AF40" s="5" t="str">
        <x:v>SEED</x:v>
      </x:c>
      <x:c r="AG40" s="5" t="str">
        <x:v>Seed metadata / primary source</x:v>
      </x:c>
      <x:c r="AH40" s="5" t="str">
        <x:v>Journal / conference record; peer review not audited</x:v>
      </x:c>
      <x:c r="AI40" s="5" t="str">
        <x:v>Metadata only</x:v>
      </x:c>
      <x:c r="AJ40" s="5" t="str">
        <x:v>Verified against deposited metadata; publisher citation check pending</x:v>
      </x:c>
      <x:c r="AK40" s="5" t="str">
        <x:v>journal-article</x:v>
      </x:c>
      <x:c r="AL40" s="5" t="str">
        <x:v>Seed priority</x:v>
      </x:c>
      <x:c r="AM40" s="5" t="str">
        <x:v>review-paper/search-strategy/runs/SEED-METADATA-20261013/R13.json</x:v>
      </x:c>
      <x:c r="AN40" s="8" t="d">
        <x:v>2026-10-13T00:00:00.000Z</x:v>
      </x:c>
    </x:row>
    <x:row r="41" ht="53" customHeight="1">
      <x:c r="A41" s="5" t="str">
        <x:v>C0001</x:v>
      </x:c>
      <x:c r="B41" s="5" t="str">
        <x:v>Unassigned</x:v>
      </x:c>
      <x:c r="C41" s="5" t="str">
        <x:v>Unassigned</x:v>
      </x:c>
      <x:c r="D41" s="5" t="str">
        <x:v>Unassigned</x:v>
      </x:c>
      <x:c r="E41" s="5" t="str">
        <x:v>Unassigned</x:v>
      </x:c>
      <x:c r="F41" s="5" t="str">
        <x:v>qinao hu</x:v>
      </x:c>
      <x:c r="G41" s="5" t="str">
        <x:v>qinao hu</x:v>
      </x:c>
      <x:c r="H41" s="5" t="n">
        <x:v>2026</x:v>
      </x:c>
      <x:c r="I41" s="5" t="str">
        <x:v>Calibrated few-shot industrial anomaly detection with frozen visual features</x:v>
      </x:c>
      <x:c r="J41" s="5" t="str"/>
      <x:c r="K41" s="5" t="str">
        <x:v>10.2139/ssrn.7230717</x:v>
      </x:c>
      <x:c r="L41" s="5" t="str"/>
      <x:c r="M41" s="5" t="str">
        <x:v>https://www.ssrn.com/abstract=7230717</x:v>
      </x:c>
      <x:c r="N41" s="5" t="str">
        <x:v>https://doi.org/10.2139/ssrn.7230717</x:v>
      </x:c>
      <x:c r="O41" s="5" t="str">
        <x:v>Not extracted</x:v>
      </x:c>
      <x:c r="P41" s="5" t="str">
        <x:v>Not extracted</x:v>
      </x:c>
      <x:c r="Q41" s="5" t="str">
        <x:v>Not extracted</x:v>
      </x:c>
      <x:c r="R41" s="5" t="str">
        <x:v>Not extracted</x:v>
      </x:c>
      <x:c r="S41" s="5" t="str">
        <x:v>Unassigned</x:v>
      </x:c>
      <x:c r="T41" s="5" t="str">
        <x:v>Unassigned</x:v>
      </x:c>
      <x:c r="U41" s="5" t="str"/>
      <x:c r="V41" s="5" t="str"/>
      <x:c r="W41" s="5" t="str">
        <x:v>Not extracted</x:v>
      </x:c>
      <x:c r="X41" s="5" t="str">
        <x:v>Pending eligibility screening</x:v>
      </x:c>
      <x:c r="Y41" s="5" t="str">
        <x:v>hu2026_C0001</x:v>
      </x:c>
      <x:c r="Z41" s="5" t="str">
        <x:v>Generated; needs verification</x:v>
      </x:c>
      <x:c r="AA41" s="5" t="str">
        <x:v>No manuscript yet</x:v>
      </x:c>
      <x:c r="AB41" s="5" t="str">
        <x:v>No</x:v>
      </x:c>
      <x:c r="AC41" s="5" t="str">
        <x:v>Not checked</x:v>
      </x:c>
      <x:c r="AD41" s="5" t="str">
        <x:v>Unscreened</x:v>
      </x:c>
      <x:c r="AE41" s="5" t="str">
        <x:v>Not linked</x:v>
      </x:c>
      <x:c r="AF41" s="5" t="str">
        <x:v>S01; S02; S05; S10; S12; S16</x:v>
      </x:c>
      <x:c r="AG41" s="5" t="str">
        <x:v>Crossref REST API</x:v>
      </x:c>
      <x:c r="AH41" s="5" t="str">
        <x:v>Preprint / repository record</x:v>
      </x:c>
      <x:c r="AI41" s="5" t="str">
        <x:v>Metadata only</x:v>
      </x:c>
      <x:c r="AJ41" s="5" t="str">
        <x:v>Verified against deposited metadata; publisher citation check pending</x:v>
      </x:c>
      <x:c r="AK41" s="5" t="str">
        <x:v>posted-content</x:v>
      </x:c>
      <x:c r="AL41" s="5" t="str">
        <x:v>Title-scope candidate</x:v>
      </x:c>
      <x:c r="AM41" s="5" t="str">
        <x:v>review-paper/search-strategy/runs/PILOT-20261013-01/S01.json</x:v>
      </x:c>
      <x:c r="AN41" s="8" t="d">
        <x:v>2026-10-13T00:00:00.000Z</x:v>
      </x:c>
    </x:row>
    <x:row r="42" ht="68" customHeight="1">
      <x:c r="A42" s="5" t="str">
        <x:v>C0002</x:v>
      </x:c>
      <x:c r="B42" s="5" t="str">
        <x:v>Unassigned</x:v>
      </x:c>
      <x:c r="C42" s="5" t="str">
        <x:v>Unassigned</x:v>
      </x:c>
      <x:c r="D42" s="5" t="str">
        <x:v>Unassigned</x:v>
      </x:c>
      <x:c r="E42" s="5" t="str">
        <x:v>Unassigned</x:v>
      </x:c>
      <x:c r="F42" s="5" t="str">
        <x:v>Siddheswar S; Raj S.</x:v>
      </x:c>
      <x:c r="G42" s="5" t="str">
        <x:v>Siddheswar S</x:v>
      </x:c>
      <x:c r="H42" s="5" t="n">
        <x:v>2025</x:v>
      </x:c>
      <x:c r="I42" s="5" t="str">
        <x:v>SSVIT-4.0: A Self-Supervised Hybrid CNN-Transformer Framework for Industrial Visual Anomaly Detection</x:v>
      </x:c>
      <x:c r="J42" s="5" t="str">
        <x:v>Proceedings of the 1st International Conference on Computational and Cognitive Systems Science</x:v>
      </x:c>
      <x:c r="K42" s="5" t="str">
        <x:v>10.5220/0014500500005024</x:v>
      </x:c>
      <x:c r="L42" s="5" t="str"/>
      <x:c r="M42" s="5" t="str">
        <x:v>https://www.scitepress.org/DigitalLibrary/Link.aspx?doi=10.5220/0014500500005024</x:v>
      </x:c>
      <x:c r="N42" s="5" t="str">
        <x:v>https://doi.org/10.5220/0014500500005024</x:v>
      </x:c>
      <x:c r="O42" s="5" t="str">
        <x:v>Not extracted</x:v>
      </x:c>
      <x:c r="P42" s="5" t="str">
        <x:v>Not extracted</x:v>
      </x:c>
      <x:c r="Q42" s="5" t="str">
        <x:v>Not extracted</x:v>
      </x:c>
      <x:c r="R42" s="5" t="str">
        <x:v>Not extracted</x:v>
      </x:c>
      <x:c r="S42" s="5" t="str">
        <x:v>Unassigned</x:v>
      </x:c>
      <x:c r="T42" s="5" t="str">
        <x:v>Unassigned</x:v>
      </x:c>
      <x:c r="U42" s="5" t="str"/>
      <x:c r="V42" s="5" t="str"/>
      <x:c r="W42" s="5" t="str">
        <x:v>Not extracted</x:v>
      </x:c>
      <x:c r="X42" s="5" t="str">
        <x:v>Pending eligibility screening</x:v>
      </x:c>
      <x:c r="Y42" s="5" t="str">
        <x:v>s2025_C0002</x:v>
      </x:c>
      <x:c r="Z42" s="5" t="str">
        <x:v>Generated; needs verification</x:v>
      </x:c>
      <x:c r="AA42" s="5" t="str">
        <x:v>No manuscript yet</x:v>
      </x:c>
      <x:c r="AB42" s="5" t="str">
        <x:v>No</x:v>
      </x:c>
      <x:c r="AC42" s="5" t="str">
        <x:v>Not checked</x:v>
      </x:c>
      <x:c r="AD42" s="5" t="str">
        <x:v>Unscreened</x:v>
      </x:c>
      <x:c r="AE42" s="5" t="str">
        <x:v>Not linked</x:v>
      </x:c>
      <x:c r="AF42" s="5" t="str">
        <x:v>S01; S02; S10; S12; S16</x:v>
      </x:c>
      <x:c r="AG42" s="5" t="str">
        <x:v>Crossref REST API</x:v>
      </x:c>
      <x:c r="AH42" s="5" t="str">
        <x:v>Journal / conference record; peer review not audited</x:v>
      </x:c>
      <x:c r="AI42" s="5" t="str">
        <x:v>Metadata only</x:v>
      </x:c>
      <x:c r="AJ42" s="5" t="str">
        <x:v>Verified against deposited metadata; publisher citation check pending</x:v>
      </x:c>
      <x:c r="AK42" s="5" t="str">
        <x:v>proceedings-article</x:v>
      </x:c>
      <x:c r="AL42" s="5" t="str">
        <x:v>Title-scope candidate</x:v>
      </x:c>
      <x:c r="AM42" s="5" t="str">
        <x:v>review-paper/search-strategy/runs/PILOT-20261013-01/S01.json</x:v>
      </x:c>
      <x:c r="AN42" s="8" t="d">
        <x:v>2026-10-13T00:00:00.000Z</x:v>
      </x:c>
    </x:row>
    <x:row r="43" ht="53" customHeight="1">
      <x:c r="A43" s="5" t="str">
        <x:v>C0003</x:v>
      </x:c>
      <x:c r="B43" s="5" t="str">
        <x:v>Unassigned</x:v>
      </x:c>
      <x:c r="C43" s="5" t="str">
        <x:v>Unassigned</x:v>
      </x:c>
      <x:c r="D43" s="5" t="str">
        <x:v>Unassigned</x:v>
      </x:c>
      <x:c r="E43" s="5" t="str">
        <x:v>Unassigned</x:v>
      </x:c>
      <x:c r="F43" s="5" t="str">
        <x:v>Shalini Kumari; Chander Prabha</x:v>
      </x:c>
      <x:c r="G43" s="5" t="str">
        <x:v>Shalini Kumari</x:v>
      </x:c>
      <x:c r="H43" s="5" t="n">
        <x:v>2025</x:v>
      </x:c>
      <x:c r="I43" s="5" t="str">
        <x:v>Anomaly Detection Utilizing PatchCore for Reimagining Industrial Visual Inspection</x:v>
      </x:c>
      <x:c r="J43" s="5" t="str">
        <x:v>Artificial Intelligence and Applications</x:v>
      </x:c>
      <x:c r="K43" s="5" t="str">
        <x:v>10.47852/bonviewaia52026321</x:v>
      </x:c>
      <x:c r="L43" s="5" t="str"/>
      <x:c r="M43" s="5" t="str">
        <x:v>https://ojs.bonviewpress.com/index.php/AIA/article/view/6321</x:v>
      </x:c>
      <x:c r="N43" s="5" t="str">
        <x:v>https://doi.org/10.47852/bonviewaia52026321</x:v>
      </x:c>
      <x:c r="O43" s="5" t="str">
        <x:v>Not extracted</x:v>
      </x:c>
      <x:c r="P43" s="5" t="str">
        <x:v>Not extracted</x:v>
      </x:c>
      <x:c r="Q43" s="5" t="str">
        <x:v>Not extracted</x:v>
      </x:c>
      <x:c r="R43" s="5" t="str">
        <x:v>Not extracted</x:v>
      </x:c>
      <x:c r="S43" s="5" t="str">
        <x:v>Unassigned</x:v>
      </x:c>
      <x:c r="T43" s="5" t="str">
        <x:v>Unassigned</x:v>
      </x:c>
      <x:c r="U43" s="5" t="str"/>
      <x:c r="V43" s="5" t="str"/>
      <x:c r="W43" s="5" t="str">
        <x:v>Not extracted</x:v>
      </x:c>
      <x:c r="X43" s="5" t="str">
        <x:v>Pending eligibility screening</x:v>
      </x:c>
      <x:c r="Y43" s="5" t="str">
        <x:v>kumari2025_C0003</x:v>
      </x:c>
      <x:c r="Z43" s="5" t="str">
        <x:v>Generated; needs verification</x:v>
      </x:c>
      <x:c r="AA43" s="5" t="str">
        <x:v>No manuscript yet</x:v>
      </x:c>
      <x:c r="AB43" s="5" t="str">
        <x:v>No</x:v>
      </x:c>
      <x:c r="AC43" s="5" t="str">
        <x:v>Not checked</x:v>
      </x:c>
      <x:c r="AD43" s="5" t="str">
        <x:v>Unscreened</x:v>
      </x:c>
      <x:c r="AE43" s="5" t="str">
        <x:v>Not linked</x:v>
      </x:c>
      <x:c r="AF43" s="5" t="str">
        <x:v>S01; S02; S06; S10; S12; S16</x:v>
      </x:c>
      <x:c r="AG43" s="5" t="str">
        <x:v>Crossref REST API</x:v>
      </x:c>
      <x:c r="AH43" s="5" t="str">
        <x:v>Journal / conference record; peer review not audited</x:v>
      </x:c>
      <x:c r="AI43" s="5" t="str">
        <x:v>Metadata only</x:v>
      </x:c>
      <x:c r="AJ43" s="5" t="str">
        <x:v>Verified against deposited metadata; publisher citation check pending</x:v>
      </x:c>
      <x:c r="AK43" s="5" t="str">
        <x:v>journal-article</x:v>
      </x:c>
      <x:c r="AL43" s="5" t="str">
        <x:v>Title-scope candidate</x:v>
      </x:c>
      <x:c r="AM43" s="5" t="str">
        <x:v>review-paper/search-strategy/runs/PILOT-20261013-01/S01.json</x:v>
      </x:c>
      <x:c r="AN43" s="8" t="d">
        <x:v>2026-10-13T00:00:00.000Z</x:v>
      </x:c>
    </x:row>
    <x:row r="44" ht="53" customHeight="1">
      <x:c r="A44" s="5" t="str">
        <x:v>C0004</x:v>
      </x:c>
      <x:c r="B44" s="5" t="str">
        <x:v>Unassigned</x:v>
      </x:c>
      <x:c r="C44" s="5" t="str">
        <x:v>Unassigned</x:v>
      </x:c>
      <x:c r="D44" s="5" t="str">
        <x:v>Unassigned</x:v>
      </x:c>
      <x:c r="E44" s="5" t="str">
        <x:v>Unassigned</x:v>
      </x:c>
      <x:c r="F44" s="5" t="str">
        <x:v>Xun Du; Yang Liu; Haonan Chen</x:v>
      </x:c>
      <x:c r="G44" s="5" t="str">
        <x:v>Xun Du</x:v>
      </x:c>
      <x:c r="H44" s="5" t="n">
        <x:v>2026</x:v>
      </x:c>
      <x:c r="I44" s="5" t="str">
        <x:v>Dynamic Anomaly-Aware Segmentation: Enabling Contextual Text-Visual Alignment for Industrial Defect Detection</x:v>
      </x:c>
      <x:c r="J44" s="5" t="str"/>
      <x:c r="K44" s="5" t="str">
        <x:v>10.2139/ssrn.6597747</x:v>
      </x:c>
      <x:c r="L44" s="5" t="str"/>
      <x:c r="M44" s="5" t="str">
        <x:v>https://www.ssrn.com/abstract=6597747</x:v>
      </x:c>
      <x:c r="N44" s="5" t="str">
        <x:v>https://doi.org/10.2139/ssrn.6597747</x:v>
      </x:c>
      <x:c r="O44" s="5" t="str">
        <x:v>Not extracted</x:v>
      </x:c>
      <x:c r="P44" s="5" t="str">
        <x:v>Not extracted</x:v>
      </x:c>
      <x:c r="Q44" s="5" t="str">
        <x:v>Not extracted</x:v>
      </x:c>
      <x:c r="R44" s="5" t="str">
        <x:v>Not extracted</x:v>
      </x:c>
      <x:c r="S44" s="5" t="str">
        <x:v>Unassigned</x:v>
      </x:c>
      <x:c r="T44" s="5" t="str">
        <x:v>Unassigned</x:v>
      </x:c>
      <x:c r="U44" s="5" t="str"/>
      <x:c r="V44" s="5" t="str"/>
      <x:c r="W44" s="5" t="str">
        <x:v>Not extracted</x:v>
      </x:c>
      <x:c r="X44" s="5" t="str">
        <x:v>Pending eligibility screening</x:v>
      </x:c>
      <x:c r="Y44" s="5" t="str">
        <x:v>du2026_C0004</x:v>
      </x:c>
      <x:c r="Z44" s="5" t="str">
        <x:v>Generated; needs verification</x:v>
      </x:c>
      <x:c r="AA44" s="5" t="str">
        <x:v>No manuscript yet</x:v>
      </x:c>
      <x:c r="AB44" s="5" t="str">
        <x:v>No</x:v>
      </x:c>
      <x:c r="AC44" s="5" t="str">
        <x:v>Not checked</x:v>
      </x:c>
      <x:c r="AD44" s="5" t="str">
        <x:v>Unscreened</x:v>
      </x:c>
      <x:c r="AE44" s="5" t="str">
        <x:v>Not linked</x:v>
      </x:c>
      <x:c r="AF44" s="5" t="str">
        <x:v>S01; S02; S04; S12; S16</x:v>
      </x:c>
      <x:c r="AG44" s="5" t="str">
        <x:v>Crossref REST API</x:v>
      </x:c>
      <x:c r="AH44" s="5" t="str">
        <x:v>Preprint / repository record</x:v>
      </x:c>
      <x:c r="AI44" s="5" t="str">
        <x:v>Metadata only</x:v>
      </x:c>
      <x:c r="AJ44" s="5" t="str">
        <x:v>Verified against deposited metadata; publisher citation check pending</x:v>
      </x:c>
      <x:c r="AK44" s="5" t="str">
        <x:v>posted-content</x:v>
      </x:c>
      <x:c r="AL44" s="5" t="str">
        <x:v>Title-scope candidate</x:v>
      </x:c>
      <x:c r="AM44" s="5" t="str">
        <x:v>review-paper/search-strategy/runs/PILOT-20261013-01/S01.json</x:v>
      </x:c>
      <x:c r="AN44" s="8" t="d">
        <x:v>2026-10-13T00:00:00.000Z</x:v>
      </x:c>
    </x:row>
    <x:row r="45" ht="53" customHeight="1">
      <x:c r="A45" s="5" t="str">
        <x:v>C0005</x:v>
      </x:c>
      <x:c r="B45" s="5" t="str">
        <x:v>Unassigned</x:v>
      </x:c>
      <x:c r="C45" s="5" t="str">
        <x:v>Unassigned</x:v>
      </x:c>
      <x:c r="D45" s="5" t="str">
        <x:v>Unassigned</x:v>
      </x:c>
      <x:c r="E45" s="5" t="str">
        <x:v>Unassigned</x:v>
      </x:c>
      <x:c r="F45" s="5" t="str">
        <x:v>Shiguo Lian; Zhaoxiang Liu</x:v>
      </x:c>
      <x:c r="G45" s="5" t="str">
        <x:v>Shiguo Lian</x:v>
      </x:c>
      <x:c r="H45" s="5" t="n">
        <x:v>2025</x:v>
      </x:c>
      <x:c r="I45" s="5" t="str">
        <x:v>Unsupervised Learning Paradigm for Industrial Visual Anomaly Detection</x:v>
      </x:c>
      <x:c r="J45" s="5" t="str">
        <x:v>Artificial Intelligence Paradigms for Application Practice</x:v>
      </x:c>
      <x:c r="K45" s="5" t="str">
        <x:v>10.1201/9781003644972-11</x:v>
      </x:c>
      <x:c r="L45" s="5" t="str"/>
      <x:c r="M45" s="5" t="str">
        <x:v>https://www.taylorfrancis.com/books/9781003644972/chapters/10.1201/9781003644972-11</x:v>
      </x:c>
      <x:c r="N45" s="5" t="str">
        <x:v>https://doi.org/10.1201/9781003644972-11</x:v>
      </x:c>
      <x:c r="O45" s="5" t="str">
        <x:v>Not extracted</x:v>
      </x:c>
      <x:c r="P45" s="5" t="str">
        <x:v>Not extracted</x:v>
      </x:c>
      <x:c r="Q45" s="5" t="str">
        <x:v>Not extracted</x:v>
      </x:c>
      <x:c r="R45" s="5" t="str">
        <x:v>Not extracted</x:v>
      </x:c>
      <x:c r="S45" s="5" t="str">
        <x:v>Unassigned</x:v>
      </x:c>
      <x:c r="T45" s="5" t="str">
        <x:v>Unassigned</x:v>
      </x:c>
      <x:c r="U45" s="5" t="str"/>
      <x:c r="V45" s="5" t="str"/>
      <x:c r="W45" s="5" t="str">
        <x:v>Not extracted</x:v>
      </x:c>
      <x:c r="X45" s="5" t="str">
        <x:v>Pending eligibility screening</x:v>
      </x:c>
      <x:c r="Y45" s="5" t="str">
        <x:v>lian2025_C0005</x:v>
      </x:c>
      <x:c r="Z45" s="5" t="str">
        <x:v>Generated; needs verification</x:v>
      </x:c>
      <x:c r="AA45" s="5" t="str">
        <x:v>No manuscript yet</x:v>
      </x:c>
      <x:c r="AB45" s="5" t="str">
        <x:v>No</x:v>
      </x:c>
      <x:c r="AC45" s="5" t="str">
        <x:v>Not checked</x:v>
      </x:c>
      <x:c r="AD45" s="5" t="str">
        <x:v>Unscreened</x:v>
      </x:c>
      <x:c r="AE45" s="5" t="str">
        <x:v>Not linked</x:v>
      </x:c>
      <x:c r="AF45" s="5" t="str">
        <x:v>S01; S02; S12; S16</x:v>
      </x:c>
      <x:c r="AG45" s="5" t="str">
        <x:v>Crossref REST API</x:v>
      </x:c>
      <x:c r="AH45" s="5" t="str">
        <x:v>Publication status unverified</x:v>
      </x:c>
      <x:c r="AI45" s="5" t="str">
        <x:v>Metadata only</x:v>
      </x:c>
      <x:c r="AJ45" s="5" t="str">
        <x:v>Verified against deposited metadata; publisher citation check pending</x:v>
      </x:c>
      <x:c r="AK45" s="5" t="str">
        <x:v>book-chapter</x:v>
      </x:c>
      <x:c r="AL45" s="5" t="str">
        <x:v>Title-scope candidate</x:v>
      </x:c>
      <x:c r="AM45" s="5" t="str">
        <x:v>review-paper/search-strategy/runs/PILOT-20261013-01/S01.json</x:v>
      </x:c>
      <x:c r="AN45" s="8" t="d">
        <x:v>2026-10-13T00:00:00.000Z</x:v>
      </x:c>
    </x:row>
    <x:row r="46" ht="53" customHeight="1">
      <x:c r="A46" s="5" t="str">
        <x:v>C0006</x:v>
      </x:c>
      <x:c r="B46" s="5" t="str">
        <x:v>Unassigned</x:v>
      </x:c>
      <x:c r="C46" s="5" t="str">
        <x:v>Unassigned</x:v>
      </x:c>
      <x:c r="D46" s="5" t="str">
        <x:v>Unassigned</x:v>
      </x:c>
      <x:c r="E46" s="5" t="str">
        <x:v>Unassigned</x:v>
      </x:c>
      <x:c r="F46" s="5" t="str">
        <x:v>Xu Tan; Haidong Gao; Ronghua Liang; Yi Yang</x:v>
      </x:c>
      <x:c r="G46" s="5" t="str">
        <x:v>Xu Tan</x:v>
      </x:c>
      <x:c r="H46" s="5" t="n">
        <x:v>2026</x:v>
      </x:c>
      <x:c r="I46" s="5" t="str">
        <x:v>Foundation Models for Cold-Start Industrial Visual Anomaly Detection: A Survey</x:v>
      </x:c>
      <x:c r="J46" s="5" t="str"/>
      <x:c r="K46" s="5" t="str">
        <x:v>10.21203/rs.3.rs-10598232/v1</x:v>
      </x:c>
      <x:c r="L46" s="5" t="str"/>
      <x:c r="M46" s="5" t="str">
        <x:v>https://www.researchsquare.com/article/rs-10598232/v1</x:v>
      </x:c>
      <x:c r="N46" s="5" t="str">
        <x:v>https://doi.org/10.21203/rs.3.rs-10598232/v1</x:v>
      </x:c>
      <x:c r="O46" s="5" t="str">
        <x:v>Not extracted</x:v>
      </x:c>
      <x:c r="P46" s="5" t="str">
        <x:v>Not extracted</x:v>
      </x:c>
      <x:c r="Q46" s="5" t="str">
        <x:v>Not extracted</x:v>
      </x:c>
      <x:c r="R46" s="5" t="str">
        <x:v>Not extracted</x:v>
      </x:c>
      <x:c r="S46" s="5" t="str">
        <x:v>Unassigned</x:v>
      </x:c>
      <x:c r="T46" s="5" t="str">
        <x:v>Unassigned</x:v>
      </x:c>
      <x:c r="U46" s="5" t="str"/>
      <x:c r="V46" s="5" t="str"/>
      <x:c r="W46" s="5" t="str">
        <x:v>Not extracted</x:v>
      </x:c>
      <x:c r="X46" s="5" t="str">
        <x:v>Pending eligibility screening</x:v>
      </x:c>
      <x:c r="Y46" s="5" t="str">
        <x:v>tan2026_C0006</x:v>
      </x:c>
      <x:c r="Z46" s="5" t="str">
        <x:v>Generated; needs verification</x:v>
      </x:c>
      <x:c r="AA46" s="5" t="str">
        <x:v>No manuscript yet</x:v>
      </x:c>
      <x:c r="AB46" s="5" t="str">
        <x:v>No</x:v>
      </x:c>
      <x:c r="AC46" s="5" t="str">
        <x:v>Not checked</x:v>
      </x:c>
      <x:c r="AD46" s="5" t="str">
        <x:v>Unscreened</x:v>
      </x:c>
      <x:c r="AE46" s="5" t="str">
        <x:v>Not linked</x:v>
      </x:c>
      <x:c r="AF46" s="5" t="str">
        <x:v>S01; S02; S12; S16</x:v>
      </x:c>
      <x:c r="AG46" s="5" t="str">
        <x:v>Crossref REST API</x:v>
      </x:c>
      <x:c r="AH46" s="5" t="str">
        <x:v>Preprint / repository record</x:v>
      </x:c>
      <x:c r="AI46" s="5" t="str">
        <x:v>Metadata only</x:v>
      </x:c>
      <x:c r="AJ46" s="5" t="str">
        <x:v>Verified against deposited metadata; publisher citation check pending</x:v>
      </x:c>
      <x:c r="AK46" s="5" t="str">
        <x:v>posted-content</x:v>
      </x:c>
      <x:c r="AL46" s="5" t="str">
        <x:v>Title-scope candidate</x:v>
      </x:c>
      <x:c r="AM46" s="5" t="str">
        <x:v>review-paper/search-strategy/runs/PILOT-20261013-01/S01.json</x:v>
      </x:c>
      <x:c r="AN46" s="8" t="d">
        <x:v>2026-10-13T00:00:00.000Z</x:v>
      </x:c>
    </x:row>
    <x:row r="47" ht="53" customHeight="1">
      <x:c r="A47" s="5" t="str">
        <x:v>C0007</x:v>
      </x:c>
      <x:c r="B47" s="5" t="str">
        <x:v>Unassigned</x:v>
      </x:c>
      <x:c r="C47" s="5" t="str">
        <x:v>Unassigned</x:v>
      </x:c>
      <x:c r="D47" s="5" t="str">
        <x:v>Unassigned</x:v>
      </x:c>
      <x:c r="E47" s="5" t="str">
        <x:v>Unassigned</x:v>
      </x:c>
      <x:c r="F47" s="5" t="str">
        <x:v>Tongkun Liu; Bing Li; Xiao Du; Bingke Jiang; Leqi Geng; Feiyang Wang; Zhuo Zhao</x:v>
      </x:c>
      <x:c r="G47" s="5" t="str">
        <x:v>Tongkun Liu</x:v>
      </x:c>
      <x:c r="H47" s="5" t="n">
        <x:v>2024</x:v>
      </x:c>
      <x:c r="I47" s="5" t="str">
        <x:v>Fair: Frequency-Aware Image Restoration for Industrial Visual Anomaly Detection</x:v>
      </x:c>
      <x:c r="J47" s="5" t="str"/>
      <x:c r="K47" s="5" t="str">
        <x:v>10.2139/ssrn.4742821</x:v>
      </x:c>
      <x:c r="L47" s="5" t="str"/>
      <x:c r="M47" s="5" t="str">
        <x:v>https://www.ssrn.com/abstract=4742821</x:v>
      </x:c>
      <x:c r="N47" s="5" t="str">
        <x:v>https://doi.org/10.2139/ssrn.4742821</x:v>
      </x:c>
      <x:c r="O47" s="5" t="str">
        <x:v>Not extracted</x:v>
      </x:c>
      <x:c r="P47" s="5" t="str">
        <x:v>Not extracted</x:v>
      </x:c>
      <x:c r="Q47" s="5" t="str">
        <x:v>Not extracted</x:v>
      </x:c>
      <x:c r="R47" s="5" t="str">
        <x:v>Not extracted</x:v>
      </x:c>
      <x:c r="S47" s="5" t="str">
        <x:v>Unassigned</x:v>
      </x:c>
      <x:c r="T47" s="5" t="str">
        <x:v>Unassigned</x:v>
      </x:c>
      <x:c r="U47" s="5" t="str"/>
      <x:c r="V47" s="5" t="str"/>
      <x:c r="W47" s="5" t="str">
        <x:v>Not extracted</x:v>
      </x:c>
      <x:c r="X47" s="5" t="str">
        <x:v>Pending eligibility screening</x:v>
      </x:c>
      <x:c r="Y47" s="5" t="str">
        <x:v>liu2024_C0007</x:v>
      </x:c>
      <x:c r="Z47" s="5" t="str">
        <x:v>Generated; needs verification</x:v>
      </x:c>
      <x:c r="AA47" s="5" t="str">
        <x:v>No manuscript yet</x:v>
      </x:c>
      <x:c r="AB47" s="5" t="str">
        <x:v>No</x:v>
      </x:c>
      <x:c r="AC47" s="5" t="str">
        <x:v>Not checked</x:v>
      </x:c>
      <x:c r="AD47" s="5" t="str">
        <x:v>Unscreened</x:v>
      </x:c>
      <x:c r="AE47" s="5" t="str">
        <x:v>Not linked</x:v>
      </x:c>
      <x:c r="AF47" s="5" t="str">
        <x:v>S01; S02; S12; S16</x:v>
      </x:c>
      <x:c r="AG47" s="5" t="str">
        <x:v>Crossref REST API</x:v>
      </x:c>
      <x:c r="AH47" s="5" t="str">
        <x:v>Preprint / repository record</x:v>
      </x:c>
      <x:c r="AI47" s="5" t="str">
        <x:v>Metadata only</x:v>
      </x:c>
      <x:c r="AJ47" s="5" t="str">
        <x:v>Verified against deposited metadata; publisher citation check pending</x:v>
      </x:c>
      <x:c r="AK47" s="5" t="str">
        <x:v>posted-content</x:v>
      </x:c>
      <x:c r="AL47" s="5" t="str">
        <x:v>Title-scope candidate</x:v>
      </x:c>
      <x:c r="AM47" s="5" t="str">
        <x:v>review-paper/search-strategy/runs/PILOT-20261013-01/S01.json</x:v>
      </x:c>
      <x:c r="AN47" s="8" t="d">
        <x:v>2026-10-13T00:00:00.000Z</x:v>
      </x:c>
    </x:row>
    <x:row r="48" ht="53" customHeight="1">
      <x:c r="A48" s="5" t="str">
        <x:v>C0008</x:v>
      </x:c>
      <x:c r="B48" s="5" t="str">
        <x:v>Unassigned</x:v>
      </x:c>
      <x:c r="C48" s="5" t="str">
        <x:v>Unassigned</x:v>
      </x:c>
      <x:c r="D48" s="5" t="str">
        <x:v>Unassigned</x:v>
      </x:c>
      <x:c r="E48" s="5" t="str">
        <x:v>Unassigned</x:v>
      </x:c>
      <x:c r="F48" s="5" t="str">
        <x:v>Muen Jin; Michael Heizmann</x:v>
      </x:c>
      <x:c r="G48" s="5" t="str">
        <x:v>Muen Jin</x:v>
      </x:c>
      <x:c r="H48" s="5" t="n">
        <x:v>2026</x:v>
      </x:c>
      <x:c r="I48" s="5" t="str">
        <x:v>Embedding Stability-Guided Early-Stopping for Industrial Visual Anomaly Detection</x:v>
      </x:c>
      <x:c r="J48" s="5" t="str">
        <x:v>2026 11th International Conference on Machine Learning Technologies (ICMLT)</x:v>
      </x:c>
      <x:c r="K48" s="5" t="str">
        <x:v>10.1109/icmlt69916.2026.11688969</x:v>
      </x:c>
      <x:c r="L48" s="5" t="str"/>
      <x:c r="M48" s="5" t="str">
        <x:v>https://ieeexplore.ieee.org/document/11688969/</x:v>
      </x:c>
      <x:c r="N48" s="5" t="str">
        <x:v>https://doi.org/10.1109/icmlt69916.2026.11688969</x:v>
      </x:c>
      <x:c r="O48" s="5" t="str">
        <x:v>Not extracted</x:v>
      </x:c>
      <x:c r="P48" s="5" t="str">
        <x:v>Not extracted</x:v>
      </x:c>
      <x:c r="Q48" s="5" t="str">
        <x:v>Not extracted</x:v>
      </x:c>
      <x:c r="R48" s="5" t="str">
        <x:v>Not extracted</x:v>
      </x:c>
      <x:c r="S48" s="5" t="str">
        <x:v>Unassigned</x:v>
      </x:c>
      <x:c r="T48" s="5" t="str">
        <x:v>Unassigned</x:v>
      </x:c>
      <x:c r="U48" s="5" t="str"/>
      <x:c r="V48" s="5" t="str"/>
      <x:c r="W48" s="5" t="str">
        <x:v>Not extracted</x:v>
      </x:c>
      <x:c r="X48" s="5" t="str">
        <x:v>Pending eligibility screening</x:v>
      </x:c>
      <x:c r="Y48" s="5" t="str">
        <x:v>jin2026_C0008</x:v>
      </x:c>
      <x:c r="Z48" s="5" t="str">
        <x:v>Generated; needs verification</x:v>
      </x:c>
      <x:c r="AA48" s="5" t="str">
        <x:v>No manuscript yet</x:v>
      </x:c>
      <x:c r="AB48" s="5" t="str">
        <x:v>No</x:v>
      </x:c>
      <x:c r="AC48" s="5" t="str">
        <x:v>Not checked</x:v>
      </x:c>
      <x:c r="AD48" s="5" t="str">
        <x:v>Unscreened</x:v>
      </x:c>
      <x:c r="AE48" s="5" t="str">
        <x:v>Not linked</x:v>
      </x:c>
      <x:c r="AF48" s="5" t="str">
        <x:v>S01; S02; S12; S16</x:v>
      </x:c>
      <x:c r="AG48" s="5" t="str">
        <x:v>Crossref REST API</x:v>
      </x:c>
      <x:c r="AH48" s="5" t="str">
        <x:v>Journal / conference record; peer review not audited</x:v>
      </x:c>
      <x:c r="AI48" s="5" t="str">
        <x:v>Metadata only</x:v>
      </x:c>
      <x:c r="AJ48" s="5" t="str">
        <x:v>Verified against deposited metadata; publisher citation check pending</x:v>
      </x:c>
      <x:c r="AK48" s="5" t="str">
        <x:v>proceedings-article</x:v>
      </x:c>
      <x:c r="AL48" s="5" t="str">
        <x:v>Title-scope candidate</x:v>
      </x:c>
      <x:c r="AM48" s="5" t="str">
        <x:v>review-paper/search-strategy/runs/PILOT-20261013-01/S01.json</x:v>
      </x:c>
      <x:c r="AN48" s="8" t="d">
        <x:v>2026-10-13T00:00:00.000Z</x:v>
      </x:c>
    </x:row>
    <x:row r="49" ht="53" customHeight="1">
      <x:c r="A49" s="5" t="str">
        <x:v>C0009</x:v>
      </x:c>
      <x:c r="B49" s="5" t="str">
        <x:v>Unassigned</x:v>
      </x:c>
      <x:c r="C49" s="5" t="str">
        <x:v>Unassigned</x:v>
      </x:c>
      <x:c r="D49" s="5" t="str">
        <x:v>Unassigned</x:v>
      </x:c>
      <x:c r="E49" s="5" t="str">
        <x:v>Unassigned</x:v>
      </x:c>
      <x:c r="F49" s="5" t="str">
        <x:v>Yong Shi; Ruijie Xu; Zhiquan Qi</x:v>
      </x:c>
      <x:c r="G49" s="5" t="str">
        <x:v>Yong Shi</x:v>
      </x:c>
      <x:c r="H49" s="5" t="n">
        <x:v>2024</x:v>
      </x:c>
      <x:c r="I49" s="5" t="str">
        <x:v>Outlier Exposure in Visual Industrial Anomaly Detection - Survey</x:v>
      </x:c>
      <x:c r="J49" s="5" t="str">
        <x:v>2024 IEEE International Conference on Data Mining Workshops (ICDMW)</x:v>
      </x:c>
      <x:c r="K49" s="5" t="str">
        <x:v>10.1109/icdmw65004.2024.00008</x:v>
      </x:c>
      <x:c r="L49" s="5" t="str"/>
      <x:c r="M49" s="5" t="str">
        <x:v>https://ieeexplore.ieee.org/document/10917532/</x:v>
      </x:c>
      <x:c r="N49" s="5" t="str">
        <x:v>https://doi.org/10.1109/icdmw65004.2024.00008</x:v>
      </x:c>
      <x:c r="O49" s="5" t="str">
        <x:v>Not extracted</x:v>
      </x:c>
      <x:c r="P49" s="5" t="str">
        <x:v>Not extracted</x:v>
      </x:c>
      <x:c r="Q49" s="5" t="str">
        <x:v>Not extracted</x:v>
      </x:c>
      <x:c r="R49" s="5" t="str">
        <x:v>Not extracted</x:v>
      </x:c>
      <x:c r="S49" s="5" t="str">
        <x:v>Unassigned</x:v>
      </x:c>
      <x:c r="T49" s="5" t="str">
        <x:v>Unassigned</x:v>
      </x:c>
      <x:c r="U49" s="5" t="str"/>
      <x:c r="V49" s="5" t="str"/>
      <x:c r="W49" s="5" t="str">
        <x:v>Not extracted</x:v>
      </x:c>
      <x:c r="X49" s="5" t="str">
        <x:v>Pending eligibility screening</x:v>
      </x:c>
      <x:c r="Y49" s="5" t="str">
        <x:v>shi2024_C0009</x:v>
      </x:c>
      <x:c r="Z49" s="5" t="str">
        <x:v>Generated; needs verification</x:v>
      </x:c>
      <x:c r="AA49" s="5" t="str">
        <x:v>No manuscript yet</x:v>
      </x:c>
      <x:c r="AB49" s="5" t="str">
        <x:v>No</x:v>
      </x:c>
      <x:c r="AC49" s="5" t="str">
        <x:v>Not checked</x:v>
      </x:c>
      <x:c r="AD49" s="5" t="str">
        <x:v>Unscreened</x:v>
      </x:c>
      <x:c r="AE49" s="5" t="str">
        <x:v>Not linked</x:v>
      </x:c>
      <x:c r="AF49" s="5" t="str">
        <x:v>S01; S02; S12; S16</x:v>
      </x:c>
      <x:c r="AG49" s="5" t="str">
        <x:v>Crossref REST API</x:v>
      </x:c>
      <x:c r="AH49" s="5" t="str">
        <x:v>Journal / conference record; peer review not audited</x:v>
      </x:c>
      <x:c r="AI49" s="5" t="str">
        <x:v>Metadata only</x:v>
      </x:c>
      <x:c r="AJ49" s="5" t="str">
        <x:v>Verified against deposited metadata; publisher citation check pending</x:v>
      </x:c>
      <x:c r="AK49" s="5" t="str">
        <x:v>proceedings-article</x:v>
      </x:c>
      <x:c r="AL49" s="5" t="str">
        <x:v>Title-scope candidate</x:v>
      </x:c>
      <x:c r="AM49" s="5" t="str">
        <x:v>review-paper/search-strategy/runs/PILOT-20261013-01/S01.json</x:v>
      </x:c>
      <x:c r="AN49" s="8" t="d">
        <x:v>2026-10-13T00:00:00.000Z</x:v>
      </x:c>
    </x:row>
    <x:row r="50" ht="53" customHeight="1">
      <x:c r="A50" s="5" t="str">
        <x:v>C0010</x:v>
      </x:c>
      <x:c r="B50" s="5" t="str">
        <x:v>Unassigned</x:v>
      </x:c>
      <x:c r="C50" s="5" t="str">
        <x:v>Unassigned</x:v>
      </x:c>
      <x:c r="D50" s="5" t="str">
        <x:v>Unassigned</x:v>
      </x:c>
      <x:c r="E50" s="5" t="str">
        <x:v>Unassigned</x:v>
      </x:c>
      <x:c r="F50" s="5" t="str">
        <x:v>Haohao Xu; Shuchang Xu; Wenzhen Yang</x:v>
      </x:c>
      <x:c r="G50" s="5" t="str">
        <x:v>Haohao Xu</x:v>
      </x:c>
      <x:c r="H50" s="5" t="n">
        <x:v>2023</x:v>
      </x:c>
      <x:c r="I50" s="5" t="str">
        <x:v>Unsupervised industrial anomaly detection with diffusion models</x:v>
      </x:c>
      <x:c r="J50" s="5" t="str">
        <x:v>Journal of Visual Communication and Image Representation</x:v>
      </x:c>
      <x:c r="K50" s="5" t="str">
        <x:v>10.1016/j.jvcir.2023.103983</x:v>
      </x:c>
      <x:c r="L50" s="5" t="str"/>
      <x:c r="M50" s="5" t="str">
        <x:v>https://linkinghub.elsevier.com/retrieve/pii/S104732032300233X</x:v>
      </x:c>
      <x:c r="N50" s="5" t="str">
        <x:v>https://doi.org/10.1016/j.jvcir.2023.103983</x:v>
      </x:c>
      <x:c r="O50" s="5" t="str">
        <x:v>Not extracted</x:v>
      </x:c>
      <x:c r="P50" s="5" t="str">
        <x:v>Not extracted</x:v>
      </x:c>
      <x:c r="Q50" s="5" t="str">
        <x:v>Not extracted</x:v>
      </x:c>
      <x:c r="R50" s="5" t="str">
        <x:v>Not extracted</x:v>
      </x:c>
      <x:c r="S50" s="5" t="str">
        <x:v>Unassigned</x:v>
      </x:c>
      <x:c r="T50" s="5" t="str">
        <x:v>Unassigned</x:v>
      </x:c>
      <x:c r="U50" s="5" t="str"/>
      <x:c r="V50" s="5" t="str"/>
      <x:c r="W50" s="5" t="str">
        <x:v>Not extracted</x:v>
      </x:c>
      <x:c r="X50" s="5" t="str">
        <x:v>Pending eligibility screening</x:v>
      </x:c>
      <x:c r="Y50" s="5" t="str">
        <x:v>xu2023_C0010</x:v>
      </x:c>
      <x:c r="Z50" s="5" t="str">
        <x:v>Generated; needs verification</x:v>
      </x:c>
      <x:c r="AA50" s="5" t="str">
        <x:v>No manuscript yet</x:v>
      </x:c>
      <x:c r="AB50" s="5" t="str">
        <x:v>No</x:v>
      </x:c>
      <x:c r="AC50" s="5" t="str">
        <x:v>Not checked</x:v>
      </x:c>
      <x:c r="AD50" s="5" t="str">
        <x:v>Unscreened</x:v>
      </x:c>
      <x:c r="AE50" s="5" t="str">
        <x:v>Not linked</x:v>
      </x:c>
      <x:c r="AF50" s="5" t="str">
        <x:v>S01; S02; S12; S16</x:v>
      </x:c>
      <x:c r="AG50" s="5" t="str">
        <x:v>Crossref REST API</x:v>
      </x:c>
      <x:c r="AH50" s="5" t="str">
        <x:v>Journal / conference record; peer review not audited</x:v>
      </x:c>
      <x:c r="AI50" s="5" t="str">
        <x:v>Metadata only</x:v>
      </x:c>
      <x:c r="AJ50" s="5" t="str">
        <x:v>Verified against deposited metadata; publisher citation check pending</x:v>
      </x:c>
      <x:c r="AK50" s="5" t="str">
        <x:v>journal-article</x:v>
      </x:c>
      <x:c r="AL50" s="5" t="str">
        <x:v>Title-scope candidate</x:v>
      </x:c>
      <x:c r="AM50" s="5" t="str">
        <x:v>review-paper/search-strategy/runs/PILOT-20261013-01/S01.json</x:v>
      </x:c>
      <x:c r="AN50" s="8" t="d">
        <x:v>2026-10-13T00:00:00.000Z</x:v>
      </x:c>
    </x:row>
    <x:row r="51" ht="53" customHeight="1">
      <x:c r="A51" s="5" t="str">
        <x:v>C0011</x:v>
      </x:c>
      <x:c r="B51" s="5" t="str">
        <x:v>Unassigned</x:v>
      </x:c>
      <x:c r="C51" s="5" t="str">
        <x:v>Unassigned</x:v>
      </x:c>
      <x:c r="D51" s="5" t="str">
        <x:v>Unassigned</x:v>
      </x:c>
      <x:c r="E51" s="5" t="str">
        <x:v>Unassigned</x:v>
      </x:c>
      <x:c r="F51" s="5" t="str">
        <x:v>Xiao Du; Bing Li; Zhuo Zhao; Bingke Jiang; Yupeng Shi; Liuyi Jin; Xiao Jin</x:v>
      </x:c>
      <x:c r="G51" s="5" t="str">
        <x:v>Xiao Du</x:v>
      </x:c>
      <x:c r="H51" s="5" t="n">
        <x:v>2024</x:v>
      </x:c>
      <x:c r="I51" s="5" t="str">
        <x:v>Anomaly-prior guided inpainting for industrial visual anomaly detection</x:v>
      </x:c>
      <x:c r="J51" s="5" t="str">
        <x:v>Optics &amp;amp; Laser Technology</x:v>
      </x:c>
      <x:c r="K51" s="5" t="str">
        <x:v>10.1016/j.optlastec.2023.110296</x:v>
      </x:c>
      <x:c r="L51" s="5" t="str"/>
      <x:c r="M51" s="5" t="str">
        <x:v>https://linkinghub.elsevier.com/retrieve/pii/S0030399223011891</x:v>
      </x:c>
      <x:c r="N51" s="5" t="str">
        <x:v>https://doi.org/10.1016/j.optlastec.2023.110296</x:v>
      </x:c>
      <x:c r="O51" s="5" t="str">
        <x:v>Not extracted</x:v>
      </x:c>
      <x:c r="P51" s="5" t="str">
        <x:v>Not extracted</x:v>
      </x:c>
      <x:c r="Q51" s="5" t="str">
        <x:v>Not extracted</x:v>
      </x:c>
      <x:c r="R51" s="5" t="str">
        <x:v>Not extracted</x:v>
      </x:c>
      <x:c r="S51" s="5" t="str">
        <x:v>Unassigned</x:v>
      </x:c>
      <x:c r="T51" s="5" t="str">
        <x:v>Unassigned</x:v>
      </x:c>
      <x:c r="U51" s="5" t="str"/>
      <x:c r="V51" s="5" t="str"/>
      <x:c r="W51" s="5" t="str">
        <x:v>Not extracted</x:v>
      </x:c>
      <x:c r="X51" s="5" t="str">
        <x:v>Pending eligibility screening</x:v>
      </x:c>
      <x:c r="Y51" s="5" t="str">
        <x:v>du2024_C0011</x:v>
      </x:c>
      <x:c r="Z51" s="5" t="str">
        <x:v>Generated; needs verification</x:v>
      </x:c>
      <x:c r="AA51" s="5" t="str">
        <x:v>No manuscript yet</x:v>
      </x:c>
      <x:c r="AB51" s="5" t="str">
        <x:v>No</x:v>
      </x:c>
      <x:c r="AC51" s="5" t="str">
        <x:v>Not checked</x:v>
      </x:c>
      <x:c r="AD51" s="5" t="str">
        <x:v>Unscreened</x:v>
      </x:c>
      <x:c r="AE51" s="5" t="str">
        <x:v>Not linked</x:v>
      </x:c>
      <x:c r="AF51" s="5" t="str">
        <x:v>S01; S02; S16</x:v>
      </x:c>
      <x:c r="AG51" s="5" t="str">
        <x:v>Crossref REST API</x:v>
      </x:c>
      <x:c r="AH51" s="5" t="str">
        <x:v>Journal / conference record; peer review not audited</x:v>
      </x:c>
      <x:c r="AI51" s="5" t="str">
        <x:v>Metadata only</x:v>
      </x:c>
      <x:c r="AJ51" s="5" t="str">
        <x:v>Verified against deposited metadata; publisher citation check pending</x:v>
      </x:c>
      <x:c r="AK51" s="5" t="str">
        <x:v>journal-article</x:v>
      </x:c>
      <x:c r="AL51" s="5" t="str">
        <x:v>Title-scope candidate</x:v>
      </x:c>
      <x:c r="AM51" s="5" t="str">
        <x:v>review-paper/search-strategy/runs/PILOT-20261013-01/S01.json</x:v>
      </x:c>
      <x:c r="AN51" s="8" t="d">
        <x:v>2026-10-13T00:00:00.000Z</x:v>
      </x:c>
    </x:row>
    <x:row r="52" ht="53" customHeight="1">
      <x:c r="A52" s="5" t="str">
        <x:v>C0012</x:v>
      </x:c>
      <x:c r="B52" s="5" t="str">
        <x:v>Unassigned</x:v>
      </x:c>
      <x:c r="C52" s="5" t="str">
        <x:v>Unassigned</x:v>
      </x:c>
      <x:c r="D52" s="5" t="str">
        <x:v>Unassigned</x:v>
      </x:c>
      <x:c r="E52" s="5" t="str">
        <x:v>Unassigned</x:v>
      </x:c>
      <x:c r="F52" s="5" t="str">
        <x:v>Fuqi Sun; Weisheng Cheng; Chenghong Xiang; Yuxiao Tang; Nana Li; xiaodong Zhang</x:v>
      </x:c>
      <x:c r="G52" s="5" t="str">
        <x:v>Fuqi Sun</x:v>
      </x:c>
      <x:c r="H52" s="5" t="n">
        <x:v>2026</x:v>
      </x:c>
      <x:c r="I52" s="5" t="str">
        <x:v>Online Industrial Visual Anomaly Detection Using Temporal Aggregation Representations: A Case Study of Yarn Breakage Detection in Warp Knitting</x:v>
      </x:c>
      <x:c r="J52" s="5" t="str"/>
      <x:c r="K52" s="5" t="str">
        <x:v>10.2139/ssrn.7597210</x:v>
      </x:c>
      <x:c r="L52" s="5" t="str"/>
      <x:c r="M52" s="5" t="str">
        <x:v>https://www.ssrn.com/abstract=7597210</x:v>
      </x:c>
      <x:c r="N52" s="5" t="str">
        <x:v>https://doi.org/10.2139/ssrn.7597210</x:v>
      </x:c>
      <x:c r="O52" s="5" t="str">
        <x:v>Not extracted</x:v>
      </x:c>
      <x:c r="P52" s="5" t="str">
        <x:v>Not extracted</x:v>
      </x:c>
      <x:c r="Q52" s="5" t="str">
        <x:v>Not extracted</x:v>
      </x:c>
      <x:c r="R52" s="5" t="str">
        <x:v>Not extracted</x:v>
      </x:c>
      <x:c r="S52" s="5" t="str">
        <x:v>Unassigned</x:v>
      </x:c>
      <x:c r="T52" s="5" t="str">
        <x:v>Unassigned</x:v>
      </x:c>
      <x:c r="U52" s="5" t="str"/>
      <x:c r="V52" s="5" t="str"/>
      <x:c r="W52" s="5" t="str">
        <x:v>Not extracted</x:v>
      </x:c>
      <x:c r="X52" s="5" t="str">
        <x:v>Pending eligibility screening</x:v>
      </x:c>
      <x:c r="Y52" s="5" t="str">
        <x:v>sun2026_C0012</x:v>
      </x:c>
      <x:c r="Z52" s="5" t="str">
        <x:v>Generated; needs verification</x:v>
      </x:c>
      <x:c r="AA52" s="5" t="str">
        <x:v>No manuscript yet</x:v>
      </x:c>
      <x:c r="AB52" s="5" t="str">
        <x:v>No</x:v>
      </x:c>
      <x:c r="AC52" s="5" t="str">
        <x:v>Not checked</x:v>
      </x:c>
      <x:c r="AD52" s="5" t="str">
        <x:v>Unscreened</x:v>
      </x:c>
      <x:c r="AE52" s="5" t="str">
        <x:v>Not linked</x:v>
      </x:c>
      <x:c r="AF52" s="5" t="str">
        <x:v>S01; S02; S16</x:v>
      </x:c>
      <x:c r="AG52" s="5" t="str">
        <x:v>Crossref REST API</x:v>
      </x:c>
      <x:c r="AH52" s="5" t="str">
        <x:v>Preprint / repository record</x:v>
      </x:c>
      <x:c r="AI52" s="5" t="str">
        <x:v>Metadata only</x:v>
      </x:c>
      <x:c r="AJ52" s="5" t="str">
        <x:v>Verified against deposited metadata; publisher citation check pending</x:v>
      </x:c>
      <x:c r="AK52" s="5" t="str">
        <x:v>posted-content</x:v>
      </x:c>
      <x:c r="AL52" s="5" t="str">
        <x:v>Title-scope candidate</x:v>
      </x:c>
      <x:c r="AM52" s="5" t="str">
        <x:v>review-paper/search-strategy/runs/PILOT-20261013-01/S01.json</x:v>
      </x:c>
      <x:c r="AN52" s="8" t="d">
        <x:v>2026-10-13T00:00:00.000Z</x:v>
      </x:c>
    </x:row>
    <x:row r="53" ht="53" customHeight="1">
      <x:c r="A53" s="5" t="str">
        <x:v>C0014</x:v>
      </x:c>
      <x:c r="B53" s="5" t="str">
        <x:v>Unassigned</x:v>
      </x:c>
      <x:c r="C53" s="5" t="str">
        <x:v>Unassigned</x:v>
      </x:c>
      <x:c r="D53" s="5" t="str">
        <x:v>Unassigned</x:v>
      </x:c>
      <x:c r="E53" s="5" t="str">
        <x:v>Unassigned</x:v>
      </x:c>
      <x:c r="F53" s="5" t="str">
        <x:v>Augustian Isaac R; Sundaravadivel P; Vinoth kumar E.S; Priyanga G</x:v>
      </x:c>
      <x:c r="G53" s="5" t="str">
        <x:v>Augustian Isaac R</x:v>
      </x:c>
      <x:c r="H53" s="5" t="n">
        <x:v>2025</x:v>
      </x:c>
      <x:c r="I53" s="5" t="str">
        <x:v>Light-MLLMAD: A Lightweight Multimodal Large Language Model for One-Shot Industrial Visual Anomaly Detection</x:v>
      </x:c>
      <x:c r="J53" s="5" t="str"/>
      <x:c r="K53" s="5" t="str">
        <x:v>10.21203/rs.3.rs-7853870/v1</x:v>
      </x:c>
      <x:c r="L53" s="5" t="str"/>
      <x:c r="M53" s="5" t="str">
        <x:v>https://www.researchsquare.com/article/rs-7853870/v1</x:v>
      </x:c>
      <x:c r="N53" s="5" t="str">
        <x:v>https://doi.org/10.21203/rs.3.rs-7853870/v1</x:v>
      </x:c>
      <x:c r="O53" s="5" t="str">
        <x:v>Not extracted</x:v>
      </x:c>
      <x:c r="P53" s="5" t="str">
        <x:v>Not extracted</x:v>
      </x:c>
      <x:c r="Q53" s="5" t="str">
        <x:v>Not extracted</x:v>
      </x:c>
      <x:c r="R53" s="5" t="str">
        <x:v>Not extracted</x:v>
      </x:c>
      <x:c r="S53" s="5" t="str">
        <x:v>Unassigned</x:v>
      </x:c>
      <x:c r="T53" s="5" t="str">
        <x:v>Unassigned</x:v>
      </x:c>
      <x:c r="U53" s="5" t="str"/>
      <x:c r="V53" s="5" t="str"/>
      <x:c r="W53" s="5" t="str">
        <x:v>Not extracted</x:v>
      </x:c>
      <x:c r="X53" s="5" t="str">
        <x:v>Pending eligibility screening</x:v>
      </x:c>
      <x:c r="Y53" s="5" t="str">
        <x:v>r2025_C0014</x:v>
      </x:c>
      <x:c r="Z53" s="5" t="str">
        <x:v>Generated; needs verification</x:v>
      </x:c>
      <x:c r="AA53" s="5" t="str">
        <x:v>No manuscript yet</x:v>
      </x:c>
      <x:c r="AB53" s="5" t="str">
        <x:v>No</x:v>
      </x:c>
      <x:c r="AC53" s="5" t="str">
        <x:v>Not checked</x:v>
      </x:c>
      <x:c r="AD53" s="5" t="str">
        <x:v>Unscreened</x:v>
      </x:c>
      <x:c r="AE53" s="5" t="str">
        <x:v>Not linked</x:v>
      </x:c>
      <x:c r="AF53" s="5" t="str">
        <x:v>S01; S02; S16</x:v>
      </x:c>
      <x:c r="AG53" s="5" t="str">
        <x:v>Crossref REST API</x:v>
      </x:c>
      <x:c r="AH53" s="5" t="str">
        <x:v>Preprint / repository record</x:v>
      </x:c>
      <x:c r="AI53" s="5" t="str">
        <x:v>Metadata only</x:v>
      </x:c>
      <x:c r="AJ53" s="5" t="str">
        <x:v>Verified against deposited metadata; publisher citation check pending</x:v>
      </x:c>
      <x:c r="AK53" s="5" t="str">
        <x:v>posted-content</x:v>
      </x:c>
      <x:c r="AL53" s="5" t="str">
        <x:v>Title-scope candidate</x:v>
      </x:c>
      <x:c r="AM53" s="5" t="str">
        <x:v>review-paper/search-strategy/runs/PILOT-20261013-01/S01.json</x:v>
      </x:c>
      <x:c r="AN53" s="8" t="d">
        <x:v>2026-10-13T00:00:00.000Z</x:v>
      </x:c>
    </x:row>
    <x:row r="54" ht="53" customHeight="1">
      <x:c r="A54" s="5" t="str">
        <x:v>C0015</x:v>
      </x:c>
      <x:c r="B54" s="5" t="str">
        <x:v>Unassigned</x:v>
      </x:c>
      <x:c r="C54" s="5" t="str">
        <x:v>Unassigned</x:v>
      </x:c>
      <x:c r="D54" s="5" t="str">
        <x:v>Unassigned</x:v>
      </x:c>
      <x:c r="E54" s="5" t="str">
        <x:v>Unassigned</x:v>
      </x:c>
      <x:c r="F54" s="5" t="str">
        <x:v>Tongkun Liu; Bing Li; Xiao Du; Bingke Jiang; Leqi Geng; Feiyang Wang; Zhuo Zhao</x:v>
      </x:c>
      <x:c r="G54" s="5" t="str">
        <x:v>Tongkun Liu</x:v>
      </x:c>
      <x:c r="H54" s="5" t="n">
        <x:v>2024</x:v>
      </x:c>
      <x:c r="I54" s="5" t="str">
        <x:v>Simple and Effective Frequency-Aware Image Restoration for Industrial Visual Anomaly Detection</x:v>
      </x:c>
      <x:c r="J54" s="5" t="str"/>
      <x:c r="K54" s="5" t="str">
        <x:v>10.2139/ssrn.4826922</x:v>
      </x:c>
      <x:c r="L54" s="5" t="str"/>
      <x:c r="M54" s="5" t="str">
        <x:v>https://www.ssrn.com/abstract=4826922</x:v>
      </x:c>
      <x:c r="N54" s="5" t="str">
        <x:v>https://doi.org/10.2139/ssrn.4826922</x:v>
      </x:c>
      <x:c r="O54" s="5" t="str">
        <x:v>Not extracted</x:v>
      </x:c>
      <x:c r="P54" s="5" t="str">
        <x:v>Not extracted</x:v>
      </x:c>
      <x:c r="Q54" s="5" t="str">
        <x:v>Not extracted</x:v>
      </x:c>
      <x:c r="R54" s="5" t="str">
        <x:v>Not extracted</x:v>
      </x:c>
      <x:c r="S54" s="5" t="str">
        <x:v>Unassigned</x:v>
      </x:c>
      <x:c r="T54" s="5" t="str">
        <x:v>Unassigned</x:v>
      </x:c>
      <x:c r="U54" s="5" t="str"/>
      <x:c r="V54" s="5" t="str"/>
      <x:c r="W54" s="5" t="str">
        <x:v>Not extracted</x:v>
      </x:c>
      <x:c r="X54" s="5" t="str">
        <x:v>Pending eligibility screening</x:v>
      </x:c>
      <x:c r="Y54" s="5" t="str">
        <x:v>liu2024_C0015</x:v>
      </x:c>
      <x:c r="Z54" s="5" t="str">
        <x:v>Generated; needs verification</x:v>
      </x:c>
      <x:c r="AA54" s="5" t="str">
        <x:v>No manuscript yet</x:v>
      </x:c>
      <x:c r="AB54" s="5" t="str">
        <x:v>No</x:v>
      </x:c>
      <x:c r="AC54" s="5" t="str">
        <x:v>Not checked</x:v>
      </x:c>
      <x:c r="AD54" s="5" t="str">
        <x:v>Unscreened</x:v>
      </x:c>
      <x:c r="AE54" s="5" t="str">
        <x:v>Not linked</x:v>
      </x:c>
      <x:c r="AF54" s="5" t="str">
        <x:v>S01; S16</x:v>
      </x:c>
      <x:c r="AG54" s="5" t="str">
        <x:v>Crossref REST API</x:v>
      </x:c>
      <x:c r="AH54" s="5" t="str">
        <x:v>Preprint / repository record</x:v>
      </x:c>
      <x:c r="AI54" s="5" t="str">
        <x:v>Metadata only</x:v>
      </x:c>
      <x:c r="AJ54" s="5" t="str">
        <x:v>Verified against deposited metadata; publisher citation check pending</x:v>
      </x:c>
      <x:c r="AK54" s="5" t="str">
        <x:v>posted-content</x:v>
      </x:c>
      <x:c r="AL54" s="5" t="str">
        <x:v>Title-scope candidate</x:v>
      </x:c>
      <x:c r="AM54" s="5" t="str">
        <x:v>review-paper/search-strategy/runs/PILOT-20261013-01/S01.json</x:v>
      </x:c>
      <x:c r="AN54" s="8" t="d">
        <x:v>2026-10-13T00:00:00.000Z</x:v>
      </x:c>
    </x:row>
    <x:row r="55" ht="53" customHeight="1">
      <x:c r="A55" s="5" t="str">
        <x:v>C0016</x:v>
      </x:c>
      <x:c r="B55" s="5" t="str">
        <x:v>Unassigned</x:v>
      </x:c>
      <x:c r="C55" s="5" t="str">
        <x:v>Unassigned</x:v>
      </x:c>
      <x:c r="D55" s="5" t="str">
        <x:v>Unassigned</x:v>
      </x:c>
      <x:c r="E55" s="5" t="str">
        <x:v>Unassigned</x:v>
      </x:c>
      <x:c r="F55" s="5" t="str">
        <x:v>Engin Dalga; Serkan Ballı</x:v>
      </x:c>
      <x:c r="G55" s="5" t="str">
        <x:v>Engin Dalga</x:v>
      </x:c>
      <x:c r="H55" s="5" t="n">
        <x:v>2026</x:v>
      </x:c>
      <x:c r="I55" s="5" t="str">
        <x:v>A Two-Stage CLIP–DINOv2 Framework for Zero-Shot Industrial Visual Anomaly Detection</x:v>
      </x:c>
      <x:c r="J55" s="5" t="str">
        <x:v>2026 34th Signal Processing and Communications Applications Conference (SIU)</x:v>
      </x:c>
      <x:c r="K55" s="5" t="str">
        <x:v>10.1109/siu71813.2026.11636715</x:v>
      </x:c>
      <x:c r="L55" s="5" t="str"/>
      <x:c r="M55" s="5" t="str">
        <x:v>https://ieeexplore.ieee.org/document/11636715/</x:v>
      </x:c>
      <x:c r="N55" s="5" t="str">
        <x:v>https://doi.org/10.1109/siu71813.2026.11636715</x:v>
      </x:c>
      <x:c r="O55" s="5" t="str">
        <x:v>Not extracted</x:v>
      </x:c>
      <x:c r="P55" s="5" t="str">
        <x:v>Not extracted</x:v>
      </x:c>
      <x:c r="Q55" s="5" t="str">
        <x:v>Not extracted</x:v>
      </x:c>
      <x:c r="R55" s="5" t="str">
        <x:v>Not extracted</x:v>
      </x:c>
      <x:c r="S55" s="5" t="str">
        <x:v>Unassigned</x:v>
      </x:c>
      <x:c r="T55" s="5" t="str">
        <x:v>Unassigned</x:v>
      </x:c>
      <x:c r="U55" s="5" t="str"/>
      <x:c r="V55" s="5" t="str"/>
      <x:c r="W55" s="5" t="str">
        <x:v>Not extracted</x:v>
      </x:c>
      <x:c r="X55" s="5" t="str">
        <x:v>Pending eligibility screening</x:v>
      </x:c>
      <x:c r="Y55" s="5" t="str">
        <x:v>dalga2026_C0016</x:v>
      </x:c>
      <x:c r="Z55" s="5" t="str">
        <x:v>Generated; needs verification</x:v>
      </x:c>
      <x:c r="AA55" s="5" t="str">
        <x:v>No manuscript yet</x:v>
      </x:c>
      <x:c r="AB55" s="5" t="str">
        <x:v>No</x:v>
      </x:c>
      <x:c r="AC55" s="5" t="str">
        <x:v>Not checked</x:v>
      </x:c>
      <x:c r="AD55" s="5" t="str">
        <x:v>Unscreened</x:v>
      </x:c>
      <x:c r="AE55" s="5" t="str">
        <x:v>Not linked</x:v>
      </x:c>
      <x:c r="AF55" s="5" t="str">
        <x:v>S01; S16</x:v>
      </x:c>
      <x:c r="AG55" s="5" t="str">
        <x:v>Crossref REST API</x:v>
      </x:c>
      <x:c r="AH55" s="5" t="str">
        <x:v>Journal / conference record; peer review not audited</x:v>
      </x:c>
      <x:c r="AI55" s="5" t="str">
        <x:v>Metadata only</x:v>
      </x:c>
      <x:c r="AJ55" s="5" t="str">
        <x:v>Verified against deposited metadata; publisher citation check pending</x:v>
      </x:c>
      <x:c r="AK55" s="5" t="str">
        <x:v>proceedings-article</x:v>
      </x:c>
      <x:c r="AL55" s="5" t="str">
        <x:v>Title-scope candidate</x:v>
      </x:c>
      <x:c r="AM55" s="5" t="str">
        <x:v>review-paper/search-strategy/runs/PILOT-20261013-01/S01.json</x:v>
      </x:c>
      <x:c r="AN55" s="8" t="d">
        <x:v>2026-10-13T00:00:00.000Z</x:v>
      </x:c>
    </x:row>
    <x:row r="56" ht="53" customHeight="1">
      <x:c r="A56" s="5" t="str">
        <x:v>C0017</x:v>
      </x:c>
      <x:c r="B56" s="5" t="str">
        <x:v>Unassigned</x:v>
      </x:c>
      <x:c r="C56" s="5" t="str">
        <x:v>Unassigned</x:v>
      </x:c>
      <x:c r="D56" s="5" t="str">
        <x:v>Unassigned</x:v>
      </x:c>
      <x:c r="E56" s="5" t="str">
        <x:v>Unassigned</x:v>
      </x:c>
      <x:c r="F56" s="5" t="str">
        <x:v>Changyi Li; Chao Yang; Yu Xiao</x:v>
      </x:c>
      <x:c r="G56" s="5" t="str">
        <x:v>Changyi Li</x:v>
      </x:c>
      <x:c r="H56" s="5" t="n">
        <x:v>2025</x:v>
      </x:c>
      <x:c r="I56" s="5" t="str">
        <x:v>S2TKD: Dual-Student Knowledge Distillation for Industrial Visual Anomaly Detection and Localization</x:v>
      </x:c>
      <x:c r="J56" s="5" t="str">
        <x:v>2025 IEEE International Conference on Big Data (BigData)</x:v>
      </x:c>
      <x:c r="K56" s="5" t="str">
        <x:v>10.1109/bigdata66926.2025.11400946</x:v>
      </x:c>
      <x:c r="L56" s="5" t="str"/>
      <x:c r="M56" s="5" t="str">
        <x:v>https://ieeexplore.ieee.org/document/11400946/</x:v>
      </x:c>
      <x:c r="N56" s="5" t="str">
        <x:v>https://doi.org/10.1109/bigdata66926.2025.11400946</x:v>
      </x:c>
      <x:c r="O56" s="5" t="str">
        <x:v>Not extracted</x:v>
      </x:c>
      <x:c r="P56" s="5" t="str">
        <x:v>Not extracted</x:v>
      </x:c>
      <x:c r="Q56" s="5" t="str">
        <x:v>Not extracted</x:v>
      </x:c>
      <x:c r="R56" s="5" t="str">
        <x:v>Not extracted</x:v>
      </x:c>
      <x:c r="S56" s="5" t="str">
        <x:v>Unassigned</x:v>
      </x:c>
      <x:c r="T56" s="5" t="str">
        <x:v>Unassigned</x:v>
      </x:c>
      <x:c r="U56" s="5" t="str"/>
      <x:c r="V56" s="5" t="str"/>
      <x:c r="W56" s="5" t="str">
        <x:v>Not extracted</x:v>
      </x:c>
      <x:c r="X56" s="5" t="str">
        <x:v>Pending eligibility screening</x:v>
      </x:c>
      <x:c r="Y56" s="5" t="str">
        <x:v>li2025_C0017</x:v>
      </x:c>
      <x:c r="Z56" s="5" t="str">
        <x:v>Generated; needs verification</x:v>
      </x:c>
      <x:c r="AA56" s="5" t="str">
        <x:v>No manuscript yet</x:v>
      </x:c>
      <x:c r="AB56" s="5" t="str">
        <x:v>No</x:v>
      </x:c>
      <x:c r="AC56" s="5" t="str">
        <x:v>Not checked</x:v>
      </x:c>
      <x:c r="AD56" s="5" t="str">
        <x:v>Unscreened</x:v>
      </x:c>
      <x:c r="AE56" s="5" t="str">
        <x:v>Not linked</x:v>
      </x:c>
      <x:c r="AF56" s="5" t="str">
        <x:v>S01; S16</x:v>
      </x:c>
      <x:c r="AG56" s="5" t="str">
        <x:v>Crossref REST API</x:v>
      </x:c>
      <x:c r="AH56" s="5" t="str">
        <x:v>Journal / conference record; peer review not audited</x:v>
      </x:c>
      <x:c r="AI56" s="5" t="str">
        <x:v>Metadata only</x:v>
      </x:c>
      <x:c r="AJ56" s="5" t="str">
        <x:v>Verified against deposited metadata; publisher citation check pending</x:v>
      </x:c>
      <x:c r="AK56" s="5" t="str">
        <x:v>proceedings-article</x:v>
      </x:c>
      <x:c r="AL56" s="5" t="str">
        <x:v>Title-scope candidate</x:v>
      </x:c>
      <x:c r="AM56" s="5" t="str">
        <x:v>review-paper/search-strategy/runs/PILOT-20261013-01/S01.json</x:v>
      </x:c>
      <x:c r="AN56" s="8" t="d">
        <x:v>2026-10-13T00:00:00.000Z</x:v>
      </x:c>
    </x:row>
    <x:row r="57" ht="68" customHeight="1">
      <x:c r="A57" s="5" t="str">
        <x:v>C0018</x:v>
      </x:c>
      <x:c r="B57" s="5" t="str">
        <x:v>Unassigned</x:v>
      </x:c>
      <x:c r="C57" s="5" t="str">
        <x:v>Unassigned</x:v>
      </x:c>
      <x:c r="D57" s="5" t="str">
        <x:v>Unassigned</x:v>
      </x:c>
      <x:c r="E57" s="5" t="str">
        <x:v>Unassigned</x:v>
      </x:c>
      <x:c r="F57" s="5" t="str">
        <x:v>Neil Caithness; David Wallom</x:v>
      </x:c>
      <x:c r="G57" s="5" t="str">
        <x:v>Neil Caithness</x:v>
      </x:c>
      <x:c r="H57" s="5" t="n">
        <x:v>2018</x:v>
      </x:c>
      <x:c r="I57" s="5" t="str">
        <x:v>Anomaly Detection for Industrial Big Data</x:v>
      </x:c>
      <x:c r="J57" s="5" t="str">
        <x:v>Proceedings of the 7th International Conference on Data Science, Technology and Applications</x:v>
      </x:c>
      <x:c r="K57" s="5" t="str">
        <x:v>10.5220/0006835502850293</x:v>
      </x:c>
      <x:c r="L57" s="5" t="str"/>
      <x:c r="M57" s="5" t="str">
        <x:v>http://www.scitepress.org/DigitalLibrary/Link.aspx?doi=10.5220/0006835502850293</x:v>
      </x:c>
      <x:c r="N57" s="5" t="str">
        <x:v>https://doi.org/10.5220/0006835502850293</x:v>
      </x:c>
      <x:c r="O57" s="5" t="str">
        <x:v>Not extracted</x:v>
      </x:c>
      <x:c r="P57" s="5" t="str">
        <x:v>Not extracted</x:v>
      </x:c>
      <x:c r="Q57" s="5" t="str">
        <x:v>Not extracted</x:v>
      </x:c>
      <x:c r="R57" s="5" t="str">
        <x:v>Not extracted</x:v>
      </x:c>
      <x:c r="S57" s="5" t="str">
        <x:v>Unassigned</x:v>
      </x:c>
      <x:c r="T57" s="5" t="str">
        <x:v>Unassigned</x:v>
      </x:c>
      <x:c r="U57" s="5" t="str"/>
      <x:c r="V57" s="5" t="str"/>
      <x:c r="W57" s="5" t="str">
        <x:v>Not extracted</x:v>
      </x:c>
      <x:c r="X57" s="5" t="str">
        <x:v>Pending eligibility screening</x:v>
      </x:c>
      <x:c r="Y57" s="5" t="str">
        <x:v>caithness2018_C0018</x:v>
      </x:c>
      <x:c r="Z57" s="5" t="str">
        <x:v>Generated; needs verification</x:v>
      </x:c>
      <x:c r="AA57" s="5" t="str">
        <x:v>No manuscript yet</x:v>
      </x:c>
      <x:c r="AB57" s="5" t="str">
        <x:v>No</x:v>
      </x:c>
      <x:c r="AC57" s="5" t="str">
        <x:v>Not checked</x:v>
      </x:c>
      <x:c r="AD57" s="5" t="str">
        <x:v>Unscreened</x:v>
      </x:c>
      <x:c r="AE57" s="5" t="str">
        <x:v>Not linked</x:v>
      </x:c>
      <x:c r="AF57" s="5" t="str">
        <x:v>S01; S05; S16</x:v>
      </x:c>
      <x:c r="AG57" s="5" t="str">
        <x:v>Crossref REST API</x:v>
      </x:c>
      <x:c r="AH57" s="5" t="str">
        <x:v>Journal / conference record; peer review not audited</x:v>
      </x:c>
      <x:c r="AI57" s="5" t="str">
        <x:v>Metadata only</x:v>
      </x:c>
      <x:c r="AJ57" s="5" t="str">
        <x:v>Verified against deposited metadata; publisher citation check pending</x:v>
      </x:c>
      <x:c r="AK57" s="5" t="str">
        <x:v>proceedings-article</x:v>
      </x:c>
      <x:c r="AL57" s="5" t="str">
        <x:v>Title-scope candidate</x:v>
      </x:c>
      <x:c r="AM57" s="5" t="str">
        <x:v>review-paper/search-strategy/runs/PILOT-20261013-01/S01.json</x:v>
      </x:c>
      <x:c r="AN57" s="8" t="d">
        <x:v>2026-10-13T00:00:00.000Z</x:v>
      </x:c>
    </x:row>
    <x:row r="58" ht="53" customHeight="1">
      <x:c r="A58" s="5" t="str">
        <x:v>C0019</x:v>
      </x:c>
      <x:c r="B58" s="5" t="str">
        <x:v>Unassigned</x:v>
      </x:c>
      <x:c r="C58" s="5" t="str">
        <x:v>Unassigned</x:v>
      </x:c>
      <x:c r="D58" s="5" t="str">
        <x:v>Unassigned</x:v>
      </x:c>
      <x:c r="E58" s="5" t="str">
        <x:v>Unassigned</x:v>
      </x:c>
      <x:c r="F58" s="5" t="str">
        <x:v>Jian Zhang; Ge Yang; Runwei Ding; Yidi Li</x:v>
      </x:c>
      <x:c r="G58" s="5" t="str">
        <x:v>Jian Zhang</x:v>
      </x:c>
      <x:c r="H58" s="5" t="n">
        <x:v>2023</x:v>
      </x:c>
      <x:c r="I58" s="5" t="str">
        <x:v>Cascade RDN: Towards Accurate Localization in Industrial Visual Anomaly Detection With Structural Anomaly Generation</x:v>
      </x:c>
      <x:c r="J58" s="5" t="str">
        <x:v>IEEE Robotics and Automation Letters</x:v>
      </x:c>
      <x:c r="K58" s="5" t="str">
        <x:v>10.1109/lra.2023.3296935</x:v>
      </x:c>
      <x:c r="L58" s="5" t="str"/>
      <x:c r="M58" s="5" t="str">
        <x:v>https://ieeexplore.ieee.org/document/10187674/</x:v>
      </x:c>
      <x:c r="N58" s="5" t="str">
        <x:v>https://doi.org/10.1109/lra.2023.3296935</x:v>
      </x:c>
      <x:c r="O58" s="5" t="str">
        <x:v>Not extracted</x:v>
      </x:c>
      <x:c r="P58" s="5" t="str">
        <x:v>Not extracted</x:v>
      </x:c>
      <x:c r="Q58" s="5" t="str">
        <x:v>Not extracted</x:v>
      </x:c>
      <x:c r="R58" s="5" t="str">
        <x:v>Not extracted</x:v>
      </x:c>
      <x:c r="S58" s="5" t="str">
        <x:v>Unassigned</x:v>
      </x:c>
      <x:c r="T58" s="5" t="str">
        <x:v>Unassigned</x:v>
      </x:c>
      <x:c r="U58" s="5" t="str"/>
      <x:c r="V58" s="5" t="str"/>
      <x:c r="W58" s="5" t="str">
        <x:v>Not extracted</x:v>
      </x:c>
      <x:c r="X58" s="5" t="str">
        <x:v>Pending eligibility screening</x:v>
      </x:c>
      <x:c r="Y58" s="5" t="str">
        <x:v>zhang2023_C0019</x:v>
      </x:c>
      <x:c r="Z58" s="5" t="str">
        <x:v>Generated; needs verification</x:v>
      </x:c>
      <x:c r="AA58" s="5" t="str">
        <x:v>No manuscript yet</x:v>
      </x:c>
      <x:c r="AB58" s="5" t="str">
        <x:v>No</x:v>
      </x:c>
      <x:c r="AC58" s="5" t="str">
        <x:v>Not checked</x:v>
      </x:c>
      <x:c r="AD58" s="5" t="str">
        <x:v>Unscreened</x:v>
      </x:c>
      <x:c r="AE58" s="5" t="str">
        <x:v>Not linked</x:v>
      </x:c>
      <x:c r="AF58" s="5" t="str">
        <x:v>S01</x:v>
      </x:c>
      <x:c r="AG58" s="5" t="str">
        <x:v>Crossref REST API</x:v>
      </x:c>
      <x:c r="AH58" s="5" t="str">
        <x:v>Journal / conference record; peer review not audited</x:v>
      </x:c>
      <x:c r="AI58" s="5" t="str">
        <x:v>Metadata only</x:v>
      </x:c>
      <x:c r="AJ58" s="5" t="str">
        <x:v>Verified against deposited metadata; publisher citation check pending</x:v>
      </x:c>
      <x:c r="AK58" s="5" t="str">
        <x:v>journal-article</x:v>
      </x:c>
      <x:c r="AL58" s="5" t="str">
        <x:v>Title-scope candidate</x:v>
      </x:c>
      <x:c r="AM58" s="5" t="str">
        <x:v>review-paper/search-strategy/runs/PILOT-20261013-01/S01.json</x:v>
      </x:c>
      <x:c r="AN58" s="8" t="d">
        <x:v>2026-10-13T00:00:00.000Z</x:v>
      </x:c>
    </x:row>
    <x:row r="59" ht="53" customHeight="1">
      <x:c r="A59" s="5" t="str">
        <x:v>C0020</x:v>
      </x:c>
      <x:c r="B59" s="5" t="str">
        <x:v>Unassigned</x:v>
      </x:c>
      <x:c r="C59" s="5" t="str">
        <x:v>Unassigned</x:v>
      </x:c>
      <x:c r="D59" s="5" t="str">
        <x:v>Unassigned</x:v>
      </x:c>
      <x:c r="E59" s="5" t="str">
        <x:v>Unassigned</x:v>
      </x:c>
      <x:c r="F59" s="5" t="str">
        <x:v>R. Srinivasa Perumal; A. Venkatasubramanian; M. Premalatha; M. Braveen</x:v>
      </x:c>
      <x:c r="G59" s="5" t="str">
        <x:v>R. Srinivasa Perumal</x:v>
      </x:c>
      <x:c r="H59" s="5" t="n">
        <x:v>2026</x:v>
      </x:c>
      <x:c r="I59" s="5" t="str">
        <x:v>TransGAN for Visual Anomaly Detection on Imbalanced Industrial Datasets</x:v>
      </x:c>
      <x:c r="J59" s="5" t="str">
        <x:v>Artificial General Intelligence</x:v>
      </x:c>
      <x:c r="K59" s="5" t="str">
        <x:v>10.1002/9781394422715.ch15</x:v>
      </x:c>
      <x:c r="L59" s="5" t="str"/>
      <x:c r="M59" s="5" t="str">
        <x:v>https://onlinelibrary.wiley.com/doi/10.1002/9781394422715.ch15</x:v>
      </x:c>
      <x:c r="N59" s="5" t="str">
        <x:v>https://doi.org/10.1002/9781394422715.ch15</x:v>
      </x:c>
      <x:c r="O59" s="5" t="str">
        <x:v>Not extracted</x:v>
      </x:c>
      <x:c r="P59" s="5" t="str">
        <x:v>Not extracted</x:v>
      </x:c>
      <x:c r="Q59" s="5" t="str">
        <x:v>Not extracted</x:v>
      </x:c>
      <x:c r="R59" s="5" t="str">
        <x:v>Not extracted</x:v>
      </x:c>
      <x:c r="S59" s="5" t="str">
        <x:v>Unassigned</x:v>
      </x:c>
      <x:c r="T59" s="5" t="str">
        <x:v>Unassigned</x:v>
      </x:c>
      <x:c r="U59" s="5" t="str"/>
      <x:c r="V59" s="5" t="str"/>
      <x:c r="W59" s="5" t="str">
        <x:v>Not extracted</x:v>
      </x:c>
      <x:c r="X59" s="5" t="str">
        <x:v>Pending eligibility screening</x:v>
      </x:c>
      <x:c r="Y59" s="5" t="str">
        <x:v>perumal2026_C0020</x:v>
      </x:c>
      <x:c r="Z59" s="5" t="str">
        <x:v>Generated; needs verification</x:v>
      </x:c>
      <x:c r="AA59" s="5" t="str">
        <x:v>No manuscript yet</x:v>
      </x:c>
      <x:c r="AB59" s="5" t="str">
        <x:v>No</x:v>
      </x:c>
      <x:c r="AC59" s="5" t="str">
        <x:v>Not checked</x:v>
      </x:c>
      <x:c r="AD59" s="5" t="str">
        <x:v>Unscreened</x:v>
      </x:c>
      <x:c r="AE59" s="5" t="str">
        <x:v>Not linked</x:v>
      </x:c>
      <x:c r="AF59" s="5" t="str">
        <x:v>S01</x:v>
      </x:c>
      <x:c r="AG59" s="5" t="str">
        <x:v>Crossref REST API</x:v>
      </x:c>
      <x:c r="AH59" s="5" t="str">
        <x:v>Publication status unverified</x:v>
      </x:c>
      <x:c r="AI59" s="5" t="str">
        <x:v>Metadata only</x:v>
      </x:c>
      <x:c r="AJ59" s="5" t="str">
        <x:v>Verified against deposited metadata; publisher citation check pending</x:v>
      </x:c>
      <x:c r="AK59" s="5" t="str">
        <x:v>other</x:v>
      </x:c>
      <x:c r="AL59" s="5" t="str">
        <x:v>Title-scope candidate</x:v>
      </x:c>
      <x:c r="AM59" s="5" t="str">
        <x:v>review-paper/search-strategy/runs/PILOT-20261013-01/S01.json</x:v>
      </x:c>
      <x:c r="AN59" s="8" t="d">
        <x:v>2026-10-13T00:00:00.000Z</x:v>
      </x:c>
    </x:row>
    <x:row r="60" ht="53" customHeight="1">
      <x:c r="A60" s="5" t="str">
        <x:v>C0021</x:v>
      </x:c>
      <x:c r="B60" s="5" t="str">
        <x:v>Unassigned</x:v>
      </x:c>
      <x:c r="C60" s="5" t="str">
        <x:v>Unassigned</x:v>
      </x:c>
      <x:c r="D60" s="5" t="str">
        <x:v>Unassigned</x:v>
      </x:c>
      <x:c r="E60" s="5" t="str">
        <x:v>Unassigned</x:v>
      </x:c>
      <x:c r="F60" s="5" t="str">
        <x:v>Junaid  Abdul Wahid; Muhammad Ayoub; Mingliang Xu; Xiaoheng Jiang; Lei Shi; Shabir Hussain</x:v>
      </x:c>
      <x:c r="G60" s="5" t="str">
        <x:v>Junaid  Abdul Wahid</x:v>
      </x:c>
      <x:c r="H60" s="5" t="n">
        <x:v>2024</x:v>
      </x:c>
      <x:c r="I60" s="5" t="str">
        <x:v>Nn2vit: Neural Networks and Vision Transformers Based Approach for Visual Anomaly Detection in Industrial Images</x:v>
      </x:c>
      <x:c r="J60" s="5" t="str"/>
      <x:c r="K60" s="5" t="str">
        <x:v>10.2139/ssrn.4811703</x:v>
      </x:c>
      <x:c r="L60" s="5" t="str"/>
      <x:c r="M60" s="5" t="str">
        <x:v>https://www.ssrn.com/abstract=4811703</x:v>
      </x:c>
      <x:c r="N60" s="5" t="str">
        <x:v>https://doi.org/10.2139/ssrn.4811703</x:v>
      </x:c>
      <x:c r="O60" s="5" t="str">
        <x:v>Not extracted</x:v>
      </x:c>
      <x:c r="P60" s="5" t="str">
        <x:v>Not extracted</x:v>
      </x:c>
      <x:c r="Q60" s="5" t="str">
        <x:v>Not extracted</x:v>
      </x:c>
      <x:c r="R60" s="5" t="str">
        <x:v>Not extracted</x:v>
      </x:c>
      <x:c r="S60" s="5" t="str">
        <x:v>Unassigned</x:v>
      </x:c>
      <x:c r="T60" s="5" t="str">
        <x:v>Unassigned</x:v>
      </x:c>
      <x:c r="U60" s="5" t="str"/>
      <x:c r="V60" s="5" t="str"/>
      <x:c r="W60" s="5" t="str">
        <x:v>Not extracted</x:v>
      </x:c>
      <x:c r="X60" s="5" t="str">
        <x:v>Pending eligibility screening</x:v>
      </x:c>
      <x:c r="Y60" s="5" t="str">
        <x:v>wahid2024_C0021</x:v>
      </x:c>
      <x:c r="Z60" s="5" t="str">
        <x:v>Generated; needs verification</x:v>
      </x:c>
      <x:c r="AA60" s="5" t="str">
        <x:v>No manuscript yet</x:v>
      </x:c>
      <x:c r="AB60" s="5" t="str">
        <x:v>No</x:v>
      </x:c>
      <x:c r="AC60" s="5" t="str">
        <x:v>Not checked</x:v>
      </x:c>
      <x:c r="AD60" s="5" t="str">
        <x:v>Unscreened</x:v>
      </x:c>
      <x:c r="AE60" s="5" t="str">
        <x:v>Not linked</x:v>
      </x:c>
      <x:c r="AF60" s="5" t="str">
        <x:v>S01</x:v>
      </x:c>
      <x:c r="AG60" s="5" t="str">
        <x:v>Crossref REST API</x:v>
      </x:c>
      <x:c r="AH60" s="5" t="str">
        <x:v>Preprint / repository record</x:v>
      </x:c>
      <x:c r="AI60" s="5" t="str">
        <x:v>Metadata only</x:v>
      </x:c>
      <x:c r="AJ60" s="5" t="str">
        <x:v>Verified against deposited metadata; publisher citation check pending</x:v>
      </x:c>
      <x:c r="AK60" s="5" t="str">
        <x:v>posted-content</x:v>
      </x:c>
      <x:c r="AL60" s="5" t="str">
        <x:v>Title-scope candidate</x:v>
      </x:c>
      <x:c r="AM60" s="5" t="str">
        <x:v>review-paper/search-strategy/runs/PILOT-20261013-01/S01.json</x:v>
      </x:c>
      <x:c r="AN60" s="8" t="d">
        <x:v>2026-10-13T00:00:00.000Z</x:v>
      </x:c>
    </x:row>
    <x:row r="61" ht="53" customHeight="1">
      <x:c r="A61" s="5" t="str">
        <x:v>C0022</x:v>
      </x:c>
      <x:c r="B61" s="5" t="str">
        <x:v>Unassigned</x:v>
      </x:c>
      <x:c r="C61" s="5" t="str">
        <x:v>Unassigned</x:v>
      </x:c>
      <x:c r="D61" s="5" t="str">
        <x:v>Unassigned</x:v>
      </x:c>
      <x:c r="E61" s="5" t="str">
        <x:v>Unassigned</x:v>
      </x:c>
      <x:c r="F61" s="5" t="str">
        <x:v>Junaid  Abdul Wahid; Muhammad Ayoub; Mingliang Xu; Xiaoheng Jiang; Lei Shi; Shabir Hussain</x:v>
      </x:c>
      <x:c r="G61" s="5" t="str">
        <x:v>Junaid  Abdul Wahid</x:v>
      </x:c>
      <x:c r="H61" s="5" t="n">
        <x:v>2024</x:v>
      </x:c>
      <x:c r="I61" s="5" t="str">
        <x:v>Nn2vit: Neural Networks and Vision Transformers Based Approach for Visual Anomaly Detection in Industrial Images</x:v>
      </x:c>
      <x:c r="J61" s="5" t="str"/>
      <x:c r="K61" s="5" t="str">
        <x:v>10.2139/ssrn.4866728</x:v>
      </x:c>
      <x:c r="L61" s="5" t="str"/>
      <x:c r="M61" s="5" t="str">
        <x:v>https://www.ssrn.com/abstract=4866728</x:v>
      </x:c>
      <x:c r="N61" s="5" t="str">
        <x:v>https://doi.org/10.2139/ssrn.4866728</x:v>
      </x:c>
      <x:c r="O61" s="5" t="str">
        <x:v>Not extracted</x:v>
      </x:c>
      <x:c r="P61" s="5" t="str">
        <x:v>Not extracted</x:v>
      </x:c>
      <x:c r="Q61" s="5" t="str">
        <x:v>Not extracted</x:v>
      </x:c>
      <x:c r="R61" s="5" t="str">
        <x:v>Not extracted</x:v>
      </x:c>
      <x:c r="S61" s="5" t="str">
        <x:v>Unassigned</x:v>
      </x:c>
      <x:c r="T61" s="5" t="str">
        <x:v>Unassigned</x:v>
      </x:c>
      <x:c r="U61" s="5" t="str"/>
      <x:c r="V61" s="5" t="str"/>
      <x:c r="W61" s="5" t="str">
        <x:v>Not extracted</x:v>
      </x:c>
      <x:c r="X61" s="5" t="str">
        <x:v>Pending eligibility screening</x:v>
      </x:c>
      <x:c r="Y61" s="5" t="str">
        <x:v>wahid2024_C0022</x:v>
      </x:c>
      <x:c r="Z61" s="5" t="str">
        <x:v>Generated; needs verification</x:v>
      </x:c>
      <x:c r="AA61" s="5" t="str">
        <x:v>No manuscript yet</x:v>
      </x:c>
      <x:c r="AB61" s="5" t="str">
        <x:v>No</x:v>
      </x:c>
      <x:c r="AC61" s="5" t="str">
        <x:v>Not checked</x:v>
      </x:c>
      <x:c r="AD61" s="5" t="str">
        <x:v>Unscreened</x:v>
      </x:c>
      <x:c r="AE61" s="5" t="str">
        <x:v>Not linked</x:v>
      </x:c>
      <x:c r="AF61" s="5" t="str">
        <x:v>S01</x:v>
      </x:c>
      <x:c r="AG61" s="5" t="str">
        <x:v>Crossref REST API</x:v>
      </x:c>
      <x:c r="AH61" s="5" t="str">
        <x:v>Preprint / repository record</x:v>
      </x:c>
      <x:c r="AI61" s="5" t="str">
        <x:v>Metadata only</x:v>
      </x:c>
      <x:c r="AJ61" s="5" t="str">
        <x:v>Verified against deposited metadata; publisher citation check pending</x:v>
      </x:c>
      <x:c r="AK61" s="5" t="str">
        <x:v>posted-content</x:v>
      </x:c>
      <x:c r="AL61" s="5" t="str">
        <x:v>Title-scope candidate</x:v>
      </x:c>
      <x:c r="AM61" s="5" t="str">
        <x:v>review-paper/search-strategy/runs/PILOT-20261013-01/S01.json</x:v>
      </x:c>
      <x:c r="AN61" s="8" t="d">
        <x:v>2026-10-13T00:00:00.000Z</x:v>
      </x:c>
    </x:row>
    <x:row r="62" ht="83" customHeight="1">
      <x:c r="A62" s="5" t="str">
        <x:v>C0023</x:v>
      </x:c>
      <x:c r="B62" s="5" t="str">
        <x:v>Unassigned</x:v>
      </x:c>
      <x:c r="C62" s="5" t="str">
        <x:v>Unassigned</x:v>
      </x:c>
      <x:c r="D62" s="5" t="str">
        <x:v>Unassigned</x:v>
      </x:c>
      <x:c r="E62" s="5" t="str">
        <x:v>Unassigned</x:v>
      </x:c>
      <x:c r="F62" s="5" t="str">
        <x:v>Xiaoyu Tong; Lei Tang; Xiaoxin Li; Yuan Jiang; Sitong Xu</x:v>
      </x:c>
      <x:c r="G62" s="5" t="str">
        <x:v>Xiaoyu Tong</x:v>
      </x:c>
      <x:c r="H62" s="5" t="n">
        <x:v>2026</x:v>
      </x:c>
      <x:c r="I62" s="5" t="str">
        <x:v>Visual-Guided Prompt Learning Based on BBPE Tokenization in Industrial Anomaly Detection</x:v>
      </x:c>
      <x:c r="J62" s="5" t="str">
        <x:v>2026 6th International Conference on Artificial Intelligence and Industrial Technology Applications (AIITA)</x:v>
      </x:c>
      <x:c r="K62" s="5" t="str">
        <x:v>10.1109/aiita69518.2026.11567267</x:v>
      </x:c>
      <x:c r="L62" s="5" t="str"/>
      <x:c r="M62" s="5" t="str">
        <x:v>https://ieeexplore.ieee.org/document/11567267/</x:v>
      </x:c>
      <x:c r="N62" s="5" t="str">
        <x:v>https://doi.org/10.1109/aiita69518.2026.11567267</x:v>
      </x:c>
      <x:c r="O62" s="5" t="str">
        <x:v>Not extracted</x:v>
      </x:c>
      <x:c r="P62" s="5" t="str">
        <x:v>Not extracted</x:v>
      </x:c>
      <x:c r="Q62" s="5" t="str">
        <x:v>Not extracted</x:v>
      </x:c>
      <x:c r="R62" s="5" t="str">
        <x:v>Not extracted</x:v>
      </x:c>
      <x:c r="S62" s="5" t="str">
        <x:v>Unassigned</x:v>
      </x:c>
      <x:c r="T62" s="5" t="str">
        <x:v>Unassigned</x:v>
      </x:c>
      <x:c r="U62" s="5" t="str"/>
      <x:c r="V62" s="5" t="str"/>
      <x:c r="W62" s="5" t="str">
        <x:v>Not extracted</x:v>
      </x:c>
      <x:c r="X62" s="5" t="str">
        <x:v>Pending eligibility screening</x:v>
      </x:c>
      <x:c r="Y62" s="5" t="str">
        <x:v>tong2026_C0023</x:v>
      </x:c>
      <x:c r="Z62" s="5" t="str">
        <x:v>Generated; needs verification</x:v>
      </x:c>
      <x:c r="AA62" s="5" t="str">
        <x:v>No manuscript yet</x:v>
      </x:c>
      <x:c r="AB62" s="5" t="str">
        <x:v>No</x:v>
      </x:c>
      <x:c r="AC62" s="5" t="str">
        <x:v>Not checked</x:v>
      </x:c>
      <x:c r="AD62" s="5" t="str">
        <x:v>Unscreened</x:v>
      </x:c>
      <x:c r="AE62" s="5" t="str">
        <x:v>Not linked</x:v>
      </x:c>
      <x:c r="AF62" s="5" t="str">
        <x:v>S01</x:v>
      </x:c>
      <x:c r="AG62" s="5" t="str">
        <x:v>Crossref REST API</x:v>
      </x:c>
      <x:c r="AH62" s="5" t="str">
        <x:v>Journal / conference record; peer review not audited</x:v>
      </x:c>
      <x:c r="AI62" s="5" t="str">
        <x:v>Metadata only</x:v>
      </x:c>
      <x:c r="AJ62" s="5" t="str">
        <x:v>Verified against deposited metadata; publisher citation check pending</x:v>
      </x:c>
      <x:c r="AK62" s="5" t="str">
        <x:v>proceedings-article</x:v>
      </x:c>
      <x:c r="AL62" s="5" t="str">
        <x:v>Title-scope candidate</x:v>
      </x:c>
      <x:c r="AM62" s="5" t="str">
        <x:v>review-paper/search-strategy/runs/PILOT-20261013-01/S01.json</x:v>
      </x:c>
      <x:c r="AN62" s="8" t="d">
        <x:v>2026-10-13T00:00:00.000Z</x:v>
      </x:c>
    </x:row>
    <x:row r="63" ht="53" customHeight="1">
      <x:c r="A63" s="5" t="str">
        <x:v>C0024</x:v>
      </x:c>
      <x:c r="B63" s="5" t="str">
        <x:v>Unassigned</x:v>
      </x:c>
      <x:c r="C63" s="5" t="str">
        <x:v>Unassigned</x:v>
      </x:c>
      <x:c r="D63" s="5" t="str">
        <x:v>Unassigned</x:v>
      </x:c>
      <x:c r="E63" s="5" t="str">
        <x:v>Unassigned</x:v>
      </x:c>
      <x:c r="F63" s="5" t="str">
        <x:v>Marco Rudolph</x:v>
      </x:c>
      <x:c r="G63" s="5" t="str">
        <x:v>Marco Rudolph</x:v>
      </x:c>
      <x:c r="H63" s="5" t="n">
        <x:v>2024</x:v>
      </x:c>
      <x:c r="I63" s="5" t="str">
        <x:v>Industrial Anomaly Detection with Normalizing Flows</x:v>
      </x:c>
      <x:c r="J63" s="5" t="str"/>
      <x:c r="K63" s="5" t="str">
        <x:v>10.51202/9783186886101</x:v>
      </x:c>
      <x:c r="L63" s="5" t="str"/>
      <x:c r="M63" s="5" t="str">
        <x:v>https://elibrary.vdi-verlag.de/index.php?doi=10.51202/9783186886101</x:v>
      </x:c>
      <x:c r="N63" s="5" t="str">
        <x:v>https://doi.org/10.51202/9783186886101</x:v>
      </x:c>
      <x:c r="O63" s="5" t="str">
        <x:v>Not extracted</x:v>
      </x:c>
      <x:c r="P63" s="5" t="str">
        <x:v>Not extracted</x:v>
      </x:c>
      <x:c r="Q63" s="5" t="str">
        <x:v>Not extracted</x:v>
      </x:c>
      <x:c r="R63" s="5" t="str">
        <x:v>Not extracted</x:v>
      </x:c>
      <x:c r="S63" s="5" t="str">
        <x:v>Unassigned</x:v>
      </x:c>
      <x:c r="T63" s="5" t="str">
        <x:v>Unassigned</x:v>
      </x:c>
      <x:c r="U63" s="5" t="str"/>
      <x:c r="V63" s="5" t="str"/>
      <x:c r="W63" s="5" t="str">
        <x:v>Not extracted</x:v>
      </x:c>
      <x:c r="X63" s="5" t="str">
        <x:v>Pending eligibility screening</x:v>
      </x:c>
      <x:c r="Y63" s="5" t="str">
        <x:v>rudolph2024_C0024</x:v>
      </x:c>
      <x:c r="Z63" s="5" t="str">
        <x:v>Generated; needs verification</x:v>
      </x:c>
      <x:c r="AA63" s="5" t="str">
        <x:v>No manuscript yet</x:v>
      </x:c>
      <x:c r="AB63" s="5" t="str">
        <x:v>No</x:v>
      </x:c>
      <x:c r="AC63" s="5" t="str">
        <x:v>Not checked</x:v>
      </x:c>
      <x:c r="AD63" s="5" t="str">
        <x:v>Unscreened</x:v>
      </x:c>
      <x:c r="AE63" s="5" t="str">
        <x:v>Not linked</x:v>
      </x:c>
      <x:c r="AF63" s="5" t="str">
        <x:v>S01; S05</x:v>
      </x:c>
      <x:c r="AG63" s="5" t="str">
        <x:v>Crossref REST API</x:v>
      </x:c>
      <x:c r="AH63" s="5" t="str">
        <x:v>Publication status unverified</x:v>
      </x:c>
      <x:c r="AI63" s="5" t="str">
        <x:v>Metadata only</x:v>
      </x:c>
      <x:c r="AJ63" s="5" t="str">
        <x:v>Verified against deposited metadata; publisher citation check pending</x:v>
      </x:c>
      <x:c r="AK63" s="5" t="str">
        <x:v>monograph</x:v>
      </x:c>
      <x:c r="AL63" s="5" t="str">
        <x:v>Title-scope candidate</x:v>
      </x:c>
      <x:c r="AM63" s="5" t="str">
        <x:v>review-paper/search-strategy/runs/PILOT-20261013-01/S01.json</x:v>
      </x:c>
      <x:c r="AN63" s="8" t="d">
        <x:v>2026-10-13T00:00:00.000Z</x:v>
      </x:c>
    </x:row>
    <x:row r="64" ht="53" customHeight="1">
      <x:c r="A64" s="5" t="str">
        <x:v>C0025</x:v>
      </x:c>
      <x:c r="B64" s="5" t="str">
        <x:v>Unassigned</x:v>
      </x:c>
      <x:c r="C64" s="5" t="str">
        <x:v>Unassigned</x:v>
      </x:c>
      <x:c r="D64" s="5" t="str">
        <x:v>Unassigned</x:v>
      </x:c>
      <x:c r="E64" s="5" t="str">
        <x:v>Unassigned</x:v>
      </x:c>
      <x:c r="F64" s="5" t="str">
        <x:v>Jian XU; Jiancong FENG; Fuhao HOU; Geng YANG</x:v>
      </x:c>
      <x:c r="G64" s="5" t="str">
        <x:v>Jian XU</x:v>
      </x:c>
      <x:c r="H64" s="5" t="n">
        <x:v>2026</x:v>
      </x:c>
      <x:c r="I64" s="5" t="str">
        <x:v>Expert-Guided Reverse Distillation for Cross-Domain Industrial Image Anomaly Detection</x:v>
      </x:c>
      <x:c r="J64" s="5" t="str"/>
      <x:c r="K64" s="5" t="str">
        <x:v>10.2139/ssrn.6574201</x:v>
      </x:c>
      <x:c r="L64" s="5" t="str"/>
      <x:c r="M64" s="5" t="str">
        <x:v>https://www.ssrn.com/abstract=6574201</x:v>
      </x:c>
      <x:c r="N64" s="5" t="str">
        <x:v>https://doi.org/10.2139/ssrn.6574201</x:v>
      </x:c>
      <x:c r="O64" s="5" t="str">
        <x:v>Not extracted</x:v>
      </x:c>
      <x:c r="P64" s="5" t="str">
        <x:v>Not extracted</x:v>
      </x:c>
      <x:c r="Q64" s="5" t="str">
        <x:v>Not extracted</x:v>
      </x:c>
      <x:c r="R64" s="5" t="str">
        <x:v>Not extracted</x:v>
      </x:c>
      <x:c r="S64" s="5" t="str">
        <x:v>Unassigned</x:v>
      </x:c>
      <x:c r="T64" s="5" t="str">
        <x:v>Unassigned</x:v>
      </x:c>
      <x:c r="U64" s="5" t="str"/>
      <x:c r="V64" s="5" t="str"/>
      <x:c r="W64" s="5" t="str">
        <x:v>Not extracted</x:v>
      </x:c>
      <x:c r="X64" s="5" t="str">
        <x:v>Pending eligibility screening</x:v>
      </x:c>
      <x:c r="Y64" s="5" t="str">
        <x:v>xu2026_C0025</x:v>
      </x:c>
      <x:c r="Z64" s="5" t="str">
        <x:v>Generated; needs verification</x:v>
      </x:c>
      <x:c r="AA64" s="5" t="str">
        <x:v>No manuscript yet</x:v>
      </x:c>
      <x:c r="AB64" s="5" t="str">
        <x:v>No</x:v>
      </x:c>
      <x:c r="AC64" s="5" t="str">
        <x:v>Not checked</x:v>
      </x:c>
      <x:c r="AD64" s="5" t="str">
        <x:v>Unscreened</x:v>
      </x:c>
      <x:c r="AE64" s="5" t="str">
        <x:v>Not linked</x:v>
      </x:c>
      <x:c r="AF64" s="5" t="str">
        <x:v>S03</x:v>
      </x:c>
      <x:c r="AG64" s="5" t="str">
        <x:v>Crossref REST API</x:v>
      </x:c>
      <x:c r="AH64" s="5" t="str">
        <x:v>Preprint / repository record</x:v>
      </x:c>
      <x:c r="AI64" s="5" t="str">
        <x:v>Metadata only</x:v>
      </x:c>
      <x:c r="AJ64" s="5" t="str">
        <x:v>Verified against deposited metadata; publisher citation check pending</x:v>
      </x:c>
      <x:c r="AK64" s="5" t="str">
        <x:v>posted-content</x:v>
      </x:c>
      <x:c r="AL64" s="5" t="str">
        <x:v>Title-scope candidate</x:v>
      </x:c>
      <x:c r="AM64" s="5" t="str">
        <x:v>review-paper/search-strategy/runs/PILOT-20261013-01/S03.json</x:v>
      </x:c>
      <x:c r="AN64" s="8" t="d">
        <x:v>2026-10-13T00:00:00.000Z</x:v>
      </x:c>
    </x:row>
    <x:row r="65" ht="53" customHeight="1">
      <x:c r="A65" s="5" t="str">
        <x:v>C0027</x:v>
      </x:c>
      <x:c r="B65" s="5" t="str">
        <x:v>Unassigned</x:v>
      </x:c>
      <x:c r="C65" s="5" t="str">
        <x:v>Unassigned</x:v>
      </x:c>
      <x:c r="D65" s="5" t="str">
        <x:v>Unassigned</x:v>
      </x:c>
      <x:c r="E65" s="5" t="str">
        <x:v>Unassigned</x:v>
      </x:c>
      <x:c r="F65" s="5" t="str">
        <x:v>Asim Niaz; Ehtesham Iqbal; Muhammad Umraiz; Samee Ullah Khan; Yusra Abdulrahman; Kwang Nam Choi</x:v>
      </x:c>
      <x:c r="G65" s="5" t="str">
        <x:v>Asim Niaz</x:v>
      </x:c>
      <x:c r="H65" s="5" t="n">
        <x:v>2024</x:v>
      </x:c>
      <x:c r="I65" s="5" t="str">
        <x:v>Adaptive Fusion Strategy with Masked Encoding for Cross-Domain Industrial Image Anomaly Detection</x:v>
      </x:c>
      <x:c r="J65" s="5" t="str"/>
      <x:c r="K65" s="5" t="str">
        <x:v>10.2139/ssrn.5051153</x:v>
      </x:c>
      <x:c r="L65" s="5" t="str"/>
      <x:c r="M65" s="5" t="str">
        <x:v>https://www.ssrn.com/abstract=5051153</x:v>
      </x:c>
      <x:c r="N65" s="5" t="str">
        <x:v>https://doi.org/10.2139/ssrn.5051153</x:v>
      </x:c>
      <x:c r="O65" s="5" t="str">
        <x:v>Not extracted</x:v>
      </x:c>
      <x:c r="P65" s="5" t="str">
        <x:v>Not extracted</x:v>
      </x:c>
      <x:c r="Q65" s="5" t="str">
        <x:v>Not extracted</x:v>
      </x:c>
      <x:c r="R65" s="5" t="str">
        <x:v>Not extracted</x:v>
      </x:c>
      <x:c r="S65" s="5" t="str">
        <x:v>Unassigned</x:v>
      </x:c>
      <x:c r="T65" s="5" t="str">
        <x:v>Unassigned</x:v>
      </x:c>
      <x:c r="U65" s="5" t="str"/>
      <x:c r="V65" s="5" t="str"/>
      <x:c r="W65" s="5" t="str">
        <x:v>Not extracted</x:v>
      </x:c>
      <x:c r="X65" s="5" t="str">
        <x:v>Pending eligibility screening</x:v>
      </x:c>
      <x:c r="Y65" s="5" t="str">
        <x:v>niaz2024_C0027</x:v>
      </x:c>
      <x:c r="Z65" s="5" t="str">
        <x:v>Generated; needs verification</x:v>
      </x:c>
      <x:c r="AA65" s="5" t="str">
        <x:v>No manuscript yet</x:v>
      </x:c>
      <x:c r="AB65" s="5" t="str">
        <x:v>No</x:v>
      </x:c>
      <x:c r="AC65" s="5" t="str">
        <x:v>Not checked</x:v>
      </x:c>
      <x:c r="AD65" s="5" t="str">
        <x:v>Unscreened</x:v>
      </x:c>
      <x:c r="AE65" s="5" t="str">
        <x:v>Not linked</x:v>
      </x:c>
      <x:c r="AF65" s="5" t="str">
        <x:v>S03</x:v>
      </x:c>
      <x:c r="AG65" s="5" t="str">
        <x:v>Crossref REST API</x:v>
      </x:c>
      <x:c r="AH65" s="5" t="str">
        <x:v>Preprint / repository record</x:v>
      </x:c>
      <x:c r="AI65" s="5" t="str">
        <x:v>Metadata only</x:v>
      </x:c>
      <x:c r="AJ65" s="5" t="str">
        <x:v>Verified against deposited metadata; publisher citation check pending</x:v>
      </x:c>
      <x:c r="AK65" s="5" t="str">
        <x:v>posted-content</x:v>
      </x:c>
      <x:c r="AL65" s="5" t="str">
        <x:v>Title-scope candidate</x:v>
      </x:c>
      <x:c r="AM65" s="5" t="str">
        <x:v>review-paper/search-strategy/runs/PILOT-20261013-01/S03.json</x:v>
      </x:c>
      <x:c r="AN65" s="8" t="d">
        <x:v>2026-10-13T00:00:00.000Z</x:v>
      </x:c>
    </x:row>
    <x:row r="66" ht="53" customHeight="1">
      <x:c r="A66" s="5" t="str">
        <x:v>C0029</x:v>
      </x:c>
      <x:c r="B66" s="5" t="str">
        <x:v>Unassigned</x:v>
      </x:c>
      <x:c r="C66" s="5" t="str">
        <x:v>Unassigned</x:v>
      </x:c>
      <x:c r="D66" s="5" t="str">
        <x:v>Unassigned</x:v>
      </x:c>
      <x:c r="E66" s="5" t="str">
        <x:v>Unassigned</x:v>
      </x:c>
      <x:c r="F66" s="5" t="str">
        <x:v>Qingling Zhao; Kui Zhao; Zonghua Gu</x:v>
      </x:c>
      <x:c r="G66" s="5" t="str">
        <x:v>Qingling Zhao</x:v>
      </x:c>
      <x:c r="H66" s="5" t="n">
        <x:v>2026</x:v>
      </x:c>
      <x:c r="I66" s="5" t="str">
        <x:v>AlignPromptGPT: Aligned Prompting for Industrial Image Anomaly Detection</x:v>
      </x:c>
      <x:c r="J66" s="5" t="str"/>
      <x:c r="K66" s="5" t="str">
        <x:v>10.2139/ssrn.6863640</x:v>
      </x:c>
      <x:c r="L66" s="5" t="str"/>
      <x:c r="M66" s="5" t="str">
        <x:v>https://www.ssrn.com/abstract=6863640</x:v>
      </x:c>
      <x:c r="N66" s="5" t="str">
        <x:v>https://doi.org/10.2139/ssrn.6863640</x:v>
      </x:c>
      <x:c r="O66" s="5" t="str">
        <x:v>Not extracted</x:v>
      </x:c>
      <x:c r="P66" s="5" t="str">
        <x:v>Not extracted</x:v>
      </x:c>
      <x:c r="Q66" s="5" t="str">
        <x:v>Not extracted</x:v>
      </x:c>
      <x:c r="R66" s="5" t="str">
        <x:v>Not extracted</x:v>
      </x:c>
      <x:c r="S66" s="5" t="str">
        <x:v>Unassigned</x:v>
      </x:c>
      <x:c r="T66" s="5" t="str">
        <x:v>Unassigned</x:v>
      </x:c>
      <x:c r="U66" s="5" t="str"/>
      <x:c r="V66" s="5" t="str"/>
      <x:c r="W66" s="5" t="str">
        <x:v>Not extracted</x:v>
      </x:c>
      <x:c r="X66" s="5" t="str">
        <x:v>Pending eligibility screening</x:v>
      </x:c>
      <x:c r="Y66" s="5" t="str">
        <x:v>zhao2026_C0029</x:v>
      </x:c>
      <x:c r="Z66" s="5" t="str">
        <x:v>Generated; needs verification</x:v>
      </x:c>
      <x:c r="AA66" s="5" t="str">
        <x:v>No manuscript yet</x:v>
      </x:c>
      <x:c r="AB66" s="5" t="str">
        <x:v>No</x:v>
      </x:c>
      <x:c r="AC66" s="5" t="str">
        <x:v>Not checked</x:v>
      </x:c>
      <x:c r="AD66" s="5" t="str">
        <x:v>Unscreened</x:v>
      </x:c>
      <x:c r="AE66" s="5" t="str">
        <x:v>Not linked</x:v>
      </x:c>
      <x:c r="AF66" s="5" t="str">
        <x:v>S03</x:v>
      </x:c>
      <x:c r="AG66" s="5" t="str">
        <x:v>Crossref REST API</x:v>
      </x:c>
      <x:c r="AH66" s="5" t="str">
        <x:v>Preprint / repository record</x:v>
      </x:c>
      <x:c r="AI66" s="5" t="str">
        <x:v>Metadata only</x:v>
      </x:c>
      <x:c r="AJ66" s="5" t="str">
        <x:v>Verified against deposited metadata; publisher citation check pending</x:v>
      </x:c>
      <x:c r="AK66" s="5" t="str">
        <x:v>posted-content</x:v>
      </x:c>
      <x:c r="AL66" s="5" t="str">
        <x:v>Title-scope candidate</x:v>
      </x:c>
      <x:c r="AM66" s="5" t="str">
        <x:v>review-paper/search-strategy/runs/PILOT-20261013-01/S03.json</x:v>
      </x:c>
      <x:c r="AN66" s="8" t="d">
        <x:v>2026-10-13T00:00:00.000Z</x:v>
      </x:c>
    </x:row>
    <x:row r="67" ht="53" customHeight="1">
      <x:c r="A67" s="5" t="str">
        <x:v>C0030</x:v>
      </x:c>
      <x:c r="B67" s="5" t="str">
        <x:v>Unassigned</x:v>
      </x:c>
      <x:c r="C67" s="5" t="str">
        <x:v>Unassigned</x:v>
      </x:c>
      <x:c r="D67" s="5" t="str">
        <x:v>Unassigned</x:v>
      </x:c>
      <x:c r="E67" s="5" t="str">
        <x:v>Unassigned</x:v>
      </x:c>
      <x:c r="F67" s="5" t="str">
        <x:v>Haoyuan Shen; Baolei Wei; Yizhong Ma; Xiaoyu Gu</x:v>
      </x:c>
      <x:c r="G67" s="5" t="str">
        <x:v>Haoyuan Shen</x:v>
      </x:c>
      <x:c r="H67" s="5" t="n">
        <x:v>2023</x:v>
      </x:c>
      <x:c r="I67" s="5" t="str">
        <x:v>Unsupervised industrial image ensemble anomaly detection based on object pseudo-anomaly generation and normal image feature combination enhancement</x:v>
      </x:c>
      <x:c r="J67" s="5" t="str">
        <x:v>Computers &amp;amp; Industrial Engineering</x:v>
      </x:c>
      <x:c r="K67" s="5" t="str">
        <x:v>10.1016/j.cie.2023.109337</x:v>
      </x:c>
      <x:c r="L67" s="5" t="str"/>
      <x:c r="M67" s="5" t="str">
        <x:v>https://linkinghub.elsevier.com/retrieve/pii/S0360835223003613</x:v>
      </x:c>
      <x:c r="N67" s="5" t="str">
        <x:v>https://doi.org/10.1016/j.cie.2023.109337</x:v>
      </x:c>
      <x:c r="O67" s="5" t="str">
        <x:v>Not extracted</x:v>
      </x:c>
      <x:c r="P67" s="5" t="str">
        <x:v>Not extracted</x:v>
      </x:c>
      <x:c r="Q67" s="5" t="str">
        <x:v>Not extracted</x:v>
      </x:c>
      <x:c r="R67" s="5" t="str">
        <x:v>Not extracted</x:v>
      </x:c>
      <x:c r="S67" s="5" t="str">
        <x:v>Unassigned</x:v>
      </x:c>
      <x:c r="T67" s="5" t="str">
        <x:v>Unassigned</x:v>
      </x:c>
      <x:c r="U67" s="5" t="str"/>
      <x:c r="V67" s="5" t="str"/>
      <x:c r="W67" s="5" t="str">
        <x:v>Not extracted</x:v>
      </x:c>
      <x:c r="X67" s="5" t="str">
        <x:v>Pending eligibility screening</x:v>
      </x:c>
      <x:c r="Y67" s="5" t="str">
        <x:v>shen2023_C0030</x:v>
      </x:c>
      <x:c r="Z67" s="5" t="str">
        <x:v>Generated; needs verification</x:v>
      </x:c>
      <x:c r="AA67" s="5" t="str">
        <x:v>No manuscript yet</x:v>
      </x:c>
      <x:c r="AB67" s="5" t="str">
        <x:v>No</x:v>
      </x:c>
      <x:c r="AC67" s="5" t="str">
        <x:v>Not checked</x:v>
      </x:c>
      <x:c r="AD67" s="5" t="str">
        <x:v>Unscreened</x:v>
      </x:c>
      <x:c r="AE67" s="5" t="str">
        <x:v>Not linked</x:v>
      </x:c>
      <x:c r="AF67" s="5" t="str">
        <x:v>S03</x:v>
      </x:c>
      <x:c r="AG67" s="5" t="str">
        <x:v>Crossref REST API</x:v>
      </x:c>
      <x:c r="AH67" s="5" t="str">
        <x:v>Journal / conference record; peer review not audited</x:v>
      </x:c>
      <x:c r="AI67" s="5" t="str">
        <x:v>Metadata only</x:v>
      </x:c>
      <x:c r="AJ67" s="5" t="str">
        <x:v>Verified against deposited metadata; publisher citation check pending</x:v>
      </x:c>
      <x:c r="AK67" s="5" t="str">
        <x:v>journal-article</x:v>
      </x:c>
      <x:c r="AL67" s="5" t="str">
        <x:v>Title-scope candidate</x:v>
      </x:c>
      <x:c r="AM67" s="5" t="str">
        <x:v>review-paper/search-strategy/runs/PILOT-20261013-01/S03.json</x:v>
      </x:c>
      <x:c r="AN67" s="8" t="d">
        <x:v>2026-10-13T00:00:00.000Z</x:v>
      </x:c>
    </x:row>
    <x:row r="68" ht="53" customHeight="1">
      <x:c r="A68" s="5" t="str">
        <x:v>C0031</x:v>
      </x:c>
      <x:c r="B68" s="5" t="str">
        <x:v>Unassigned</x:v>
      </x:c>
      <x:c r="C68" s="5" t="str">
        <x:v>Unassigned</x:v>
      </x:c>
      <x:c r="D68" s="5" t="str">
        <x:v>Unassigned</x:v>
      </x:c>
      <x:c r="E68" s="5" t="str">
        <x:v>Unassigned</x:v>
      </x:c>
      <x:c r="F68" s="5" t="str">
        <x:v>Yongbin Chen; Baoxia Sun; Jiasi Huang; Guojian Huang</x:v>
      </x:c>
      <x:c r="G68" s="5" t="str">
        <x:v>Yongbin Chen</x:v>
      </x:c>
      <x:c r="H68" s="5" t="n">
        <x:v>2026</x:v>
      </x:c>
      <x:c r="I68" s="5" t="str">
        <x:v>DomainShield-AD: a multi-dimensional domain shift measurement framework with graded response for industrial anomaly detection</x:v>
      </x:c>
      <x:c r="J68" s="5" t="str">
        <x:v>Measurement Science and Technology</x:v>
      </x:c>
      <x:c r="K68" s="5" t="str">
        <x:v>10.1088/1361-6501/ae8e9b</x:v>
      </x:c>
      <x:c r="L68" s="5" t="str"/>
      <x:c r="M68" s="5" t="str">
        <x:v>https://iopscience.iop.org/article/10.1088/1361-6501/ae8e9b</x:v>
      </x:c>
      <x:c r="N68" s="5" t="str">
        <x:v>https://doi.org/10.1088/1361-6501/ae8e9b</x:v>
      </x:c>
      <x:c r="O68" s="5" t="str">
        <x:v>Not extracted</x:v>
      </x:c>
      <x:c r="P68" s="5" t="str">
        <x:v>Not extracted</x:v>
      </x:c>
      <x:c r="Q68" s="5" t="str">
        <x:v>Not extracted</x:v>
      </x:c>
      <x:c r="R68" s="5" t="str">
        <x:v>Not extracted</x:v>
      </x:c>
      <x:c r="S68" s="5" t="str">
        <x:v>Unassigned</x:v>
      </x:c>
      <x:c r="T68" s="5" t="str">
        <x:v>Unassigned</x:v>
      </x:c>
      <x:c r="U68" s="5" t="str"/>
      <x:c r="V68" s="5" t="str"/>
      <x:c r="W68" s="5" t="str">
        <x:v>Not extracted</x:v>
      </x:c>
      <x:c r="X68" s="5" t="str">
        <x:v>Pending eligibility screening</x:v>
      </x:c>
      <x:c r="Y68" s="5" t="str">
        <x:v>chen2026_C0031</x:v>
      </x:c>
      <x:c r="Z68" s="5" t="str">
        <x:v>Generated; needs verification</x:v>
      </x:c>
      <x:c r="AA68" s="5" t="str">
        <x:v>No manuscript yet</x:v>
      </x:c>
      <x:c r="AB68" s="5" t="str">
        <x:v>No</x:v>
      </x:c>
      <x:c r="AC68" s="5" t="str">
        <x:v>Not checked</x:v>
      </x:c>
      <x:c r="AD68" s="5" t="str">
        <x:v>Unscreened</x:v>
      </x:c>
      <x:c r="AE68" s="5" t="str">
        <x:v>Not linked</x:v>
      </x:c>
      <x:c r="AF68" s="5" t="str">
        <x:v>S03</x:v>
      </x:c>
      <x:c r="AG68" s="5" t="str">
        <x:v>Crossref REST API</x:v>
      </x:c>
      <x:c r="AH68" s="5" t="str">
        <x:v>Journal / conference record; peer review not audited</x:v>
      </x:c>
      <x:c r="AI68" s="5" t="str">
        <x:v>Metadata only</x:v>
      </x:c>
      <x:c r="AJ68" s="5" t="str">
        <x:v>Verified against deposited metadata; publisher citation check pending</x:v>
      </x:c>
      <x:c r="AK68" s="5" t="str">
        <x:v>journal-article</x:v>
      </x:c>
      <x:c r="AL68" s="5" t="str">
        <x:v>Title-scope candidate</x:v>
      </x:c>
      <x:c r="AM68" s="5" t="str">
        <x:v>review-paper/search-strategy/runs/PILOT-20261013-01/S03.json</x:v>
      </x:c>
      <x:c r="AN68" s="8" t="d">
        <x:v>2026-10-13T00:00:00.000Z</x:v>
      </x:c>
    </x:row>
    <x:row r="69" ht="53" customHeight="1">
      <x:c r="A69" s="5" t="str">
        <x:v>C0032</x:v>
      </x:c>
      <x:c r="B69" s="5" t="str">
        <x:v>Unassigned</x:v>
      </x:c>
      <x:c r="C69" s="5" t="str">
        <x:v>Unassigned</x:v>
      </x:c>
      <x:c r="D69" s="5" t="str">
        <x:v>Unassigned</x:v>
      </x:c>
      <x:c r="E69" s="5" t="str">
        <x:v>Unassigned</x:v>
      </x:c>
      <x:c r="F69" s="5" t="str">
        <x:v>Noe  M. Yungaicela-Naula; Xin Hong; Niall McLaughlin; Kieran McLaughlin</x:v>
      </x:c>
      <x:c r="G69" s="5" t="str">
        <x:v>Noe  M. Yungaicela-Naula</x:v>
      </x:c>
      <x:c r="H69" s="5" t="n">
        <x:v>2026</x:v>
      </x:c>
      <x:c r="I69" s="5" t="str">
        <x:v>Multi-Domain Anomaly Detection for Advanced Persistent Threat Detection in Industrial Control Systems</x:v>
      </x:c>
      <x:c r="J69" s="5" t="str"/>
      <x:c r="K69" s="5" t="str">
        <x:v>10.2139/ssrn.7446051</x:v>
      </x:c>
      <x:c r="L69" s="5" t="str"/>
      <x:c r="M69" s="5" t="str">
        <x:v>https://www.ssrn.com/abstract=7446051</x:v>
      </x:c>
      <x:c r="N69" s="5" t="str">
        <x:v>https://doi.org/10.2139/ssrn.7446051</x:v>
      </x:c>
      <x:c r="O69" s="5" t="str">
        <x:v>Not extracted</x:v>
      </x:c>
      <x:c r="P69" s="5" t="str">
        <x:v>Not extracted</x:v>
      </x:c>
      <x:c r="Q69" s="5" t="str">
        <x:v>Not extracted</x:v>
      </x:c>
      <x:c r="R69" s="5" t="str">
        <x:v>Not extracted</x:v>
      </x:c>
      <x:c r="S69" s="5" t="str">
        <x:v>Unassigned</x:v>
      </x:c>
      <x:c r="T69" s="5" t="str">
        <x:v>Unassigned</x:v>
      </x:c>
      <x:c r="U69" s="5" t="str"/>
      <x:c r="V69" s="5" t="str"/>
      <x:c r="W69" s="5" t="str">
        <x:v>Not extracted</x:v>
      </x:c>
      <x:c r="X69" s="5" t="str">
        <x:v>Pending eligibility screening</x:v>
      </x:c>
      <x:c r="Y69" s="5" t="str">
        <x:v>yungaicelanaula2026_C0032</x:v>
      </x:c>
      <x:c r="Z69" s="5" t="str">
        <x:v>Generated; needs verification</x:v>
      </x:c>
      <x:c r="AA69" s="5" t="str">
        <x:v>No manuscript yet</x:v>
      </x:c>
      <x:c r="AB69" s="5" t="str">
        <x:v>No</x:v>
      </x:c>
      <x:c r="AC69" s="5" t="str">
        <x:v>Not checked</x:v>
      </x:c>
      <x:c r="AD69" s="5" t="str">
        <x:v>Unscreened</x:v>
      </x:c>
      <x:c r="AE69" s="5" t="str">
        <x:v>Not linked</x:v>
      </x:c>
      <x:c r="AF69" s="5" t="str">
        <x:v>S03; S07</x:v>
      </x:c>
      <x:c r="AG69" s="5" t="str">
        <x:v>Crossref REST API</x:v>
      </x:c>
      <x:c r="AH69" s="5" t="str">
        <x:v>Preprint / repository record</x:v>
      </x:c>
      <x:c r="AI69" s="5" t="str">
        <x:v>Metadata only</x:v>
      </x:c>
      <x:c r="AJ69" s="5" t="str">
        <x:v>Verified against deposited metadata; publisher citation check pending</x:v>
      </x:c>
      <x:c r="AK69" s="5" t="str">
        <x:v>posted-content</x:v>
      </x:c>
      <x:c r="AL69" s="5" t="str">
        <x:v>Title-scope candidate</x:v>
      </x:c>
      <x:c r="AM69" s="5" t="str">
        <x:v>review-paper/search-strategy/runs/PILOT-20261013-01/S03.json</x:v>
      </x:c>
      <x:c r="AN69" s="8" t="d">
        <x:v>2026-10-13T00:00:00.000Z</x:v>
      </x:c>
    </x:row>
    <x:row r="70" ht="53" customHeight="1">
      <x:c r="A70" s="5" t="str">
        <x:v>C0033</x:v>
      </x:c>
      <x:c r="B70" s="5" t="str">
        <x:v>Unassigned</x:v>
      </x:c>
      <x:c r="C70" s="5" t="str">
        <x:v>Unassigned</x:v>
      </x:c>
      <x:c r="D70" s="5" t="str">
        <x:v>Unassigned</x:v>
      </x:c>
      <x:c r="E70" s="5" t="str">
        <x:v>Unassigned</x:v>
      </x:c>
      <x:c r="F70" s="5" t="str">
        <x:v>James Pearson</x:v>
      </x:c>
      <x:c r="G70" s="5" t="str">
        <x:v>James Pearson</x:v>
      </x:c>
      <x:c r="H70" s="5" t="n">
        <x:v>2025</x:v>
      </x:c>
      <x:c r="I70" s="5" t="str">
        <x:v>Image-Based Anomaly Detection in Industrial Equipment Using Convolutional Neural Networks for Predictive Maintenance</x:v>
      </x:c>
      <x:c r="J70" s="5" t="str"/>
      <x:c r="K70" s="5" t="str">
        <x:v>10.2139/ssrn.5266589</x:v>
      </x:c>
      <x:c r="L70" s="5" t="str"/>
      <x:c r="M70" s="5" t="str">
        <x:v>https://www.ssrn.com/abstract=5266589</x:v>
      </x:c>
      <x:c r="N70" s="5" t="str">
        <x:v>https://doi.org/10.2139/ssrn.5266589</x:v>
      </x:c>
      <x:c r="O70" s="5" t="str">
        <x:v>Not extracted</x:v>
      </x:c>
      <x:c r="P70" s="5" t="str">
        <x:v>Not extracted</x:v>
      </x:c>
      <x:c r="Q70" s="5" t="str">
        <x:v>Not extracted</x:v>
      </x:c>
      <x:c r="R70" s="5" t="str">
        <x:v>Not extracted</x:v>
      </x:c>
      <x:c r="S70" s="5" t="str">
        <x:v>Unassigned</x:v>
      </x:c>
      <x:c r="T70" s="5" t="str">
        <x:v>Unassigned</x:v>
      </x:c>
      <x:c r="U70" s="5" t="str"/>
      <x:c r="V70" s="5" t="str"/>
      <x:c r="W70" s="5" t="str">
        <x:v>Not extracted</x:v>
      </x:c>
      <x:c r="X70" s="5" t="str">
        <x:v>Pending eligibility screening</x:v>
      </x:c>
      <x:c r="Y70" s="5" t="str">
        <x:v>pearson2025_C0033</x:v>
      </x:c>
      <x:c r="Z70" s="5" t="str">
        <x:v>Generated; needs verification</x:v>
      </x:c>
      <x:c r="AA70" s="5" t="str">
        <x:v>No manuscript yet</x:v>
      </x:c>
      <x:c r="AB70" s="5" t="str">
        <x:v>No</x:v>
      </x:c>
      <x:c r="AC70" s="5" t="str">
        <x:v>Not checked</x:v>
      </x:c>
      <x:c r="AD70" s="5" t="str">
        <x:v>Unscreened</x:v>
      </x:c>
      <x:c r="AE70" s="5" t="str">
        <x:v>Not linked</x:v>
      </x:c>
      <x:c r="AF70" s="5" t="str">
        <x:v>S03</x:v>
      </x:c>
      <x:c r="AG70" s="5" t="str">
        <x:v>Crossref REST API</x:v>
      </x:c>
      <x:c r="AH70" s="5" t="str">
        <x:v>Preprint / repository record</x:v>
      </x:c>
      <x:c r="AI70" s="5" t="str">
        <x:v>Metadata only</x:v>
      </x:c>
      <x:c r="AJ70" s="5" t="str">
        <x:v>Verified against deposited metadata; publisher citation check pending</x:v>
      </x:c>
      <x:c r="AK70" s="5" t="str">
        <x:v>posted-content</x:v>
      </x:c>
      <x:c r="AL70" s="5" t="str">
        <x:v>Title-scope candidate</x:v>
      </x:c>
      <x:c r="AM70" s="5" t="str">
        <x:v>review-paper/search-strategy/runs/PILOT-20261013-01/S03.json</x:v>
      </x:c>
      <x:c r="AN70" s="8" t="d">
        <x:v>2026-10-13T00:00:00.000Z</x:v>
      </x:c>
    </x:row>
    <x:row r="71" ht="53" customHeight="1">
      <x:c r="A71" s="5" t="str">
        <x:v>C0035</x:v>
      </x:c>
      <x:c r="B71" s="5" t="str">
        <x:v>Unassigned</x:v>
      </x:c>
      <x:c r="C71" s="5" t="str">
        <x:v>Unassigned</x:v>
      </x:c>
      <x:c r="D71" s="5" t="str">
        <x:v>Unassigned</x:v>
      </x:c>
      <x:c r="E71" s="5" t="str">
        <x:v>Unassigned</x:v>
      </x:c>
      <x:c r="F71" s="5" t="str">
        <x:v>Abraham Itzhak Weinberg</x:v>
      </x:c>
      <x:c r="G71" s="5" t="str">
        <x:v>Abraham Itzhak Weinberg</x:v>
      </x:c>
      <x:c r="H71" s="5" t="n">
        <x:v>2026</x:v>
      </x:c>
      <x:c r="I71" s="5" t="str">
        <x:v>Seeing Voices: Cross-Modal Audio-to-Image Translation for Zero-Shot Industrial Anomaly Detection</x:v>
      </x:c>
      <x:c r="J71" s="5" t="str"/>
      <x:c r="K71" s="5" t="str">
        <x:v>10.2139/ssrn.6914498</x:v>
      </x:c>
      <x:c r="L71" s="5" t="str"/>
      <x:c r="M71" s="5" t="str">
        <x:v>https://www.ssrn.com/abstract=6914498</x:v>
      </x:c>
      <x:c r="N71" s="5" t="str">
        <x:v>https://doi.org/10.2139/ssrn.6914498</x:v>
      </x:c>
      <x:c r="O71" s="5" t="str">
        <x:v>Not extracted</x:v>
      </x:c>
      <x:c r="P71" s="5" t="str">
        <x:v>Not extracted</x:v>
      </x:c>
      <x:c r="Q71" s="5" t="str">
        <x:v>Not extracted</x:v>
      </x:c>
      <x:c r="R71" s="5" t="str">
        <x:v>Not extracted</x:v>
      </x:c>
      <x:c r="S71" s="5" t="str">
        <x:v>Unassigned</x:v>
      </x:c>
      <x:c r="T71" s="5" t="str">
        <x:v>Unassigned</x:v>
      </x:c>
      <x:c r="U71" s="5" t="str"/>
      <x:c r="V71" s="5" t="str"/>
      <x:c r="W71" s="5" t="str">
        <x:v>Not extracted</x:v>
      </x:c>
      <x:c r="X71" s="5" t="str">
        <x:v>Pending eligibility screening</x:v>
      </x:c>
      <x:c r="Y71" s="5" t="str">
        <x:v>weinberg2026_C0035</x:v>
      </x:c>
      <x:c r="Z71" s="5" t="str">
        <x:v>Generated; needs verification</x:v>
      </x:c>
      <x:c r="AA71" s="5" t="str">
        <x:v>No manuscript yet</x:v>
      </x:c>
      <x:c r="AB71" s="5" t="str">
        <x:v>No</x:v>
      </x:c>
      <x:c r="AC71" s="5" t="str">
        <x:v>Not checked</x:v>
      </x:c>
      <x:c r="AD71" s="5" t="str">
        <x:v>Unscreened</x:v>
      </x:c>
      <x:c r="AE71" s="5" t="str">
        <x:v>Not linked</x:v>
      </x:c>
      <x:c r="AF71" s="5" t="str">
        <x:v>S03</x:v>
      </x:c>
      <x:c r="AG71" s="5" t="str">
        <x:v>Crossref REST API</x:v>
      </x:c>
      <x:c r="AH71" s="5" t="str">
        <x:v>Preprint / repository record</x:v>
      </x:c>
      <x:c r="AI71" s="5" t="str">
        <x:v>Metadata only</x:v>
      </x:c>
      <x:c r="AJ71" s="5" t="str">
        <x:v>Verified against deposited metadata; publisher citation check pending</x:v>
      </x:c>
      <x:c r="AK71" s="5" t="str">
        <x:v>posted-content</x:v>
      </x:c>
      <x:c r="AL71" s="5" t="str">
        <x:v>Title-scope candidate</x:v>
      </x:c>
      <x:c r="AM71" s="5" t="str">
        <x:v>review-paper/search-strategy/runs/PILOT-20261013-01/S03.json</x:v>
      </x:c>
      <x:c r="AN71" s="8" t="d">
        <x:v>2026-10-13T00:00:00.000Z</x:v>
      </x:c>
    </x:row>
    <x:row r="72" ht="53" customHeight="1">
      <x:c r="A72" s="5" t="str">
        <x:v>C0036</x:v>
      </x:c>
      <x:c r="B72" s="5" t="str">
        <x:v>Unassigned</x:v>
      </x:c>
      <x:c r="C72" s="5" t="str">
        <x:v>Unassigned</x:v>
      </x:c>
      <x:c r="D72" s="5" t="str">
        <x:v>Unassigned</x:v>
      </x:c>
      <x:c r="E72" s="5" t="str">
        <x:v>Unassigned</x:v>
      </x:c>
      <x:c r="F72" s="5" t="str">
        <x:v>Junxian Li; Mingxing Li; Shucheng Huang; Gang Wang; Xinjing Zhao</x:v>
      </x:c>
      <x:c r="G72" s="5" t="str">
        <x:v>Junxian Li</x:v>
      </x:c>
      <x:c r="H72" s="5" t="n">
        <x:v>2025</x:v>
      </x:c>
      <x:c r="I72" s="5" t="str">
        <x:v>Industrial Image Anomaly Detection via Synthetic-Anomaly Contrastive Distillation</x:v>
      </x:c>
      <x:c r="J72" s="5" t="str">
        <x:v>Sensors</x:v>
      </x:c>
      <x:c r="K72" s="5" t="str">
        <x:v>10.3390/s25123721</x:v>
      </x:c>
      <x:c r="L72" s="5" t="str"/>
      <x:c r="M72" s="5" t="str">
        <x:v>https://www.mdpi.com/1424-8220/25/12/3721</x:v>
      </x:c>
      <x:c r="N72" s="5" t="str">
        <x:v>https://doi.org/10.3390/s25123721</x:v>
      </x:c>
      <x:c r="O72" s="5" t="str">
        <x:v>Not extracted</x:v>
      </x:c>
      <x:c r="P72" s="5" t="str">
        <x:v>Not extracted</x:v>
      </x:c>
      <x:c r="Q72" s="5" t="str">
        <x:v>Not extracted</x:v>
      </x:c>
      <x:c r="R72" s="5" t="str">
        <x:v>Not extracted</x:v>
      </x:c>
      <x:c r="S72" s="5" t="str">
        <x:v>Unassigned</x:v>
      </x:c>
      <x:c r="T72" s="5" t="str">
        <x:v>Unassigned</x:v>
      </x:c>
      <x:c r="U72" s="5" t="str"/>
      <x:c r="V72" s="5" t="str"/>
      <x:c r="W72" s="5" t="str">
        <x:v>Not extracted</x:v>
      </x:c>
      <x:c r="X72" s="5" t="str">
        <x:v>Pending eligibility screening</x:v>
      </x:c>
      <x:c r="Y72" s="5" t="str">
        <x:v>li2025_C0036</x:v>
      </x:c>
      <x:c r="Z72" s="5" t="str">
        <x:v>Generated; needs verification</x:v>
      </x:c>
      <x:c r="AA72" s="5" t="str">
        <x:v>No manuscript yet</x:v>
      </x:c>
      <x:c r="AB72" s="5" t="str">
        <x:v>No</x:v>
      </x:c>
      <x:c r="AC72" s="5" t="str">
        <x:v>Not checked</x:v>
      </x:c>
      <x:c r="AD72" s="5" t="str">
        <x:v>Unscreened</x:v>
      </x:c>
      <x:c r="AE72" s="5" t="str">
        <x:v>Not linked</x:v>
      </x:c>
      <x:c r="AF72" s="5" t="str">
        <x:v>S03</x:v>
      </x:c>
      <x:c r="AG72" s="5" t="str">
        <x:v>Crossref REST API</x:v>
      </x:c>
      <x:c r="AH72" s="5" t="str">
        <x:v>Journal / conference record; peer review not audited</x:v>
      </x:c>
      <x:c r="AI72" s="5" t="str">
        <x:v>Metadata only</x:v>
      </x:c>
      <x:c r="AJ72" s="5" t="str">
        <x:v>Verified against deposited metadata; publisher citation check pending</x:v>
      </x:c>
      <x:c r="AK72" s="5" t="str">
        <x:v>journal-article</x:v>
      </x:c>
      <x:c r="AL72" s="5" t="str">
        <x:v>Title-scope candidate</x:v>
      </x:c>
      <x:c r="AM72" s="5" t="str">
        <x:v>review-paper/search-strategy/runs/PILOT-20261013-01/S03.json</x:v>
      </x:c>
      <x:c r="AN72" s="8" t="d">
        <x:v>2026-10-13T00:00:00.000Z</x:v>
      </x:c>
    </x:row>
    <x:row r="73" ht="53" customHeight="1">
      <x:c r="A73" s="5" t="str">
        <x:v>C0037</x:v>
      </x:c>
      <x:c r="B73" s="5" t="str">
        <x:v>Unassigned</x:v>
      </x:c>
      <x:c r="C73" s="5" t="str">
        <x:v>Unassigned</x:v>
      </x:c>
      <x:c r="D73" s="5" t="str">
        <x:v>Unassigned</x:v>
      </x:c>
      <x:c r="E73" s="5" t="str">
        <x:v>Unassigned</x:v>
      </x:c>
      <x:c r="F73" s="5" t="str">
        <x:v>Çağatay Ersin</x:v>
      </x:c>
      <x:c r="G73" s="5" t="str">
        <x:v>Çağatay Ersin</x:v>
      </x:c>
      <x:c r="H73" s="5" t="n">
        <x:v>2026</x:v>
      </x:c>
      <x:c r="I73" s="5" t="str">
        <x:v>Lightweight One-Class Anomaly Detection for Industrial Image Inspection Using Enhanced Unified Feature Representation</x:v>
      </x:c>
      <x:c r="J73" s="5" t="str"/>
      <x:c r="K73" s="5" t="str">
        <x:v>10.20944/preprints202607.0655.v1</x:v>
      </x:c>
      <x:c r="L73" s="5" t="str"/>
      <x:c r="M73" s="5" t="str">
        <x:v>https://www.preprints.org/manuscript/202607.0655/v1</x:v>
      </x:c>
      <x:c r="N73" s="5" t="str">
        <x:v>https://doi.org/10.20944/preprints202607.0655.v1</x:v>
      </x:c>
      <x:c r="O73" s="5" t="str">
        <x:v>Not extracted</x:v>
      </x:c>
      <x:c r="P73" s="5" t="str">
        <x:v>Not extracted</x:v>
      </x:c>
      <x:c r="Q73" s="5" t="str">
        <x:v>Not extracted</x:v>
      </x:c>
      <x:c r="R73" s="5" t="str">
        <x:v>Not extracted</x:v>
      </x:c>
      <x:c r="S73" s="5" t="str">
        <x:v>Unassigned</x:v>
      </x:c>
      <x:c r="T73" s="5" t="str">
        <x:v>Unassigned</x:v>
      </x:c>
      <x:c r="U73" s="5" t="str"/>
      <x:c r="V73" s="5" t="str"/>
      <x:c r="W73" s="5" t="str">
        <x:v>Not extracted</x:v>
      </x:c>
      <x:c r="X73" s="5" t="str">
        <x:v>Pending eligibility screening</x:v>
      </x:c>
      <x:c r="Y73" s="5" t="str">
        <x:v>ersin2026_C0037</x:v>
      </x:c>
      <x:c r="Z73" s="5" t="str">
        <x:v>Generated; needs verification</x:v>
      </x:c>
      <x:c r="AA73" s="5" t="str">
        <x:v>No manuscript yet</x:v>
      </x:c>
      <x:c r="AB73" s="5" t="str">
        <x:v>No</x:v>
      </x:c>
      <x:c r="AC73" s="5" t="str">
        <x:v>Not checked</x:v>
      </x:c>
      <x:c r="AD73" s="5" t="str">
        <x:v>Unscreened</x:v>
      </x:c>
      <x:c r="AE73" s="5" t="str">
        <x:v>Not linked</x:v>
      </x:c>
      <x:c r="AF73" s="5" t="str">
        <x:v>S03; S10</x:v>
      </x:c>
      <x:c r="AG73" s="5" t="str">
        <x:v>Crossref REST API</x:v>
      </x:c>
      <x:c r="AH73" s="5" t="str">
        <x:v>Preprint / repository record</x:v>
      </x:c>
      <x:c r="AI73" s="5" t="str">
        <x:v>Metadata only</x:v>
      </x:c>
      <x:c r="AJ73" s="5" t="str">
        <x:v>Verified against deposited metadata; publisher citation check pending</x:v>
      </x:c>
      <x:c r="AK73" s="5" t="str">
        <x:v>posted-content</x:v>
      </x:c>
      <x:c r="AL73" s="5" t="str">
        <x:v>Title-scope candidate</x:v>
      </x:c>
      <x:c r="AM73" s="5" t="str">
        <x:v>review-paper/search-strategy/runs/PILOT-20261013-01/S03.json</x:v>
      </x:c>
      <x:c r="AN73" s="8" t="d">
        <x:v>2026-10-13T00:00:00.000Z</x:v>
      </x:c>
    </x:row>
    <x:row r="74" ht="53" customHeight="1">
      <x:c r="A74" s="5" t="str">
        <x:v>C0039</x:v>
      </x:c>
      <x:c r="B74" s="5" t="str">
        <x:v>Unassigned</x:v>
      </x:c>
      <x:c r="C74" s="5" t="str">
        <x:v>Unassigned</x:v>
      </x:c>
      <x:c r="D74" s="5" t="str">
        <x:v>Unassigned</x:v>
      </x:c>
      <x:c r="E74" s="5" t="str">
        <x:v>Unassigned</x:v>
      </x:c>
      <x:c r="F74" s="5" t="str">
        <x:v>Zixuan Zhang; Fan Shi; Chen Jia; Mianzhao Wang; Xu Cheng</x:v>
      </x:c>
      <x:c r="G74" s="5" t="str">
        <x:v>Zixuan Zhang</x:v>
      </x:c>
      <x:c r="H74" s="5" t="n">
        <x:v>2025</x:v>
      </x:c>
      <x:c r="I74" s="5" t="str">
        <x:v>Boundary-Guided Large-Scale Vision Model for Unified Multi-Domain Industrial Anomaly Detection</x:v>
      </x:c>
      <x:c r="J74" s="5" t="str"/>
      <x:c r="K74" s="5" t="str">
        <x:v>10.2139/ssrn.5287992</x:v>
      </x:c>
      <x:c r="L74" s="5" t="str"/>
      <x:c r="M74" s="5" t="str">
        <x:v>https://www.ssrn.com/abstract=5287992</x:v>
      </x:c>
      <x:c r="N74" s="5" t="str">
        <x:v>https://doi.org/10.2139/ssrn.5287992</x:v>
      </x:c>
      <x:c r="O74" s="5" t="str">
        <x:v>Not extracted</x:v>
      </x:c>
      <x:c r="P74" s="5" t="str">
        <x:v>Not extracted</x:v>
      </x:c>
      <x:c r="Q74" s="5" t="str">
        <x:v>Not extracted</x:v>
      </x:c>
      <x:c r="R74" s="5" t="str">
        <x:v>Not extracted</x:v>
      </x:c>
      <x:c r="S74" s="5" t="str">
        <x:v>Unassigned</x:v>
      </x:c>
      <x:c r="T74" s="5" t="str">
        <x:v>Unassigned</x:v>
      </x:c>
      <x:c r="U74" s="5" t="str"/>
      <x:c r="V74" s="5" t="str"/>
      <x:c r="W74" s="5" t="str">
        <x:v>Not extracted</x:v>
      </x:c>
      <x:c r="X74" s="5" t="str">
        <x:v>Pending eligibility screening</x:v>
      </x:c>
      <x:c r="Y74" s="5" t="str">
        <x:v>zhang2025_C0039</x:v>
      </x:c>
      <x:c r="Z74" s="5" t="str">
        <x:v>Generated; needs verification</x:v>
      </x:c>
      <x:c r="AA74" s="5" t="str">
        <x:v>No manuscript yet</x:v>
      </x:c>
      <x:c r="AB74" s="5" t="str">
        <x:v>No</x:v>
      </x:c>
      <x:c r="AC74" s="5" t="str">
        <x:v>Not checked</x:v>
      </x:c>
      <x:c r="AD74" s="5" t="str">
        <x:v>Unscreened</x:v>
      </x:c>
      <x:c r="AE74" s="5" t="str">
        <x:v>Not linked</x:v>
      </x:c>
      <x:c r="AF74" s="5" t="str">
        <x:v>S03</x:v>
      </x:c>
      <x:c r="AG74" s="5" t="str">
        <x:v>Crossref REST API</x:v>
      </x:c>
      <x:c r="AH74" s="5" t="str">
        <x:v>Preprint / repository record</x:v>
      </x:c>
      <x:c r="AI74" s="5" t="str">
        <x:v>Metadata only</x:v>
      </x:c>
      <x:c r="AJ74" s="5" t="str">
        <x:v>Verified against deposited metadata; publisher citation check pending</x:v>
      </x:c>
      <x:c r="AK74" s="5" t="str">
        <x:v>posted-content</x:v>
      </x:c>
      <x:c r="AL74" s="5" t="str">
        <x:v>Title-scope candidate</x:v>
      </x:c>
      <x:c r="AM74" s="5" t="str">
        <x:v>review-paper/search-strategy/runs/PILOT-20261013-01/S03.json</x:v>
      </x:c>
      <x:c r="AN74" s="8" t="d">
        <x:v>2026-10-13T00:00:00.000Z</x:v>
      </x:c>
    </x:row>
    <x:row r="75" ht="53" customHeight="1">
      <x:c r="A75" s="5" t="str">
        <x:v>C0042</x:v>
      </x:c>
      <x:c r="B75" s="5" t="str">
        <x:v>Unassigned</x:v>
      </x:c>
      <x:c r="C75" s="5" t="str">
        <x:v>Unassigned</x:v>
      </x:c>
      <x:c r="D75" s="5" t="str">
        <x:v>Unassigned</x:v>
      </x:c>
      <x:c r="E75" s="5" t="str">
        <x:v>Unassigned</x:v>
      </x:c>
      <x:c r="F75" s="5" t="str">
        <x:v>Yuan Li; Yang Song; Shengpeng Li; Qingyang Ding; Qi Shen</x:v>
      </x:c>
      <x:c r="G75" s="5" t="str">
        <x:v>Yuan Li</x:v>
      </x:c>
      <x:c r="H75" s="5" t="n">
        <x:v>2025</x:v>
      </x:c>
      <x:c r="I75" s="5" t="str">
        <x:v>Denoising Heterogeneous Knowledge Distillation Network for Unsupervised Industrial Image Anomaly Detection</x:v>
      </x:c>
      <x:c r="J75" s="5" t="str"/>
      <x:c r="K75" s="5" t="str">
        <x:v>10.2139/ssrn.5278821</x:v>
      </x:c>
      <x:c r="L75" s="5" t="str"/>
      <x:c r="M75" s="5" t="str">
        <x:v>https://www.ssrn.com/abstract=5278821</x:v>
      </x:c>
      <x:c r="N75" s="5" t="str">
        <x:v>https://doi.org/10.2139/ssrn.5278821</x:v>
      </x:c>
      <x:c r="O75" s="5" t="str">
        <x:v>Not extracted</x:v>
      </x:c>
      <x:c r="P75" s="5" t="str">
        <x:v>Not extracted</x:v>
      </x:c>
      <x:c r="Q75" s="5" t="str">
        <x:v>Not extracted</x:v>
      </x:c>
      <x:c r="R75" s="5" t="str">
        <x:v>Not extracted</x:v>
      </x:c>
      <x:c r="S75" s="5" t="str">
        <x:v>Unassigned</x:v>
      </x:c>
      <x:c r="T75" s="5" t="str">
        <x:v>Unassigned</x:v>
      </x:c>
      <x:c r="U75" s="5" t="str"/>
      <x:c r="V75" s="5" t="str"/>
      <x:c r="W75" s="5" t="str">
        <x:v>Not extracted</x:v>
      </x:c>
      <x:c r="X75" s="5" t="str">
        <x:v>Pending eligibility screening</x:v>
      </x:c>
      <x:c r="Y75" s="5" t="str">
        <x:v>li2025_C0042</x:v>
      </x:c>
      <x:c r="Z75" s="5" t="str">
        <x:v>Generated; needs verification</x:v>
      </x:c>
      <x:c r="AA75" s="5" t="str">
        <x:v>No manuscript yet</x:v>
      </x:c>
      <x:c r="AB75" s="5" t="str">
        <x:v>No</x:v>
      </x:c>
      <x:c r="AC75" s="5" t="str">
        <x:v>Not checked</x:v>
      </x:c>
      <x:c r="AD75" s="5" t="str">
        <x:v>Unscreened</x:v>
      </x:c>
      <x:c r="AE75" s="5" t="str">
        <x:v>Not linked</x:v>
      </x:c>
      <x:c r="AF75" s="5" t="str">
        <x:v>S03</x:v>
      </x:c>
      <x:c r="AG75" s="5" t="str">
        <x:v>Crossref REST API</x:v>
      </x:c>
      <x:c r="AH75" s="5" t="str">
        <x:v>Preprint / repository record</x:v>
      </x:c>
      <x:c r="AI75" s="5" t="str">
        <x:v>Metadata only</x:v>
      </x:c>
      <x:c r="AJ75" s="5" t="str">
        <x:v>Verified against deposited metadata; publisher citation check pending</x:v>
      </x:c>
      <x:c r="AK75" s="5" t="str">
        <x:v>posted-content</x:v>
      </x:c>
      <x:c r="AL75" s="5" t="str">
        <x:v>Title-scope candidate</x:v>
      </x:c>
      <x:c r="AM75" s="5" t="str">
        <x:v>review-paper/search-strategy/runs/PILOT-20261013-01/S03.json</x:v>
      </x:c>
      <x:c r="AN75" s="8" t="d">
        <x:v>2026-10-13T00:00:00.000Z</x:v>
      </x:c>
    </x:row>
    <x:row r="76" ht="68" customHeight="1">
      <x:c r="A76" s="5" t="str">
        <x:v>C0044</x:v>
      </x:c>
      <x:c r="B76" s="5" t="str">
        <x:v>Unassigned</x:v>
      </x:c>
      <x:c r="C76" s="5" t="str">
        <x:v>Unassigned</x:v>
      </x:c>
      <x:c r="D76" s="5" t="str">
        <x:v>Unassigned</x:v>
      </x:c>
      <x:c r="E76" s="5" t="str">
        <x:v>Unassigned</x:v>
      </x:c>
      <x:c r="F76" s="5" t="str">
        <x:v>Junrui Zhang; Shifeng Li</x:v>
      </x:c>
      <x:c r="G76" s="5" t="str">
        <x:v>Junrui Zhang</x:v>
      </x:c>
      <x:c r="H76" s="5" t="n">
        <x:v>2026</x:v>
      </x:c>
      <x:c r="I76" s="5" t="str">
        <x:v>MeRD: Memory-Enhanced Reverse Distillation for Industrial Image Anomaly Detection</x:v>
      </x:c>
      <x:c r="J76" s="5" t="str">
        <x:v>2026 7th International Conference on Computer Vision, Image and Deep Learning (CVIDL)</x:v>
      </x:c>
      <x:c r="K76" s="5" t="str">
        <x:v>10.1109/cvidl70130.2026.11637863</x:v>
      </x:c>
      <x:c r="L76" s="5" t="str"/>
      <x:c r="M76" s="5" t="str">
        <x:v>https://ieeexplore.ieee.org/document/11637863/</x:v>
      </x:c>
      <x:c r="N76" s="5" t="str">
        <x:v>https://doi.org/10.1109/cvidl70130.2026.11637863</x:v>
      </x:c>
      <x:c r="O76" s="5" t="str">
        <x:v>Not extracted</x:v>
      </x:c>
      <x:c r="P76" s="5" t="str">
        <x:v>Not extracted</x:v>
      </x:c>
      <x:c r="Q76" s="5" t="str">
        <x:v>Not extracted</x:v>
      </x:c>
      <x:c r="R76" s="5" t="str">
        <x:v>Not extracted</x:v>
      </x:c>
      <x:c r="S76" s="5" t="str">
        <x:v>Unassigned</x:v>
      </x:c>
      <x:c r="T76" s="5" t="str">
        <x:v>Unassigned</x:v>
      </x:c>
      <x:c r="U76" s="5" t="str"/>
      <x:c r="V76" s="5" t="str"/>
      <x:c r="W76" s="5" t="str">
        <x:v>Not extracted</x:v>
      </x:c>
      <x:c r="X76" s="5" t="str">
        <x:v>Pending eligibility screening</x:v>
      </x:c>
      <x:c r="Y76" s="5" t="str">
        <x:v>zhang2026_C0044</x:v>
      </x:c>
      <x:c r="Z76" s="5" t="str">
        <x:v>Generated; needs verification</x:v>
      </x:c>
      <x:c r="AA76" s="5" t="str">
        <x:v>No manuscript yet</x:v>
      </x:c>
      <x:c r="AB76" s="5" t="str">
        <x:v>No</x:v>
      </x:c>
      <x:c r="AC76" s="5" t="str">
        <x:v>Not checked</x:v>
      </x:c>
      <x:c r="AD76" s="5" t="str">
        <x:v>Unscreened</x:v>
      </x:c>
      <x:c r="AE76" s="5" t="str">
        <x:v>Not linked</x:v>
      </x:c>
      <x:c r="AF76" s="5" t="str">
        <x:v>S03</x:v>
      </x:c>
      <x:c r="AG76" s="5" t="str">
        <x:v>Crossref REST API</x:v>
      </x:c>
      <x:c r="AH76" s="5" t="str">
        <x:v>Journal / conference record; peer review not audited</x:v>
      </x:c>
      <x:c r="AI76" s="5" t="str">
        <x:v>Metadata only</x:v>
      </x:c>
      <x:c r="AJ76" s="5" t="str">
        <x:v>Verified against deposited metadata; publisher citation check pending</x:v>
      </x:c>
      <x:c r="AK76" s="5" t="str">
        <x:v>proceedings-article</x:v>
      </x:c>
      <x:c r="AL76" s="5" t="str">
        <x:v>Title-scope candidate</x:v>
      </x:c>
      <x:c r="AM76" s="5" t="str">
        <x:v>review-paper/search-strategy/runs/PILOT-20261013-01/S03.json</x:v>
      </x:c>
      <x:c r="AN76" s="8" t="d">
        <x:v>2026-10-13T00:00:00.000Z</x:v>
      </x:c>
    </x:row>
    <x:row r="77" ht="53" customHeight="1">
      <x:c r="A77" s="5" t="str">
        <x:v>C0047</x:v>
      </x:c>
      <x:c r="B77" s="5" t="str">
        <x:v>Unassigned</x:v>
      </x:c>
      <x:c r="C77" s="5" t="str">
        <x:v>Unassigned</x:v>
      </x:c>
      <x:c r="D77" s="5" t="str">
        <x:v>Unassigned</x:v>
      </x:c>
      <x:c r="E77" s="5" t="str">
        <x:v>Unassigned</x:v>
      </x:c>
      <x:c r="F77" s="5" t="str">
        <x:v>Jie Zhang; Masanori Suganuma; Takayuki Okatani</x:v>
      </x:c>
      <x:c r="G77" s="5" t="str">
        <x:v>Jie Zhang</x:v>
      </x:c>
      <x:c r="H77" s="5" t="n">
        <x:v>2023</x:v>
      </x:c>
      <x:c r="I77" s="5" t="str">
        <x:v>Network Pruning and Fine-tuning for Few-shot Industrial Image Anomaly Detection</x:v>
      </x:c>
      <x:c r="J77" s="5" t="str">
        <x:v>2023 IEEE 21st International Conference on Industrial Informatics (INDIN)</x:v>
      </x:c>
      <x:c r="K77" s="5" t="str">
        <x:v>10.1109/indin51400.2023.10218283</x:v>
      </x:c>
      <x:c r="L77" s="5" t="str"/>
      <x:c r="M77" s="5" t="str">
        <x:v>https://ieeexplore.ieee.org/document/10218283/</x:v>
      </x:c>
      <x:c r="N77" s="5" t="str">
        <x:v>https://doi.org/10.1109/indin51400.2023.10218283</x:v>
      </x:c>
      <x:c r="O77" s="5" t="str">
        <x:v>Not extracted</x:v>
      </x:c>
      <x:c r="P77" s="5" t="str">
        <x:v>Not extracted</x:v>
      </x:c>
      <x:c r="Q77" s="5" t="str">
        <x:v>Not extracted</x:v>
      </x:c>
      <x:c r="R77" s="5" t="str">
        <x:v>Not extracted</x:v>
      </x:c>
      <x:c r="S77" s="5" t="str">
        <x:v>Unassigned</x:v>
      </x:c>
      <x:c r="T77" s="5" t="str">
        <x:v>Unassigned</x:v>
      </x:c>
      <x:c r="U77" s="5" t="str"/>
      <x:c r="V77" s="5" t="str"/>
      <x:c r="W77" s="5" t="str">
        <x:v>Not extracted</x:v>
      </x:c>
      <x:c r="X77" s="5" t="str">
        <x:v>Pending eligibility screening</x:v>
      </x:c>
      <x:c r="Y77" s="5" t="str">
        <x:v>zhang2023_C0047</x:v>
      </x:c>
      <x:c r="Z77" s="5" t="str">
        <x:v>Generated; needs verification</x:v>
      </x:c>
      <x:c r="AA77" s="5" t="str">
        <x:v>No manuscript yet</x:v>
      </x:c>
      <x:c r="AB77" s="5" t="str">
        <x:v>No</x:v>
      </x:c>
      <x:c r="AC77" s="5" t="str">
        <x:v>Not checked</x:v>
      </x:c>
      <x:c r="AD77" s="5" t="str">
        <x:v>Unscreened</x:v>
      </x:c>
      <x:c r="AE77" s="5" t="str">
        <x:v>Not linked</x:v>
      </x:c>
      <x:c r="AF77" s="5" t="str">
        <x:v>S03</x:v>
      </x:c>
      <x:c r="AG77" s="5" t="str">
        <x:v>Crossref REST API</x:v>
      </x:c>
      <x:c r="AH77" s="5" t="str">
        <x:v>Journal / conference record; peer review not audited</x:v>
      </x:c>
      <x:c r="AI77" s="5" t="str">
        <x:v>Metadata only</x:v>
      </x:c>
      <x:c r="AJ77" s="5" t="str">
        <x:v>Verified against deposited metadata; publisher citation check pending</x:v>
      </x:c>
      <x:c r="AK77" s="5" t="str">
        <x:v>proceedings-article</x:v>
      </x:c>
      <x:c r="AL77" s="5" t="str">
        <x:v>Title-scope candidate</x:v>
      </x:c>
      <x:c r="AM77" s="5" t="str">
        <x:v>review-paper/search-strategy/runs/PILOT-20261013-01/S03.json</x:v>
      </x:c>
      <x:c r="AN77" s="8" t="d">
        <x:v>2026-10-13T00:00:00.000Z</x:v>
      </x:c>
    </x:row>
    <x:row r="78" ht="53" customHeight="1">
      <x:c r="A78" s="5" t="str">
        <x:v>C0049</x:v>
      </x:c>
      <x:c r="B78" s="5" t="str">
        <x:v>Unassigned</x:v>
      </x:c>
      <x:c r="C78" s="5" t="str">
        <x:v>Unassigned</x:v>
      </x:c>
      <x:c r="D78" s="5" t="str">
        <x:v>Unassigned</x:v>
      </x:c>
      <x:c r="E78" s="5" t="str">
        <x:v>Unassigned</x:v>
      </x:c>
      <x:c r="F78" s="5" t="str">
        <x:v>D. Wilson</x:v>
      </x:c>
      <x:c r="G78" s="5" t="str">
        <x:v>D. Wilson</x:v>
      </x:c>
      <x:c r="H78" s="5" t="n">
        <x:v>1997</x:v>
      </x:c>
      <x:c r="I78" s="5" t="str">
        <x:v>Using uncertainty techniques to aid defect classification in an automated visual inspection system</x:v>
      </x:c>
      <x:c r="J78" s="5" t="str">
        <x:v>IEE Colloquium on Industrial Inspection</x:v>
      </x:c>
      <x:c r="K78" s="5" t="str">
        <x:v>10.1049/ic:19970259</x:v>
      </x:c>
      <x:c r="L78" s="5" t="str"/>
      <x:c r="M78" s="5" t="str">
        <x:v>https://digital-library.theiet.org/content/conferences/10.1049/ic_19970259</x:v>
      </x:c>
      <x:c r="N78" s="5" t="str">
        <x:v>https://doi.org/10.1049/ic:19970259</x:v>
      </x:c>
      <x:c r="O78" s="5" t="str">
        <x:v>Not extracted</x:v>
      </x:c>
      <x:c r="P78" s="5" t="str">
        <x:v>Not extracted</x:v>
      </x:c>
      <x:c r="Q78" s="5" t="str">
        <x:v>Not extracted</x:v>
      </x:c>
      <x:c r="R78" s="5" t="str">
        <x:v>Not extracted</x:v>
      </x:c>
      <x:c r="S78" s="5" t="str">
        <x:v>Unassigned</x:v>
      </x:c>
      <x:c r="T78" s="5" t="str">
        <x:v>Unassigned</x:v>
      </x:c>
      <x:c r="U78" s="5" t="str"/>
      <x:c r="V78" s="5" t="str"/>
      <x:c r="W78" s="5" t="str">
        <x:v>Not extracted</x:v>
      </x:c>
      <x:c r="X78" s="5" t="str">
        <x:v>Pending eligibility screening</x:v>
      </x:c>
      <x:c r="Y78" s="5" t="str">
        <x:v>wilson1997_C0049</x:v>
      </x:c>
      <x:c r="Z78" s="5" t="str">
        <x:v>Generated; needs verification</x:v>
      </x:c>
      <x:c r="AA78" s="5" t="str">
        <x:v>No manuscript yet</x:v>
      </x:c>
      <x:c r="AB78" s="5" t="str">
        <x:v>No</x:v>
      </x:c>
      <x:c r="AC78" s="5" t="str">
        <x:v>Not checked</x:v>
      </x:c>
      <x:c r="AD78" s="5" t="str">
        <x:v>Unscreened</x:v>
      </x:c>
      <x:c r="AE78" s="5" t="str">
        <x:v>Not linked</x:v>
      </x:c>
      <x:c r="AF78" s="5" t="str">
        <x:v>S04; S06; S11</x:v>
      </x:c>
      <x:c r="AG78" s="5" t="str">
        <x:v>Crossref REST API</x:v>
      </x:c>
      <x:c r="AH78" s="5" t="str">
        <x:v>Journal / conference record; peer review not audited</x:v>
      </x:c>
      <x:c r="AI78" s="5" t="str">
        <x:v>Metadata only</x:v>
      </x:c>
      <x:c r="AJ78" s="5" t="str">
        <x:v>Verified against deposited metadata; publisher citation check pending</x:v>
      </x:c>
      <x:c r="AK78" s="5" t="str">
        <x:v>proceedings-article</x:v>
      </x:c>
      <x:c r="AL78" s="5" t="str">
        <x:v>Title-scope candidate</x:v>
      </x:c>
      <x:c r="AM78" s="5" t="str">
        <x:v>review-paper/search-strategy/runs/PILOT-20261013-01/S04.json</x:v>
      </x:c>
      <x:c r="AN78" s="8" t="d">
        <x:v>2026-10-13T00:00:00.000Z</x:v>
      </x:c>
    </x:row>
    <x:row r="79" ht="53" customHeight="1">
      <x:c r="A79" s="5" t="str">
        <x:v>C0051</x:v>
      </x:c>
      <x:c r="B79" s="5" t="str">
        <x:v>Unassigned</x:v>
      </x:c>
      <x:c r="C79" s="5" t="str">
        <x:v>Unassigned</x:v>
      </x:c>
      <x:c r="D79" s="5" t="str">
        <x:v>Unassigned</x:v>
      </x:c>
      <x:c r="E79" s="5" t="str">
        <x:v>Unassigned</x:v>
      </x:c>
      <x:c r="F79" s="5" t="str">
        <x:v>Kun Liu; Yuezhu Wang; Yuhang Li</x:v>
      </x:c>
      <x:c r="G79" s="5" t="str">
        <x:v>Kun Liu</x:v>
      </x:c>
      <x:c r="H79" s="5" t="n">
        <x:v>2026</x:v>
      </x:c>
      <x:c r="I79" s="5" t="str">
        <x:v>Uncertainty-Aware Industrial Defect Detection: A Unified Evaluation and Learning Framework</x:v>
      </x:c>
      <x:c r="J79" s="5" t="str">
        <x:v>2026 38th Chinese Control and Decision Conference (CCDC)</x:v>
      </x:c>
      <x:c r="K79" s="5" t="str">
        <x:v>10.1109/ccdc69976.2026.11559828</x:v>
      </x:c>
      <x:c r="L79" s="5" t="str"/>
      <x:c r="M79" s="5" t="str">
        <x:v>https://ieeexplore.ieee.org/document/11559828/</x:v>
      </x:c>
      <x:c r="N79" s="5" t="str">
        <x:v>https://doi.org/10.1109/ccdc69976.2026.11559828</x:v>
      </x:c>
      <x:c r="O79" s="5" t="str">
        <x:v>Not extracted</x:v>
      </x:c>
      <x:c r="P79" s="5" t="str">
        <x:v>Not extracted</x:v>
      </x:c>
      <x:c r="Q79" s="5" t="str">
        <x:v>Not extracted</x:v>
      </x:c>
      <x:c r="R79" s="5" t="str">
        <x:v>Not extracted</x:v>
      </x:c>
      <x:c r="S79" s="5" t="str">
        <x:v>Unassigned</x:v>
      </x:c>
      <x:c r="T79" s="5" t="str">
        <x:v>Unassigned</x:v>
      </x:c>
      <x:c r="U79" s="5" t="str"/>
      <x:c r="V79" s="5" t="str"/>
      <x:c r="W79" s="5" t="str">
        <x:v>Not extracted</x:v>
      </x:c>
      <x:c r="X79" s="5" t="str">
        <x:v>Pending eligibility screening</x:v>
      </x:c>
      <x:c r="Y79" s="5" t="str">
        <x:v>liu2026_C0051</x:v>
      </x:c>
      <x:c r="Z79" s="5" t="str">
        <x:v>Generated; needs verification</x:v>
      </x:c>
      <x:c r="AA79" s="5" t="str">
        <x:v>No manuscript yet</x:v>
      </x:c>
      <x:c r="AB79" s="5" t="str">
        <x:v>No</x:v>
      </x:c>
      <x:c r="AC79" s="5" t="str">
        <x:v>Not checked</x:v>
      </x:c>
      <x:c r="AD79" s="5" t="str">
        <x:v>Unscreened</x:v>
      </x:c>
      <x:c r="AE79" s="5" t="str">
        <x:v>Not linked</x:v>
      </x:c>
      <x:c r="AF79" s="5" t="str">
        <x:v>S04</x:v>
      </x:c>
      <x:c r="AG79" s="5" t="str">
        <x:v>Crossref REST API</x:v>
      </x:c>
      <x:c r="AH79" s="5" t="str">
        <x:v>Journal / conference record; peer review not audited</x:v>
      </x:c>
      <x:c r="AI79" s="5" t="str">
        <x:v>Metadata only</x:v>
      </x:c>
      <x:c r="AJ79" s="5" t="str">
        <x:v>Verified against deposited metadata; publisher citation check pending</x:v>
      </x:c>
      <x:c r="AK79" s="5" t="str">
        <x:v>proceedings-article</x:v>
      </x:c>
      <x:c r="AL79" s="5" t="str">
        <x:v>Title-scope candidate</x:v>
      </x:c>
      <x:c r="AM79" s="5" t="str">
        <x:v>review-paper/search-strategy/runs/PILOT-20261013-01/S04.json</x:v>
      </x:c>
      <x:c r="AN79" s="8" t="d">
        <x:v>2026-10-13T00:00:00.000Z</x:v>
      </x:c>
    </x:row>
    <x:row r="80" ht="53" customHeight="1">
      <x:c r="A80" s="5" t="str">
        <x:v>C0053</x:v>
      </x:c>
      <x:c r="B80" s="5" t="str">
        <x:v>Unassigned</x:v>
      </x:c>
      <x:c r="C80" s="5" t="str">
        <x:v>Unassigned</x:v>
      </x:c>
      <x:c r="D80" s="5" t="str">
        <x:v>Unassigned</x:v>
      </x:c>
      <x:c r="E80" s="5" t="str">
        <x:v>Unassigned</x:v>
      </x:c>
      <x:c r="F80" s="5" t="str">
        <x:v>Shikun Chen; Yan Qi; Wenxiang Li</x:v>
      </x:c>
      <x:c r="G80" s="5" t="str">
        <x:v>Shikun Chen</x:v>
      </x:c>
      <x:c r="H80" s="5" t="n">
        <x:v>2026</x:v>
      </x:c>
      <x:c r="I80" s="5" t="str">
        <x:v>Self-supervised vision-language learning with uncertainty-guided strategic annotation for minimal-annotation defect detection</x:v>
      </x:c>
      <x:c r="J80" s="5" t="str">
        <x:v>Computers &amp;amp; Industrial Engineering</x:v>
      </x:c>
      <x:c r="K80" s="5" t="str">
        <x:v>10.1016/j.cie.2026.111898</x:v>
      </x:c>
      <x:c r="L80" s="5" t="str"/>
      <x:c r="M80" s="5" t="str">
        <x:v>https://linkinghub.elsevier.com/retrieve/pii/S0360835226000999</x:v>
      </x:c>
      <x:c r="N80" s="5" t="str">
        <x:v>https://doi.org/10.1016/j.cie.2026.111898</x:v>
      </x:c>
      <x:c r="O80" s="5" t="str">
        <x:v>Not extracted</x:v>
      </x:c>
      <x:c r="P80" s="5" t="str">
        <x:v>Not extracted</x:v>
      </x:c>
      <x:c r="Q80" s="5" t="str">
        <x:v>Not extracted</x:v>
      </x:c>
      <x:c r="R80" s="5" t="str">
        <x:v>Not extracted</x:v>
      </x:c>
      <x:c r="S80" s="5" t="str">
        <x:v>Unassigned</x:v>
      </x:c>
      <x:c r="T80" s="5" t="str">
        <x:v>Unassigned</x:v>
      </x:c>
      <x:c r="U80" s="5" t="str"/>
      <x:c r="V80" s="5" t="str"/>
      <x:c r="W80" s="5" t="str">
        <x:v>Not extracted</x:v>
      </x:c>
      <x:c r="X80" s="5" t="str">
        <x:v>Pending eligibility screening</x:v>
      </x:c>
      <x:c r="Y80" s="5" t="str">
        <x:v>chen2026_C0053</x:v>
      </x:c>
      <x:c r="Z80" s="5" t="str">
        <x:v>Generated; needs verification</x:v>
      </x:c>
      <x:c r="AA80" s="5" t="str">
        <x:v>No manuscript yet</x:v>
      </x:c>
      <x:c r="AB80" s="5" t="str">
        <x:v>No</x:v>
      </x:c>
      <x:c r="AC80" s="5" t="str">
        <x:v>Not checked</x:v>
      </x:c>
      <x:c r="AD80" s="5" t="str">
        <x:v>Unscreened</x:v>
      </x:c>
      <x:c r="AE80" s="5" t="str">
        <x:v>Not linked</x:v>
      </x:c>
      <x:c r="AF80" s="5" t="str">
        <x:v>S04</x:v>
      </x:c>
      <x:c r="AG80" s="5" t="str">
        <x:v>Crossref REST API</x:v>
      </x:c>
      <x:c r="AH80" s="5" t="str">
        <x:v>Journal / conference record; peer review not audited</x:v>
      </x:c>
      <x:c r="AI80" s="5" t="str">
        <x:v>Metadata only</x:v>
      </x:c>
      <x:c r="AJ80" s="5" t="str">
        <x:v>Verified against deposited metadata; publisher citation check pending</x:v>
      </x:c>
      <x:c r="AK80" s="5" t="str">
        <x:v>journal-article</x:v>
      </x:c>
      <x:c r="AL80" s="5" t="str">
        <x:v>Title-scope candidate</x:v>
      </x:c>
      <x:c r="AM80" s="5" t="str">
        <x:v>review-paper/search-strategy/runs/PILOT-20261013-01/S04.json</x:v>
      </x:c>
      <x:c r="AN80" s="8" t="d">
        <x:v>2026-10-13T00:00:00.000Z</x:v>
      </x:c>
    </x:row>
    <x:row r="81" ht="53" customHeight="1">
      <x:c r="A81" s="5" t="str">
        <x:v>C0054</x:v>
      </x:c>
      <x:c r="B81" s="5" t="str">
        <x:v>Unassigned</x:v>
      </x:c>
      <x:c r="C81" s="5" t="str">
        <x:v>Unassigned</x:v>
      </x:c>
      <x:c r="D81" s="5" t="str">
        <x:v>Unassigned</x:v>
      </x:c>
      <x:c r="E81" s="5" t="str">
        <x:v>Unassigned</x:v>
      </x:c>
      <x:c r="F81" s="5" t="str">
        <x:v>Theodoros Zygiridis; Athanasios Kyrgiazoglou; Stamatios Amanatiadis; Nikolaos Kantartzis; Theodoros Theodoulidis</x:v>
      </x:c>
      <x:c r="G81" s="5" t="str">
        <x:v>Theodoros Zygiridis</x:v>
      </x:c>
      <x:c r="H81" s="5" t="n">
        <x:v>2024</x:v>
      </x:c>
      <x:c r="I81" s="5" t="str">
        <x:v>Uncertainty Quantification and Sensitivity Analysis in Subsurface Defect Detection with Sparse Models</x:v>
      </x:c>
      <x:c r="J81" s="5" t="str">
        <x:v>Journal of Nondestructive Evaluation</x:v>
      </x:c>
      <x:c r="K81" s="5" t="str">
        <x:v>10.1007/s10921-024-01114-4</x:v>
      </x:c>
      <x:c r="L81" s="5" t="str"/>
      <x:c r="M81" s="5" t="str">
        <x:v>https://link.springer.com/10.1007/s10921-024-01114-4</x:v>
      </x:c>
      <x:c r="N81" s="5" t="str">
        <x:v>https://doi.org/10.1007/s10921-024-01114-4</x:v>
      </x:c>
      <x:c r="O81" s="5" t="str">
        <x:v>Not extracted</x:v>
      </x:c>
      <x:c r="P81" s="5" t="str">
        <x:v>Not extracted</x:v>
      </x:c>
      <x:c r="Q81" s="5" t="str">
        <x:v>Not extracted</x:v>
      </x:c>
      <x:c r="R81" s="5" t="str">
        <x:v>Not extracted</x:v>
      </x:c>
      <x:c r="S81" s="5" t="str">
        <x:v>Unassigned</x:v>
      </x:c>
      <x:c r="T81" s="5" t="str">
        <x:v>Unassigned</x:v>
      </x:c>
      <x:c r="U81" s="5" t="str"/>
      <x:c r="V81" s="5" t="str"/>
      <x:c r="W81" s="5" t="str">
        <x:v>Not extracted</x:v>
      </x:c>
      <x:c r="X81" s="5" t="str">
        <x:v>Pending eligibility screening</x:v>
      </x:c>
      <x:c r="Y81" s="5" t="str">
        <x:v>zygiridis2024_C0054</x:v>
      </x:c>
      <x:c r="Z81" s="5" t="str">
        <x:v>Generated; needs verification</x:v>
      </x:c>
      <x:c r="AA81" s="5" t="str">
        <x:v>No manuscript yet</x:v>
      </x:c>
      <x:c r="AB81" s="5" t="str">
        <x:v>No</x:v>
      </x:c>
      <x:c r="AC81" s="5" t="str">
        <x:v>Not checked</x:v>
      </x:c>
      <x:c r="AD81" s="5" t="str">
        <x:v>Unscreened</x:v>
      </x:c>
      <x:c r="AE81" s="5" t="str">
        <x:v>Not linked</x:v>
      </x:c>
      <x:c r="AF81" s="5" t="str">
        <x:v>S04</x:v>
      </x:c>
      <x:c r="AG81" s="5" t="str">
        <x:v>Crossref REST API</x:v>
      </x:c>
      <x:c r="AH81" s="5" t="str">
        <x:v>Journal / conference record; peer review not audited</x:v>
      </x:c>
      <x:c r="AI81" s="5" t="str">
        <x:v>Metadata only</x:v>
      </x:c>
      <x:c r="AJ81" s="5" t="str">
        <x:v>Verified against deposited metadata; publisher citation check pending</x:v>
      </x:c>
      <x:c r="AK81" s="5" t="str">
        <x:v>journal-article</x:v>
      </x:c>
      <x:c r="AL81" s="5" t="str">
        <x:v>Title-scope candidate</x:v>
      </x:c>
      <x:c r="AM81" s="5" t="str">
        <x:v>review-paper/search-strategy/runs/PILOT-20261013-01/S04.json</x:v>
      </x:c>
      <x:c r="AN81" s="8" t="d">
        <x:v>2026-10-13T00:00:00.000Z</x:v>
      </x:c>
    </x:row>
    <x:row r="82" ht="53" customHeight="1">
      <x:c r="A82" s="5" t="str">
        <x:v>C0055</x:v>
      </x:c>
      <x:c r="B82" s="5" t="str">
        <x:v>Unassigned</x:v>
      </x:c>
      <x:c r="C82" s="5" t="str">
        <x:v>Unassigned</x:v>
      </x:c>
      <x:c r="D82" s="5" t="str">
        <x:v>Unassigned</x:v>
      </x:c>
      <x:c r="E82" s="5" t="str">
        <x:v>Unassigned</x:v>
      </x:c>
      <x:c r="F82" s="5" t="str">
        <x:v>Haipeng Pan; Haoyu Wang; Minming Gu</x:v>
      </x:c>
      <x:c r="G82" s="5" t="str">
        <x:v>Haipeng Pan</x:v>
      </x:c>
      <x:c r="H82" s="5" t="n">
        <x:v>2026</x:v>
      </x:c>
      <x:c r="I82" s="5" t="str">
        <x:v>QiddNet: enhancing industrial quartz defect detection via unsupervised reconstruction</x:v>
      </x:c>
      <x:c r="J82" s="5" t="str">
        <x:v>The Visual Computer</x:v>
      </x:c>
      <x:c r="K82" s="5" t="str">
        <x:v>10.1007/s00371-026-04356-7</x:v>
      </x:c>
      <x:c r="L82" s="5" t="str"/>
      <x:c r="M82" s="5" t="str">
        <x:v>https://link.springer.com/10.1007/s00371-026-04356-7</x:v>
      </x:c>
      <x:c r="N82" s="5" t="str">
        <x:v>https://doi.org/10.1007/s00371-026-04356-7</x:v>
      </x:c>
      <x:c r="O82" s="5" t="str">
        <x:v>Not extracted</x:v>
      </x:c>
      <x:c r="P82" s="5" t="str">
        <x:v>Not extracted</x:v>
      </x:c>
      <x:c r="Q82" s="5" t="str">
        <x:v>Not extracted</x:v>
      </x:c>
      <x:c r="R82" s="5" t="str">
        <x:v>Not extracted</x:v>
      </x:c>
      <x:c r="S82" s="5" t="str">
        <x:v>Unassigned</x:v>
      </x:c>
      <x:c r="T82" s="5" t="str">
        <x:v>Unassigned</x:v>
      </x:c>
      <x:c r="U82" s="5" t="str"/>
      <x:c r="V82" s="5" t="str"/>
      <x:c r="W82" s="5" t="str">
        <x:v>Not extracted</x:v>
      </x:c>
      <x:c r="X82" s="5" t="str">
        <x:v>Pending eligibility screening</x:v>
      </x:c>
      <x:c r="Y82" s="5" t="str">
        <x:v>pan2026_C0055</x:v>
      </x:c>
      <x:c r="Z82" s="5" t="str">
        <x:v>Generated; needs verification</x:v>
      </x:c>
      <x:c r="AA82" s="5" t="str">
        <x:v>No manuscript yet</x:v>
      </x:c>
      <x:c r="AB82" s="5" t="str">
        <x:v>No</x:v>
      </x:c>
      <x:c r="AC82" s="5" t="str">
        <x:v>Not checked</x:v>
      </x:c>
      <x:c r="AD82" s="5" t="str">
        <x:v>Unscreened</x:v>
      </x:c>
      <x:c r="AE82" s="5" t="str">
        <x:v>Not linked</x:v>
      </x:c>
      <x:c r="AF82" s="5" t="str">
        <x:v>S04</x:v>
      </x:c>
      <x:c r="AG82" s="5" t="str">
        <x:v>Crossref REST API</x:v>
      </x:c>
      <x:c r="AH82" s="5" t="str">
        <x:v>Journal / conference record; peer review not audited</x:v>
      </x:c>
      <x:c r="AI82" s="5" t="str">
        <x:v>Metadata only</x:v>
      </x:c>
      <x:c r="AJ82" s="5" t="str">
        <x:v>Verified against deposited metadata; publisher citation check pending</x:v>
      </x:c>
      <x:c r="AK82" s="5" t="str">
        <x:v>journal-article</x:v>
      </x:c>
      <x:c r="AL82" s="5" t="str">
        <x:v>Title-scope candidate</x:v>
      </x:c>
      <x:c r="AM82" s="5" t="str">
        <x:v>review-paper/search-strategy/runs/PILOT-20261013-01/S04.json</x:v>
      </x:c>
      <x:c r="AN82" s="8" t="d">
        <x:v>2026-10-13T00:00:00.000Z</x:v>
      </x:c>
    </x:row>
    <x:row r="83" ht="68" customHeight="1">
      <x:c r="A83" s="5" t="str">
        <x:v>C0056</x:v>
      </x:c>
      <x:c r="B83" s="5" t="str">
        <x:v>Unassigned</x:v>
      </x:c>
      <x:c r="C83" s="5" t="str">
        <x:v>Unassigned</x:v>
      </x:c>
      <x:c r="D83" s="5" t="str">
        <x:v>Unassigned</x:v>
      </x:c>
      <x:c r="E83" s="5" t="str">
        <x:v>Unassigned</x:v>
      </x:c>
      <x:c r="F83" s="5" t="str">
        <x:v>Marco Porta</x:v>
      </x:c>
      <x:c r="G83" s="5" t="str">
        <x:v>Marco Porta</x:v>
      </x:c>
      <x:c r="H83" s="5" t="n">
        <x:v>2024</x:v>
      </x:c>
      <x:c r="I83" s="5" t="str">
        <x:v>Visual Saliency Approaches for Defect Detection in Industrial Processes: A Short Review</x:v>
      </x:c>
      <x:c r="J83" s="5" t="str">
        <x:v>2024 IEEE 29th International Conference on Emerging Technologies and Factory Automation (ETFA)</x:v>
      </x:c>
      <x:c r="K83" s="5" t="str">
        <x:v>10.1109/etfa61755.2024.10710823</x:v>
      </x:c>
      <x:c r="L83" s="5" t="str"/>
      <x:c r="M83" s="5" t="str">
        <x:v>https://ieeexplore.ieee.org/document/10710823/</x:v>
      </x:c>
      <x:c r="N83" s="5" t="str">
        <x:v>https://doi.org/10.1109/etfa61755.2024.10710823</x:v>
      </x:c>
      <x:c r="O83" s="5" t="str">
        <x:v>Not extracted</x:v>
      </x:c>
      <x:c r="P83" s="5" t="str">
        <x:v>Not extracted</x:v>
      </x:c>
      <x:c r="Q83" s="5" t="str">
        <x:v>Not extracted</x:v>
      </x:c>
      <x:c r="R83" s="5" t="str">
        <x:v>Not extracted</x:v>
      </x:c>
      <x:c r="S83" s="5" t="str">
        <x:v>Unassigned</x:v>
      </x:c>
      <x:c r="T83" s="5" t="str">
        <x:v>Unassigned</x:v>
      </x:c>
      <x:c r="U83" s="5" t="str"/>
      <x:c r="V83" s="5" t="str"/>
      <x:c r="W83" s="5" t="str">
        <x:v>Not extracted</x:v>
      </x:c>
      <x:c r="X83" s="5" t="str">
        <x:v>Pending eligibility screening</x:v>
      </x:c>
      <x:c r="Y83" s="5" t="str">
        <x:v>porta2024_C0056</x:v>
      </x:c>
      <x:c r="Z83" s="5" t="str">
        <x:v>Generated; needs verification</x:v>
      </x:c>
      <x:c r="AA83" s="5" t="str">
        <x:v>No manuscript yet</x:v>
      </x:c>
      <x:c r="AB83" s="5" t="str">
        <x:v>No</x:v>
      </x:c>
      <x:c r="AC83" s="5" t="str">
        <x:v>Not checked</x:v>
      </x:c>
      <x:c r="AD83" s="5" t="str">
        <x:v>Unscreened</x:v>
      </x:c>
      <x:c r="AE83" s="5" t="str">
        <x:v>Not linked</x:v>
      </x:c>
      <x:c r="AF83" s="5" t="str">
        <x:v>S04</x:v>
      </x:c>
      <x:c r="AG83" s="5" t="str">
        <x:v>Crossref REST API</x:v>
      </x:c>
      <x:c r="AH83" s="5" t="str">
        <x:v>Journal / conference record; peer review not audited</x:v>
      </x:c>
      <x:c r="AI83" s="5" t="str">
        <x:v>Metadata only</x:v>
      </x:c>
      <x:c r="AJ83" s="5" t="str">
        <x:v>Verified against deposited metadata; publisher citation check pending</x:v>
      </x:c>
      <x:c r="AK83" s="5" t="str">
        <x:v>proceedings-article</x:v>
      </x:c>
      <x:c r="AL83" s="5" t="str">
        <x:v>Title-scope candidate</x:v>
      </x:c>
      <x:c r="AM83" s="5" t="str">
        <x:v>review-paper/search-strategy/runs/PILOT-20261013-01/S04.json</x:v>
      </x:c>
      <x:c r="AN83" s="8" t="d">
        <x:v>2026-10-13T00:00:00.000Z</x:v>
      </x:c>
    </x:row>
    <x:row r="84" ht="53" customHeight="1">
      <x:c r="A84" s="5" t="str">
        <x:v>C0059</x:v>
      </x:c>
      <x:c r="B84" s="5" t="str">
        <x:v>Unassigned</x:v>
      </x:c>
      <x:c r="C84" s="5" t="str">
        <x:v>Unassigned</x:v>
      </x:c>
      <x:c r="D84" s="5" t="str">
        <x:v>Unassigned</x:v>
      </x:c>
      <x:c r="E84" s="5" t="str">
        <x:v>Unassigned</x:v>
      </x:c>
      <x:c r="F84" s="5" t="str">
        <x:v>Yao Xuan Ng; Xiang Li</x:v>
      </x:c>
      <x:c r="G84" s="5" t="str">
        <x:v>Yao Xuan Ng</x:v>
      </x:c>
      <x:c r="H84" s="5" t="n">
        <x:v>2025</x:v>
      </x:c>
      <x:c r="I84" s="5" t="str">
        <x:v>A Modified Siamese Neural Network for Real-Time Visual Defect Detection in Manufacturing</x:v>
      </x:c>
      <x:c r="J84" s="5" t="str">
        <x:v>2025 7th International Conference on Industrial Artificial Intelligence (IAI)</x:v>
      </x:c>
      <x:c r="K84" s="5" t="str">
        <x:v>10.1109/iai68403.2025.11277109</x:v>
      </x:c>
      <x:c r="L84" s="5" t="str"/>
      <x:c r="M84" s="5" t="str">
        <x:v>https://ieeexplore.ieee.org/document/11277109/</x:v>
      </x:c>
      <x:c r="N84" s="5" t="str">
        <x:v>https://doi.org/10.1109/iai68403.2025.11277109</x:v>
      </x:c>
      <x:c r="O84" s="5" t="str">
        <x:v>Not extracted</x:v>
      </x:c>
      <x:c r="P84" s="5" t="str">
        <x:v>Not extracted</x:v>
      </x:c>
      <x:c r="Q84" s="5" t="str">
        <x:v>Not extracted</x:v>
      </x:c>
      <x:c r="R84" s="5" t="str">
        <x:v>Not extracted</x:v>
      </x:c>
      <x:c r="S84" s="5" t="str">
        <x:v>Unassigned</x:v>
      </x:c>
      <x:c r="T84" s="5" t="str">
        <x:v>Unassigned</x:v>
      </x:c>
      <x:c r="U84" s="5" t="str"/>
      <x:c r="V84" s="5" t="str"/>
      <x:c r="W84" s="5" t="str">
        <x:v>Not extracted</x:v>
      </x:c>
      <x:c r="X84" s="5" t="str">
        <x:v>Pending eligibility screening</x:v>
      </x:c>
      <x:c r="Y84" s="5" t="str">
        <x:v>ng2025_C0059</x:v>
      </x:c>
      <x:c r="Z84" s="5" t="str">
        <x:v>Generated; needs verification</x:v>
      </x:c>
      <x:c r="AA84" s="5" t="str">
        <x:v>No manuscript yet</x:v>
      </x:c>
      <x:c r="AB84" s="5" t="str">
        <x:v>No</x:v>
      </x:c>
      <x:c r="AC84" s="5" t="str">
        <x:v>Not checked</x:v>
      </x:c>
      <x:c r="AD84" s="5" t="str">
        <x:v>Unscreened</x:v>
      </x:c>
      <x:c r="AE84" s="5" t="str">
        <x:v>Not linked</x:v>
      </x:c>
      <x:c r="AF84" s="5" t="str">
        <x:v>S04</x:v>
      </x:c>
      <x:c r="AG84" s="5" t="str">
        <x:v>Crossref REST API</x:v>
      </x:c>
      <x:c r="AH84" s="5" t="str">
        <x:v>Journal / conference record; peer review not audited</x:v>
      </x:c>
      <x:c r="AI84" s="5" t="str">
        <x:v>Metadata only</x:v>
      </x:c>
      <x:c r="AJ84" s="5" t="str">
        <x:v>Verified against deposited metadata; publisher citation check pending</x:v>
      </x:c>
      <x:c r="AK84" s="5" t="str">
        <x:v>proceedings-article</x:v>
      </x:c>
      <x:c r="AL84" s="5" t="str">
        <x:v>Title-scope candidate</x:v>
      </x:c>
      <x:c r="AM84" s="5" t="str">
        <x:v>review-paper/search-strategy/runs/PILOT-20261013-01/S04.json</x:v>
      </x:c>
      <x:c r="AN84" s="8" t="d">
        <x:v>2026-10-13T00:00:00.000Z</x:v>
      </x:c>
    </x:row>
    <x:row r="85" ht="68" customHeight="1">
      <x:c r="A85" s="5" t="str">
        <x:v>C0061</x:v>
      </x:c>
      <x:c r="B85" s="5" t="str">
        <x:v>Unassigned</x:v>
      </x:c>
      <x:c r="C85" s="5" t="str">
        <x:v>Unassigned</x:v>
      </x:c>
      <x:c r="D85" s="5" t="str">
        <x:v>Unassigned</x:v>
      </x:c>
      <x:c r="E85" s="5" t="str">
        <x:v>Unassigned</x:v>
      </x:c>
      <x:c r="F85" s="5" t="str">
        <x:v>Panbo Li</x:v>
      </x:c>
      <x:c r="G85" s="5" t="str">
        <x:v>Panbo Li</x:v>
      </x:c>
      <x:c r="H85" s="5" t="n">
        <x:v>2025</x:v>
      </x:c>
      <x:c r="I85" s="5" t="str">
        <x:v>A Study on Industrial Defect Detection Methods Based on Multimodal (Visual-Sensor Data) Fusion</x:v>
      </x:c>
      <x:c r="J85" s="5" t="str">
        <x:v>2025 6th International Symposium on Computer Engineering and Intelligent Communications (ISCEIC)</x:v>
      </x:c>
      <x:c r="K85" s="5" t="str">
        <x:v>10.1109/isceic67854.2025.11405498</x:v>
      </x:c>
      <x:c r="L85" s="5" t="str"/>
      <x:c r="M85" s="5" t="str">
        <x:v>https://ieeexplore.ieee.org/document/11405498/</x:v>
      </x:c>
      <x:c r="N85" s="5" t="str">
        <x:v>https://doi.org/10.1109/isceic67854.2025.11405498</x:v>
      </x:c>
      <x:c r="O85" s="5" t="str">
        <x:v>Not extracted</x:v>
      </x:c>
      <x:c r="P85" s="5" t="str">
        <x:v>Not extracted</x:v>
      </x:c>
      <x:c r="Q85" s="5" t="str">
        <x:v>Not extracted</x:v>
      </x:c>
      <x:c r="R85" s="5" t="str">
        <x:v>Not extracted</x:v>
      </x:c>
      <x:c r="S85" s="5" t="str">
        <x:v>Unassigned</x:v>
      </x:c>
      <x:c r="T85" s="5" t="str">
        <x:v>Unassigned</x:v>
      </x:c>
      <x:c r="U85" s="5" t="str"/>
      <x:c r="V85" s="5" t="str"/>
      <x:c r="W85" s="5" t="str">
        <x:v>Not extracted</x:v>
      </x:c>
      <x:c r="X85" s="5" t="str">
        <x:v>Pending eligibility screening</x:v>
      </x:c>
      <x:c r="Y85" s="5" t="str">
        <x:v>li2025_C0061</x:v>
      </x:c>
      <x:c r="Z85" s="5" t="str">
        <x:v>Generated; needs verification</x:v>
      </x:c>
      <x:c r="AA85" s="5" t="str">
        <x:v>No manuscript yet</x:v>
      </x:c>
      <x:c r="AB85" s="5" t="str">
        <x:v>No</x:v>
      </x:c>
      <x:c r="AC85" s="5" t="str">
        <x:v>Not checked</x:v>
      </x:c>
      <x:c r="AD85" s="5" t="str">
        <x:v>Unscreened</x:v>
      </x:c>
      <x:c r="AE85" s="5" t="str">
        <x:v>Not linked</x:v>
      </x:c>
      <x:c r="AF85" s="5" t="str">
        <x:v>S04</x:v>
      </x:c>
      <x:c r="AG85" s="5" t="str">
        <x:v>Crossref REST API</x:v>
      </x:c>
      <x:c r="AH85" s="5" t="str">
        <x:v>Journal / conference record; peer review not audited</x:v>
      </x:c>
      <x:c r="AI85" s="5" t="str">
        <x:v>Metadata only</x:v>
      </x:c>
      <x:c r="AJ85" s="5" t="str">
        <x:v>Verified against deposited metadata; publisher citation check pending</x:v>
      </x:c>
      <x:c r="AK85" s="5" t="str">
        <x:v>proceedings-article</x:v>
      </x:c>
      <x:c r="AL85" s="5" t="str">
        <x:v>Title-scope candidate</x:v>
      </x:c>
      <x:c r="AM85" s="5" t="str">
        <x:v>review-paper/search-strategy/runs/PILOT-20261013-01/S04.json</x:v>
      </x:c>
      <x:c r="AN85" s="8" t="d">
        <x:v>2026-10-13T00:00:00.000Z</x:v>
      </x:c>
    </x:row>
    <x:row r="86" ht="53" customHeight="1">
      <x:c r="A86" s="5" t="str">
        <x:v>C0062</x:v>
      </x:c>
      <x:c r="B86" s="5" t="str">
        <x:v>Unassigned</x:v>
      </x:c>
      <x:c r="C86" s="5" t="str">
        <x:v>Unassigned</x:v>
      </x:c>
      <x:c r="D86" s="5" t="str">
        <x:v>Unassigned</x:v>
      </x:c>
      <x:c r="E86" s="5" t="str">
        <x:v>Unassigned</x:v>
      </x:c>
      <x:c r="F86" s="5" t="str">
        <x:v>Wei Liu; Cong Wang; Yongkang Zhang</x:v>
      </x:c>
      <x:c r="G86" s="5" t="str">
        <x:v>Wei Liu</x:v>
      </x:c>
      <x:c r="H86" s="5" t="n">
        <x:v>2024</x:v>
      </x:c>
      <x:c r="I86" s="5" t="str">
        <x:v>Industrial surface defect detection by multi-scale Inpainting-GAN</x:v>
      </x:c>
      <x:c r="J86" s="5" t="str">
        <x:v>The Visual Computer</x:v>
      </x:c>
      <x:c r="K86" s="5" t="str">
        <x:v>10.1007/s00371-024-03743-2</x:v>
      </x:c>
      <x:c r="L86" s="5" t="str"/>
      <x:c r="M86" s="5" t="str">
        <x:v>https://link.springer.com/10.1007/s00371-024-03743-2</x:v>
      </x:c>
      <x:c r="N86" s="5" t="str">
        <x:v>https://doi.org/10.1007/s00371-024-03743-2</x:v>
      </x:c>
      <x:c r="O86" s="5" t="str">
        <x:v>Not extracted</x:v>
      </x:c>
      <x:c r="P86" s="5" t="str">
        <x:v>Not extracted</x:v>
      </x:c>
      <x:c r="Q86" s="5" t="str">
        <x:v>Not extracted</x:v>
      </x:c>
      <x:c r="R86" s="5" t="str">
        <x:v>Not extracted</x:v>
      </x:c>
      <x:c r="S86" s="5" t="str">
        <x:v>Unassigned</x:v>
      </x:c>
      <x:c r="T86" s="5" t="str">
        <x:v>Unassigned</x:v>
      </x:c>
      <x:c r="U86" s="5" t="str"/>
      <x:c r="V86" s="5" t="str"/>
      <x:c r="W86" s="5" t="str">
        <x:v>Not extracted</x:v>
      </x:c>
      <x:c r="X86" s="5" t="str">
        <x:v>Pending eligibility screening</x:v>
      </x:c>
      <x:c r="Y86" s="5" t="str">
        <x:v>liu2024_C0062</x:v>
      </x:c>
      <x:c r="Z86" s="5" t="str">
        <x:v>Generated; needs verification</x:v>
      </x:c>
      <x:c r="AA86" s="5" t="str">
        <x:v>No manuscript yet</x:v>
      </x:c>
      <x:c r="AB86" s="5" t="str">
        <x:v>No</x:v>
      </x:c>
      <x:c r="AC86" s="5" t="str">
        <x:v>Not checked</x:v>
      </x:c>
      <x:c r="AD86" s="5" t="str">
        <x:v>Unscreened</x:v>
      </x:c>
      <x:c r="AE86" s="5" t="str">
        <x:v>Not linked</x:v>
      </x:c>
      <x:c r="AF86" s="5" t="str">
        <x:v>S04</x:v>
      </x:c>
      <x:c r="AG86" s="5" t="str">
        <x:v>Crossref REST API</x:v>
      </x:c>
      <x:c r="AH86" s="5" t="str">
        <x:v>Journal / conference record; peer review not audited</x:v>
      </x:c>
      <x:c r="AI86" s="5" t="str">
        <x:v>Metadata only</x:v>
      </x:c>
      <x:c r="AJ86" s="5" t="str">
        <x:v>Verified against deposited metadata; publisher citation check pending</x:v>
      </x:c>
      <x:c r="AK86" s="5" t="str">
        <x:v>journal-article</x:v>
      </x:c>
      <x:c r="AL86" s="5" t="str">
        <x:v>Title-scope candidate</x:v>
      </x:c>
      <x:c r="AM86" s="5" t="str">
        <x:v>review-paper/search-strategy/runs/PILOT-20261013-01/S04.json</x:v>
      </x:c>
      <x:c r="AN86" s="8" t="d">
        <x:v>2026-10-13T00:00:00.000Z</x:v>
      </x:c>
    </x:row>
    <x:row r="87" ht="68" customHeight="1">
      <x:c r="A87" s="5" t="str">
        <x:v>C0064</x:v>
      </x:c>
      <x:c r="B87" s="5" t="str">
        <x:v>Unassigned</x:v>
      </x:c>
      <x:c r="C87" s="5" t="str">
        <x:v>Unassigned</x:v>
      </x:c>
      <x:c r="D87" s="5" t="str">
        <x:v>Unassigned</x:v>
      </x:c>
      <x:c r="E87" s="5" t="str">
        <x:v>Unassigned</x:v>
      </x:c>
      <x:c r="F87" s="5" t="str">
        <x:v>Yuhao Shen; Feifei Liu; Zhen Zhang</x:v>
      </x:c>
      <x:c r="G87" s="5" t="str">
        <x:v>Yuhao Shen</x:v>
      </x:c>
      <x:c r="H87" s="5" t="n">
        <x:v>2024</x:v>
      </x:c>
      <x:c r="I87" s="5" t="str">
        <x:v>Active Learning in Industrial Defect Detection: A Dynamic Approach to Uncertainty and Representativeness</x:v>
      </x:c>
      <x:c r="J87" s="5" t="str">
        <x:v>2024 5th International Conference on Intelligent Computing and Human-Computer Interaction (ICHCI)</x:v>
      </x:c>
      <x:c r="K87" s="5" t="str">
        <x:v>10.1109/ichci63580.2024.10808080</x:v>
      </x:c>
      <x:c r="L87" s="5" t="str"/>
      <x:c r="M87" s="5" t="str">
        <x:v>https://ieeexplore.ieee.org/document/10808080/</x:v>
      </x:c>
      <x:c r="N87" s="5" t="str">
        <x:v>https://doi.org/10.1109/ichci63580.2024.10808080</x:v>
      </x:c>
      <x:c r="O87" s="5" t="str">
        <x:v>Not extracted</x:v>
      </x:c>
      <x:c r="P87" s="5" t="str">
        <x:v>Not extracted</x:v>
      </x:c>
      <x:c r="Q87" s="5" t="str">
        <x:v>Not extracted</x:v>
      </x:c>
      <x:c r="R87" s="5" t="str">
        <x:v>Not extracted</x:v>
      </x:c>
      <x:c r="S87" s="5" t="str">
        <x:v>Unassigned</x:v>
      </x:c>
      <x:c r="T87" s="5" t="str">
        <x:v>Unassigned</x:v>
      </x:c>
      <x:c r="U87" s="5" t="str"/>
      <x:c r="V87" s="5" t="str"/>
      <x:c r="W87" s="5" t="str">
        <x:v>Not extracted</x:v>
      </x:c>
      <x:c r="X87" s="5" t="str">
        <x:v>Pending eligibility screening</x:v>
      </x:c>
      <x:c r="Y87" s="5" t="str">
        <x:v>shen2024_C0064</x:v>
      </x:c>
      <x:c r="Z87" s="5" t="str">
        <x:v>Generated; needs verification</x:v>
      </x:c>
      <x:c r="AA87" s="5" t="str">
        <x:v>No manuscript yet</x:v>
      </x:c>
      <x:c r="AB87" s="5" t="str">
        <x:v>No</x:v>
      </x:c>
      <x:c r="AC87" s="5" t="str">
        <x:v>Not checked</x:v>
      </x:c>
      <x:c r="AD87" s="5" t="str">
        <x:v>Unscreened</x:v>
      </x:c>
      <x:c r="AE87" s="5" t="str">
        <x:v>Not linked</x:v>
      </x:c>
      <x:c r="AF87" s="5" t="str">
        <x:v>S04</x:v>
      </x:c>
      <x:c r="AG87" s="5" t="str">
        <x:v>Crossref REST API</x:v>
      </x:c>
      <x:c r="AH87" s="5" t="str">
        <x:v>Journal / conference record; peer review not audited</x:v>
      </x:c>
      <x:c r="AI87" s="5" t="str">
        <x:v>Metadata only</x:v>
      </x:c>
      <x:c r="AJ87" s="5" t="str">
        <x:v>Verified against deposited metadata; publisher citation check pending</x:v>
      </x:c>
      <x:c r="AK87" s="5" t="str">
        <x:v>proceedings-article</x:v>
      </x:c>
      <x:c r="AL87" s="5" t="str">
        <x:v>Title-scope candidate</x:v>
      </x:c>
      <x:c r="AM87" s="5" t="str">
        <x:v>review-paper/search-strategy/runs/PILOT-20261013-01/S04.json</x:v>
      </x:c>
      <x:c r="AN87" s="8" t="d">
        <x:v>2026-10-13T00:00:00.000Z</x:v>
      </x:c>
    </x:row>
    <x:row r="88" ht="53" customHeight="1">
      <x:c r="A88" s="5" t="str">
        <x:v>C0065</x:v>
      </x:c>
      <x:c r="B88" s="5" t="str">
        <x:v>Unassigned</x:v>
      </x:c>
      <x:c r="C88" s="5" t="str">
        <x:v>Unassigned</x:v>
      </x:c>
      <x:c r="D88" s="5" t="str">
        <x:v>Unassigned</x:v>
      </x:c>
      <x:c r="E88" s="5" t="str">
        <x:v>Unassigned</x:v>
      </x:c>
      <x:c r="F88" s="5" t="str">
        <x:v>Xiaoxin Fang; Qiwu Luo; Bingxing Zhou; Congcong Li; Lu Tian</x:v>
      </x:c>
      <x:c r="G88" s="5" t="str">
        <x:v>Xiaoxin Fang</x:v>
      </x:c>
      <x:c r="H88" s="5" t="n">
        <x:v>2020</x:v>
      </x:c>
      <x:c r="I88" s="5" t="str">
        <x:v>Research Progress of Automated Visual Surface Defect Detection for Industrial Metal Planar Materials</x:v>
      </x:c>
      <x:c r="J88" s="5" t="str">
        <x:v>Sensors</x:v>
      </x:c>
      <x:c r="K88" s="5" t="str">
        <x:v>10.3390/s20185136</x:v>
      </x:c>
      <x:c r="L88" s="5" t="str"/>
      <x:c r="M88" s="5" t="str">
        <x:v>https://www.mdpi.com/1424-8220/20/18/5136</x:v>
      </x:c>
      <x:c r="N88" s="5" t="str">
        <x:v>https://doi.org/10.3390/s20185136</x:v>
      </x:c>
      <x:c r="O88" s="5" t="str">
        <x:v>Not extracted</x:v>
      </x:c>
      <x:c r="P88" s="5" t="str">
        <x:v>Not extracted</x:v>
      </x:c>
      <x:c r="Q88" s="5" t="str">
        <x:v>Not extracted</x:v>
      </x:c>
      <x:c r="R88" s="5" t="str">
        <x:v>Not extracted</x:v>
      </x:c>
      <x:c r="S88" s="5" t="str">
        <x:v>Unassigned</x:v>
      </x:c>
      <x:c r="T88" s="5" t="str">
        <x:v>Unassigned</x:v>
      </x:c>
      <x:c r="U88" s="5" t="str"/>
      <x:c r="V88" s="5" t="str"/>
      <x:c r="W88" s="5" t="str">
        <x:v>Not extracted</x:v>
      </x:c>
      <x:c r="X88" s="5" t="str">
        <x:v>Pending eligibility screening</x:v>
      </x:c>
      <x:c r="Y88" s="5" t="str">
        <x:v>fang2020_C0065</x:v>
      </x:c>
      <x:c r="Z88" s="5" t="str">
        <x:v>Generated; needs verification</x:v>
      </x:c>
      <x:c r="AA88" s="5" t="str">
        <x:v>No manuscript yet</x:v>
      </x:c>
      <x:c r="AB88" s="5" t="str">
        <x:v>No</x:v>
      </x:c>
      <x:c r="AC88" s="5" t="str">
        <x:v>Not checked</x:v>
      </x:c>
      <x:c r="AD88" s="5" t="str">
        <x:v>Unscreened</x:v>
      </x:c>
      <x:c r="AE88" s="5" t="str">
        <x:v>Not linked</x:v>
      </x:c>
      <x:c r="AF88" s="5" t="str">
        <x:v>S04</x:v>
      </x:c>
      <x:c r="AG88" s="5" t="str">
        <x:v>Crossref REST API</x:v>
      </x:c>
      <x:c r="AH88" s="5" t="str">
        <x:v>Journal / conference record; peer review not audited</x:v>
      </x:c>
      <x:c r="AI88" s="5" t="str">
        <x:v>Metadata only</x:v>
      </x:c>
      <x:c r="AJ88" s="5" t="str">
        <x:v>Verified against deposited metadata; publisher citation check pending</x:v>
      </x:c>
      <x:c r="AK88" s="5" t="str">
        <x:v>journal-article</x:v>
      </x:c>
      <x:c r="AL88" s="5" t="str">
        <x:v>Title-scope candidate</x:v>
      </x:c>
      <x:c r="AM88" s="5" t="str">
        <x:v>review-paper/search-strategy/runs/PILOT-20261013-01/S04.json</x:v>
      </x:c>
      <x:c r="AN88" s="8" t="d">
        <x:v>2026-10-13T00:00:00.000Z</x:v>
      </x:c>
    </x:row>
    <x:row r="89" ht="53" customHeight="1">
      <x:c r="A89" s="5" t="str">
        <x:v>C0067</x:v>
      </x:c>
      <x:c r="B89" s="5" t="str">
        <x:v>Unassigned</x:v>
      </x:c>
      <x:c r="C89" s="5" t="str">
        <x:v>Unassigned</x:v>
      </x:c>
      <x:c r="D89" s="5" t="str">
        <x:v>Unassigned</x:v>
      </x:c>
      <x:c r="E89" s="5" t="str">
        <x:v>Unassigned</x:v>
      </x:c>
      <x:c r="F89" s="5" t="str">
        <x:v>Chollada Laofor; Vachara Peansupap</x:v>
      </x:c>
      <x:c r="G89" s="5" t="str">
        <x:v>Chollada Laofor</x:v>
      </x:c>
      <x:c r="H89" s="5" t="n">
        <x:v>2012</x:v>
      </x:c>
      <x:c r="I89" s="5" t="str">
        <x:v>Defect detection and quantification system to support subjective visual quality inspection via a digital image processing: A tiling work case study</x:v>
      </x:c>
      <x:c r="J89" s="5" t="str">
        <x:v>Automation in Construction</x:v>
      </x:c>
      <x:c r="K89" s="5" t="str">
        <x:v>10.1016/j.autcon.2012.02.012</x:v>
      </x:c>
      <x:c r="L89" s="5" t="str"/>
      <x:c r="M89" s="5" t="str">
        <x:v>https://linkinghub.elsevier.com/retrieve/pii/S0926580512000271</x:v>
      </x:c>
      <x:c r="N89" s="5" t="str">
        <x:v>https://doi.org/10.1016/j.autcon.2012.02.012</x:v>
      </x:c>
      <x:c r="O89" s="5" t="str">
        <x:v>Not extracted</x:v>
      </x:c>
      <x:c r="P89" s="5" t="str">
        <x:v>Not extracted</x:v>
      </x:c>
      <x:c r="Q89" s="5" t="str">
        <x:v>Not extracted</x:v>
      </x:c>
      <x:c r="R89" s="5" t="str">
        <x:v>Not extracted</x:v>
      </x:c>
      <x:c r="S89" s="5" t="str">
        <x:v>Unassigned</x:v>
      </x:c>
      <x:c r="T89" s="5" t="str">
        <x:v>Unassigned</x:v>
      </x:c>
      <x:c r="U89" s="5" t="str"/>
      <x:c r="V89" s="5" t="str"/>
      <x:c r="W89" s="5" t="str">
        <x:v>Not extracted</x:v>
      </x:c>
      <x:c r="X89" s="5" t="str">
        <x:v>Pending eligibility screening</x:v>
      </x:c>
      <x:c r="Y89" s="5" t="str">
        <x:v>laofor2012_C0067</x:v>
      </x:c>
      <x:c r="Z89" s="5" t="str">
        <x:v>Generated; needs verification</x:v>
      </x:c>
      <x:c r="AA89" s="5" t="str">
        <x:v>No manuscript yet</x:v>
      </x:c>
      <x:c r="AB89" s="5" t="str">
        <x:v>No</x:v>
      </x:c>
      <x:c r="AC89" s="5" t="str">
        <x:v>Not checked</x:v>
      </x:c>
      <x:c r="AD89" s="5" t="str">
        <x:v>Unscreened</x:v>
      </x:c>
      <x:c r="AE89" s="5" t="str">
        <x:v>Not linked</x:v>
      </x:c>
      <x:c r="AF89" s="5" t="str">
        <x:v>S04</x:v>
      </x:c>
      <x:c r="AG89" s="5" t="str">
        <x:v>Crossref REST API</x:v>
      </x:c>
      <x:c r="AH89" s="5" t="str">
        <x:v>Journal / conference record; peer review not audited</x:v>
      </x:c>
      <x:c r="AI89" s="5" t="str">
        <x:v>Metadata only</x:v>
      </x:c>
      <x:c r="AJ89" s="5" t="str">
        <x:v>Verified against deposited metadata; publisher citation check pending</x:v>
      </x:c>
      <x:c r="AK89" s="5" t="str">
        <x:v>journal-article</x:v>
      </x:c>
      <x:c r="AL89" s="5" t="str">
        <x:v>Title-scope candidate</x:v>
      </x:c>
      <x:c r="AM89" s="5" t="str">
        <x:v>review-paper/search-strategy/runs/PILOT-20261013-01/S04.json</x:v>
      </x:c>
      <x:c r="AN89" s="8" t="d">
        <x:v>2026-10-13T00:00:00.000Z</x:v>
      </x:c>
    </x:row>
    <x:row r="90" ht="53" customHeight="1">
      <x:c r="A90" s="5" t="str">
        <x:v>C0070</x:v>
      </x:c>
      <x:c r="B90" s="5" t="str">
        <x:v>Unassigned</x:v>
      </x:c>
      <x:c r="C90" s="5" t="str">
        <x:v>Unassigned</x:v>
      </x:c>
      <x:c r="D90" s="5" t="str">
        <x:v>Unassigned</x:v>
      </x:c>
      <x:c r="E90" s="5" t="str">
        <x:v>Unassigned</x:v>
      </x:c>
      <x:c r="F90" s="5" t="str">
        <x:v>qinao hu</x:v>
      </x:c>
      <x:c r="G90" s="5" t="str">
        <x:v>qinao hu</x:v>
      </x:c>
      <x:c r="H90" s="5" t="n">
        <x:v>2026</x:v>
      </x:c>
      <x:c r="I90" s="5" t="str">
        <x:v>Tiny Defect-VQA: Mask-Grounded Edge Visual Question Answering for Industrial Surface Inspection</x:v>
      </x:c>
      <x:c r="J90" s="5" t="str"/>
      <x:c r="K90" s="5" t="str">
        <x:v>10.2139/ssrn.7218460</x:v>
      </x:c>
      <x:c r="L90" s="5" t="str"/>
      <x:c r="M90" s="5" t="str">
        <x:v>https://www.ssrn.com/abstract=7218460</x:v>
      </x:c>
      <x:c r="N90" s="5" t="str">
        <x:v>https://doi.org/10.2139/ssrn.7218460</x:v>
      </x:c>
      <x:c r="O90" s="5" t="str">
        <x:v>Not extracted</x:v>
      </x:c>
      <x:c r="P90" s="5" t="str">
        <x:v>Not extracted</x:v>
      </x:c>
      <x:c r="Q90" s="5" t="str">
        <x:v>Not extracted</x:v>
      </x:c>
      <x:c r="R90" s="5" t="str">
        <x:v>Not extracted</x:v>
      </x:c>
      <x:c r="S90" s="5" t="str">
        <x:v>Unassigned</x:v>
      </x:c>
      <x:c r="T90" s="5" t="str">
        <x:v>Unassigned</x:v>
      </x:c>
      <x:c r="U90" s="5" t="str"/>
      <x:c r="V90" s="5" t="str"/>
      <x:c r="W90" s="5" t="str">
        <x:v>Not extracted</x:v>
      </x:c>
      <x:c r="X90" s="5" t="str">
        <x:v>Pending eligibility screening</x:v>
      </x:c>
      <x:c r="Y90" s="5" t="str">
        <x:v>hu2026_C0070</x:v>
      </x:c>
      <x:c r="Z90" s="5" t="str">
        <x:v>Generated; needs verification</x:v>
      </x:c>
      <x:c r="AA90" s="5" t="str">
        <x:v>No manuscript yet</x:v>
      </x:c>
      <x:c r="AB90" s="5" t="str">
        <x:v>No</x:v>
      </x:c>
      <x:c r="AC90" s="5" t="str">
        <x:v>Not checked</x:v>
      </x:c>
      <x:c r="AD90" s="5" t="str">
        <x:v>Unscreened</x:v>
      </x:c>
      <x:c r="AE90" s="5" t="str">
        <x:v>Not linked</x:v>
      </x:c>
      <x:c r="AF90" s="5" t="str">
        <x:v>S04; S06; S11</x:v>
      </x:c>
      <x:c r="AG90" s="5" t="str">
        <x:v>Crossref REST API</x:v>
      </x:c>
      <x:c r="AH90" s="5" t="str">
        <x:v>Preprint / repository record</x:v>
      </x:c>
      <x:c r="AI90" s="5" t="str">
        <x:v>Metadata only</x:v>
      </x:c>
      <x:c r="AJ90" s="5" t="str">
        <x:v>Verified against deposited metadata; publisher citation check pending</x:v>
      </x:c>
      <x:c r="AK90" s="5" t="str">
        <x:v>posted-content</x:v>
      </x:c>
      <x:c r="AL90" s="5" t="str">
        <x:v>Title-scope candidate</x:v>
      </x:c>
      <x:c r="AM90" s="5" t="str">
        <x:v>review-paper/search-strategy/runs/PILOT-20261013-01/S04.json</x:v>
      </x:c>
      <x:c r="AN90" s="8" t="d">
        <x:v>2026-10-13T00:00:00.000Z</x:v>
      </x:c>
    </x:row>
    <x:row r="91" ht="53" customHeight="1">
      <x:c r="A91" s="5" t="str">
        <x:v>C0072</x:v>
      </x:c>
      <x:c r="B91" s="5" t="str">
        <x:v>Unassigned</x:v>
      </x:c>
      <x:c r="C91" s="5" t="str">
        <x:v>Unassigned</x:v>
      </x:c>
      <x:c r="D91" s="5" t="str">
        <x:v>Unassigned</x:v>
      </x:c>
      <x:c r="E91" s="5" t="str">
        <x:v>Unassigned</x:v>
      </x:c>
      <x:c r="F91" s="5" t="str">
        <x:v>qinao hu</x:v>
      </x:c>
      <x:c r="G91" s="5" t="str">
        <x:v>qinao hu</x:v>
      </x:c>
      <x:c r="H91" s="5" t="n">
        <x:v>2026</x:v>
      </x:c>
      <x:c r="I91" s="5" t="str">
        <x:v>Tiny Defect-VQA: Mask-Grounded Edge Visual Question Answering for Industrial Surface Inspection</x:v>
      </x:c>
      <x:c r="J91" s="5" t="str"/>
      <x:c r="K91" s="5" t="str">
        <x:v>10.2139/ssrn.7218465</x:v>
      </x:c>
      <x:c r="L91" s="5" t="str"/>
      <x:c r="M91" s="5" t="str">
        <x:v>https://www.ssrn.com/abstract=7218465</x:v>
      </x:c>
      <x:c r="N91" s="5" t="str">
        <x:v>https://doi.org/10.2139/ssrn.7218465</x:v>
      </x:c>
      <x:c r="O91" s="5" t="str">
        <x:v>Not extracted</x:v>
      </x:c>
      <x:c r="P91" s="5" t="str">
        <x:v>Not extracted</x:v>
      </x:c>
      <x:c r="Q91" s="5" t="str">
        <x:v>Not extracted</x:v>
      </x:c>
      <x:c r="R91" s="5" t="str">
        <x:v>Not extracted</x:v>
      </x:c>
      <x:c r="S91" s="5" t="str">
        <x:v>Unassigned</x:v>
      </x:c>
      <x:c r="T91" s="5" t="str">
        <x:v>Unassigned</x:v>
      </x:c>
      <x:c r="U91" s="5" t="str"/>
      <x:c r="V91" s="5" t="str"/>
      <x:c r="W91" s="5" t="str">
        <x:v>Not extracted</x:v>
      </x:c>
      <x:c r="X91" s="5" t="str">
        <x:v>Pending eligibility screening</x:v>
      </x:c>
      <x:c r="Y91" s="5" t="str">
        <x:v>hu2026_C0072</x:v>
      </x:c>
      <x:c r="Z91" s="5" t="str">
        <x:v>Generated; needs verification</x:v>
      </x:c>
      <x:c r="AA91" s="5" t="str">
        <x:v>No manuscript yet</x:v>
      </x:c>
      <x:c r="AB91" s="5" t="str">
        <x:v>No</x:v>
      </x:c>
      <x:c r="AC91" s="5" t="str">
        <x:v>Not checked</x:v>
      </x:c>
      <x:c r="AD91" s="5" t="str">
        <x:v>Unscreened</x:v>
      </x:c>
      <x:c r="AE91" s="5" t="str">
        <x:v>Not linked</x:v>
      </x:c>
      <x:c r="AF91" s="5" t="str">
        <x:v>S04; S06; S11</x:v>
      </x:c>
      <x:c r="AG91" s="5" t="str">
        <x:v>Crossref REST API</x:v>
      </x:c>
      <x:c r="AH91" s="5" t="str">
        <x:v>Preprint / repository record</x:v>
      </x:c>
      <x:c r="AI91" s="5" t="str">
        <x:v>Metadata only</x:v>
      </x:c>
      <x:c r="AJ91" s="5" t="str">
        <x:v>Verified against deposited metadata; publisher citation check pending</x:v>
      </x:c>
      <x:c r="AK91" s="5" t="str">
        <x:v>posted-content</x:v>
      </x:c>
      <x:c r="AL91" s="5" t="str">
        <x:v>Title-scope candidate</x:v>
      </x:c>
      <x:c r="AM91" s="5" t="str">
        <x:v>review-paper/search-strategy/runs/PILOT-20261013-01/S04.json</x:v>
      </x:c>
      <x:c r="AN91" s="8" t="d">
        <x:v>2026-10-13T00:00:00.000Z</x:v>
      </x:c>
    </x:row>
    <x:row r="92" ht="53" customHeight="1">
      <x:c r="A92" s="5" t="str">
        <x:v>C0073</x:v>
      </x:c>
      <x:c r="B92" s="5" t="str">
        <x:v>Unassigned</x:v>
      </x:c>
      <x:c r="C92" s="5" t="str">
        <x:v>Unassigned</x:v>
      </x:c>
      <x:c r="D92" s="5" t="str">
        <x:v>Unassigned</x:v>
      </x:c>
      <x:c r="E92" s="5" t="str">
        <x:v>Unassigned</x:v>
      </x:c>
      <x:c r="F92" s="5" t="str">
        <x:v>Donald Joas Kouam Tawofing; Victor Kombou; Kuiche Sop Brinda Leaticia</x:v>
      </x:c>
      <x:c r="G92" s="5" t="str">
        <x:v>Donald Joas Kouam Tawofing</x:v>
      </x:c>
      <x:c r="H92" s="5" t="n">
        <x:v>2025</x:v>
      </x:c>
      <x:c r="I92" s="5" t="str">
        <x:v>ViTranCoC: Vision Transformers and Conformal Calibration for Industrial Anomaly Detection</x:v>
      </x:c>
      <x:c r="J92" s="5" t="str"/>
      <x:c r="K92" s="5" t="str">
        <x:v>10.2139/ssrn.5495023</x:v>
      </x:c>
      <x:c r="L92" s="5" t="str"/>
      <x:c r="M92" s="5" t="str">
        <x:v>https://www.ssrn.com/abstract=5495023</x:v>
      </x:c>
      <x:c r="N92" s="5" t="str">
        <x:v>https://doi.org/10.2139/ssrn.5495023</x:v>
      </x:c>
      <x:c r="O92" s="5" t="str">
        <x:v>Not extracted</x:v>
      </x:c>
      <x:c r="P92" s="5" t="str">
        <x:v>Not extracted</x:v>
      </x:c>
      <x:c r="Q92" s="5" t="str">
        <x:v>Not extracted</x:v>
      </x:c>
      <x:c r="R92" s="5" t="str">
        <x:v>Not extracted</x:v>
      </x:c>
      <x:c r="S92" s="5" t="str">
        <x:v>Unassigned</x:v>
      </x:c>
      <x:c r="T92" s="5" t="str">
        <x:v>Unassigned</x:v>
      </x:c>
      <x:c r="U92" s="5" t="str"/>
      <x:c r="V92" s="5" t="str"/>
      <x:c r="W92" s="5" t="str">
        <x:v>Not extracted</x:v>
      </x:c>
      <x:c r="X92" s="5" t="str">
        <x:v>Pending eligibility screening</x:v>
      </x:c>
      <x:c r="Y92" s="5" t="str">
        <x:v>tawofing2025_C0073</x:v>
      </x:c>
      <x:c r="Z92" s="5" t="str">
        <x:v>Generated; needs verification</x:v>
      </x:c>
      <x:c r="AA92" s="5" t="str">
        <x:v>No manuscript yet</x:v>
      </x:c>
      <x:c r="AB92" s="5" t="str">
        <x:v>No</x:v>
      </x:c>
      <x:c r="AC92" s="5" t="str">
        <x:v>Not checked</x:v>
      </x:c>
      <x:c r="AD92" s="5" t="str">
        <x:v>Unscreened</x:v>
      </x:c>
      <x:c r="AE92" s="5" t="str">
        <x:v>Not linked</x:v>
      </x:c>
      <x:c r="AF92" s="5" t="str">
        <x:v>S05; S07; S16</x:v>
      </x:c>
      <x:c r="AG92" s="5" t="str">
        <x:v>Crossref REST API</x:v>
      </x:c>
      <x:c r="AH92" s="5" t="str">
        <x:v>Preprint / repository record</x:v>
      </x:c>
      <x:c r="AI92" s="5" t="str">
        <x:v>Metadata only</x:v>
      </x:c>
      <x:c r="AJ92" s="5" t="str">
        <x:v>Verified against deposited metadata; publisher citation check pending</x:v>
      </x:c>
      <x:c r="AK92" s="5" t="str">
        <x:v>posted-content</x:v>
      </x:c>
      <x:c r="AL92" s="5" t="str">
        <x:v>Title-scope candidate</x:v>
      </x:c>
      <x:c r="AM92" s="5" t="str">
        <x:v>review-paper/search-strategy/runs/PILOT-20261013-01/S05.json</x:v>
      </x:c>
      <x:c r="AN92" s="8" t="d">
        <x:v>2026-10-13T00:00:00.000Z</x:v>
      </x:c>
    </x:row>
    <x:row r="93" ht="68" customHeight="1">
      <x:c r="A93" s="5" t="str">
        <x:v>C0076</x:v>
      </x:c>
      <x:c r="B93" s="5" t="str">
        <x:v>Unassigned</x:v>
      </x:c>
      <x:c r="C93" s="5" t="str">
        <x:v>Unassigned</x:v>
      </x:c>
      <x:c r="D93" s="5" t="str">
        <x:v>Unassigned</x:v>
      </x:c>
      <x:c r="E93" s="5" t="str">
        <x:v>Unassigned</x:v>
      </x:c>
      <x:c r="F93" s="5" t="str">
        <x:v>Wen Zong</x:v>
      </x:c>
      <x:c r="G93" s="5" t="str">
        <x:v>Wen Zong</x:v>
      </x:c>
      <x:c r="H93" s="5" t="n">
        <x:v>2026</x:v>
      </x:c>
      <x:c r="I93" s="5" t="str">
        <x:v>FTF-GRU-AE: A Calibration-Aware Frequency-Recurrent Autoencoder for Lightweight Industrial Time-Series Anomaly Detection</x:v>
      </x:c>
      <x:c r="J93" s="5" t="str">
        <x:v>2026 7th International Conference on Artificial Intelligence and Electromechanical Automation (AIEA)</x:v>
      </x:c>
      <x:c r="K93" s="5" t="str">
        <x:v>10.1109/aiea70743.2026.11632327</x:v>
      </x:c>
      <x:c r="L93" s="5" t="str"/>
      <x:c r="M93" s="5" t="str">
        <x:v>https://ieeexplore.ieee.org/document/11632327/</x:v>
      </x:c>
      <x:c r="N93" s="5" t="str">
        <x:v>https://doi.org/10.1109/aiea70743.2026.11632327</x:v>
      </x:c>
      <x:c r="O93" s="5" t="str">
        <x:v>Not extracted</x:v>
      </x:c>
      <x:c r="P93" s="5" t="str">
        <x:v>Not extracted</x:v>
      </x:c>
      <x:c r="Q93" s="5" t="str">
        <x:v>Not extracted</x:v>
      </x:c>
      <x:c r="R93" s="5" t="str">
        <x:v>Not extracted</x:v>
      </x:c>
      <x:c r="S93" s="5" t="str">
        <x:v>Unassigned</x:v>
      </x:c>
      <x:c r="T93" s="5" t="str">
        <x:v>Unassigned</x:v>
      </x:c>
      <x:c r="U93" s="5" t="str"/>
      <x:c r="V93" s="5" t="str"/>
      <x:c r="W93" s="5" t="str">
        <x:v>Not extracted</x:v>
      </x:c>
      <x:c r="X93" s="5" t="str">
        <x:v>Pending eligibility screening</x:v>
      </x:c>
      <x:c r="Y93" s="5" t="str">
        <x:v>zong2026_C0076</x:v>
      </x:c>
      <x:c r="Z93" s="5" t="str">
        <x:v>Generated; needs verification</x:v>
      </x:c>
      <x:c r="AA93" s="5" t="str">
        <x:v>No manuscript yet</x:v>
      </x:c>
      <x:c r="AB93" s="5" t="str">
        <x:v>No</x:v>
      </x:c>
      <x:c r="AC93" s="5" t="str">
        <x:v>Not checked</x:v>
      </x:c>
      <x:c r="AD93" s="5" t="str">
        <x:v>Unscreened</x:v>
      </x:c>
      <x:c r="AE93" s="5" t="str">
        <x:v>Not linked</x:v>
      </x:c>
      <x:c r="AF93" s="5" t="str">
        <x:v>S05; S16</x:v>
      </x:c>
      <x:c r="AG93" s="5" t="str">
        <x:v>Crossref REST API</x:v>
      </x:c>
      <x:c r="AH93" s="5" t="str">
        <x:v>Journal / conference record; peer review not audited</x:v>
      </x:c>
      <x:c r="AI93" s="5" t="str">
        <x:v>Metadata only</x:v>
      </x:c>
      <x:c r="AJ93" s="5" t="str">
        <x:v>Verified against deposited metadata; publisher citation check pending</x:v>
      </x:c>
      <x:c r="AK93" s="5" t="str">
        <x:v>proceedings-article</x:v>
      </x:c>
      <x:c r="AL93" s="5" t="str">
        <x:v>Title-scope candidate</x:v>
      </x:c>
      <x:c r="AM93" s="5" t="str">
        <x:v>review-paper/search-strategy/runs/PILOT-20261013-01/S05.json</x:v>
      </x:c>
      <x:c r="AN93" s="8" t="d">
        <x:v>2026-10-13T00:00:00.000Z</x:v>
      </x:c>
    </x:row>
    <x:row r="94" ht="53" customHeight="1">
      <x:c r="A94" s="5" t="str">
        <x:v>C0080</x:v>
      </x:c>
      <x:c r="B94" s="5" t="str">
        <x:v>Unassigned</x:v>
      </x:c>
      <x:c r="C94" s="5" t="str">
        <x:v>Unassigned</x:v>
      </x:c>
      <x:c r="D94" s="5" t="str">
        <x:v>Unassigned</x:v>
      </x:c>
      <x:c r="E94" s="5" t="str">
        <x:v>Unassigned</x:v>
      </x:c>
      <x:c r="F94" s="5" t="str">
        <x:v>Hongzhou Liu</x:v>
      </x:c>
      <x:c r="G94" s="5" t="str">
        <x:v>Hongzhou Liu</x:v>
      </x:c>
      <x:c r="H94" s="5" t="n">
        <x:v>2026</x:v>
      </x:c>
      <x:c r="I94" s="5" t="str">
        <x:v>LMF-Core: A Training-Free Coreset for Industrial Anomaly Detection</x:v>
      </x:c>
      <x:c r="J94" s="5" t="str">
        <x:v>International Journal of Scientific Engineering and Research</x:v>
      </x:c>
      <x:c r="K94" s="5" t="str">
        <x:v>10.70729/se26625132621</x:v>
      </x:c>
      <x:c r="L94" s="5" t="str"/>
      <x:c r="M94" s="5" t="str">
        <x:v>https://www.ijser.in/abstract.php?paperid=SE26625132621</x:v>
      </x:c>
      <x:c r="N94" s="5" t="str">
        <x:v>https://doi.org/10.70729/se26625132621</x:v>
      </x:c>
      <x:c r="O94" s="5" t="str">
        <x:v>Not extracted</x:v>
      </x:c>
      <x:c r="P94" s="5" t="str">
        <x:v>Not extracted</x:v>
      </x:c>
      <x:c r="Q94" s="5" t="str">
        <x:v>Not extracted</x:v>
      </x:c>
      <x:c r="R94" s="5" t="str">
        <x:v>Not extracted</x:v>
      </x:c>
      <x:c r="S94" s="5" t="str">
        <x:v>Unassigned</x:v>
      </x:c>
      <x:c r="T94" s="5" t="str">
        <x:v>Unassigned</x:v>
      </x:c>
      <x:c r="U94" s="5" t="str"/>
      <x:c r="V94" s="5" t="str"/>
      <x:c r="W94" s="5" t="str">
        <x:v>Not extracted</x:v>
      </x:c>
      <x:c r="X94" s="5" t="str">
        <x:v>Pending eligibility screening</x:v>
      </x:c>
      <x:c r="Y94" s="5" t="str">
        <x:v>liu2026_C0080</x:v>
      </x:c>
      <x:c r="Z94" s="5" t="str">
        <x:v>Generated; needs verification</x:v>
      </x:c>
      <x:c r="AA94" s="5" t="str">
        <x:v>No manuscript yet</x:v>
      </x:c>
      <x:c r="AB94" s="5" t="str">
        <x:v>No</x:v>
      </x:c>
      <x:c r="AC94" s="5" t="str">
        <x:v>Not checked</x:v>
      </x:c>
      <x:c r="AD94" s="5" t="str">
        <x:v>Unscreened</x:v>
      </x:c>
      <x:c r="AE94" s="5" t="str">
        <x:v>Not linked</x:v>
      </x:c>
      <x:c r="AF94" s="5" t="str">
        <x:v>S05</x:v>
      </x:c>
      <x:c r="AG94" s="5" t="str">
        <x:v>Crossref REST API</x:v>
      </x:c>
      <x:c r="AH94" s="5" t="str">
        <x:v>Journal / conference record; peer review not audited</x:v>
      </x:c>
      <x:c r="AI94" s="5" t="str">
        <x:v>Metadata only</x:v>
      </x:c>
      <x:c r="AJ94" s="5" t="str">
        <x:v>Verified against deposited metadata; publisher citation check pending</x:v>
      </x:c>
      <x:c r="AK94" s="5" t="str">
        <x:v>journal-article</x:v>
      </x:c>
      <x:c r="AL94" s="5" t="str">
        <x:v>Title-scope candidate</x:v>
      </x:c>
      <x:c r="AM94" s="5" t="str">
        <x:v>review-paper/search-strategy/runs/PILOT-20261013-01/S05.json</x:v>
      </x:c>
      <x:c r="AN94" s="8" t="d">
        <x:v>2026-10-13T00:00:00.000Z</x:v>
      </x:c>
    </x:row>
    <x:row r="95" ht="53" customHeight="1">
      <x:c r="A95" s="5" t="str">
        <x:v>C0081</x:v>
      </x:c>
      <x:c r="B95" s="5" t="str">
        <x:v>Unassigned</x:v>
      </x:c>
      <x:c r="C95" s="5" t="str">
        <x:v>Unassigned</x:v>
      </x:c>
      <x:c r="D95" s="5" t="str">
        <x:v>Unassigned</x:v>
      </x:c>
      <x:c r="E95" s="5" t="str">
        <x:v>Unassigned</x:v>
      </x:c>
      <x:c r="F95" s="5" t="str">
        <x:v>Honglei Zhu; Jingkun Wei</x:v>
      </x:c>
      <x:c r="G95" s="5" t="str">
        <x:v>Honglei Zhu</x:v>
      </x:c>
      <x:c r="H95" s="5" t="n">
        <x:v>2026</x:v>
      </x:c>
      <x:c r="I95" s="5" t="str">
        <x:v>Cross-modal prior-guided sampling with coverage-aware score calibration for 3D industrial anomaly localization</x:v>
      </x:c>
      <x:c r="J95" s="5" t="str"/>
      <x:c r="K95" s="5" t="str">
        <x:v>10.2139/ssrn.7541070</x:v>
      </x:c>
      <x:c r="L95" s="5" t="str"/>
      <x:c r="M95" s="5" t="str">
        <x:v>https://www.ssrn.com/abstract=7541070</x:v>
      </x:c>
      <x:c r="N95" s="5" t="str">
        <x:v>https://doi.org/10.2139/ssrn.7541070</x:v>
      </x:c>
      <x:c r="O95" s="5" t="str">
        <x:v>Not extracted</x:v>
      </x:c>
      <x:c r="P95" s="5" t="str">
        <x:v>Not extracted</x:v>
      </x:c>
      <x:c r="Q95" s="5" t="str">
        <x:v>Not extracted</x:v>
      </x:c>
      <x:c r="R95" s="5" t="str">
        <x:v>Not extracted</x:v>
      </x:c>
      <x:c r="S95" s="5" t="str">
        <x:v>Unassigned</x:v>
      </x:c>
      <x:c r="T95" s="5" t="str">
        <x:v>Unassigned</x:v>
      </x:c>
      <x:c r="U95" s="5" t="str"/>
      <x:c r="V95" s="5" t="str"/>
      <x:c r="W95" s="5" t="str">
        <x:v>Not extracted</x:v>
      </x:c>
      <x:c r="X95" s="5" t="str">
        <x:v>Pending eligibility screening</x:v>
      </x:c>
      <x:c r="Y95" s="5" t="str">
        <x:v>zhu2026_C0081</x:v>
      </x:c>
      <x:c r="Z95" s="5" t="str">
        <x:v>Generated; needs verification</x:v>
      </x:c>
      <x:c r="AA95" s="5" t="str">
        <x:v>No manuscript yet</x:v>
      </x:c>
      <x:c r="AB95" s="5" t="str">
        <x:v>No</x:v>
      </x:c>
      <x:c r="AC95" s="5" t="str">
        <x:v>Not checked</x:v>
      </x:c>
      <x:c r="AD95" s="5" t="str">
        <x:v>Unscreened</x:v>
      </x:c>
      <x:c r="AE95" s="5" t="str">
        <x:v>Not linked</x:v>
      </x:c>
      <x:c r="AF95" s="5" t="str">
        <x:v>S05; S16</x:v>
      </x:c>
      <x:c r="AG95" s="5" t="str">
        <x:v>Crossref REST API</x:v>
      </x:c>
      <x:c r="AH95" s="5" t="str">
        <x:v>Preprint / repository record</x:v>
      </x:c>
      <x:c r="AI95" s="5" t="str">
        <x:v>Metadata only</x:v>
      </x:c>
      <x:c r="AJ95" s="5" t="str">
        <x:v>Verified against deposited metadata; publisher citation check pending</x:v>
      </x:c>
      <x:c r="AK95" s="5" t="str">
        <x:v>posted-content</x:v>
      </x:c>
      <x:c r="AL95" s="5" t="str">
        <x:v>Title-scope candidate</x:v>
      </x:c>
      <x:c r="AM95" s="5" t="str">
        <x:v>review-paper/search-strategy/runs/PILOT-20261013-01/S05.json</x:v>
      </x:c>
      <x:c r="AN95" s="8" t="d">
        <x:v>2026-10-13T00:00:00.000Z</x:v>
      </x:c>
    </x:row>
    <x:row r="96" ht="53" customHeight="1">
      <x:c r="A96" s="5" t="str">
        <x:v>C0085</x:v>
      </x:c>
      <x:c r="B96" s="5" t="str">
        <x:v>Unassigned</x:v>
      </x:c>
      <x:c r="C96" s="5" t="str">
        <x:v>Unassigned</x:v>
      </x:c>
      <x:c r="D96" s="5" t="str">
        <x:v>Unassigned</x:v>
      </x:c>
      <x:c r="E96" s="5" t="str">
        <x:v>Unassigned</x:v>
      </x:c>
      <x:c r="F96" s="5" t="str">
        <x:v>Archana Burujwale; Anuj Tadkase; Tejas Hirve; Yash Kolekar; Sumedh Bambal</x:v>
      </x:c>
      <x:c r="G96" s="5" t="str">
        <x:v>Archana Burujwale</x:v>
      </x:c>
      <x:c r="H96" s="5" t="n">
        <x:v>2025</x:v>
      </x:c>
      <x:c r="I96" s="5" t="str">
        <x:v>Predictive Monitoring and Anomaly Detection in Industrial Systems</x:v>
      </x:c>
      <x:c r="J96" s="5" t="str">
        <x:v>Proceedings of the 3rd International Conference on Futuristic Technology</x:v>
      </x:c>
      <x:c r="K96" s="5" t="str">
        <x:v>10.5220/0013583700004664</x:v>
      </x:c>
      <x:c r="L96" s="5" t="str"/>
      <x:c r="M96" s="5" t="str">
        <x:v>https://www.scitepress.org/DigitalLibrary/Link.aspx?doi=10.5220/0013583700004664</x:v>
      </x:c>
      <x:c r="N96" s="5" t="str">
        <x:v>https://doi.org/10.5220/0013583700004664</x:v>
      </x:c>
      <x:c r="O96" s="5" t="str">
        <x:v>Not extracted</x:v>
      </x:c>
      <x:c r="P96" s="5" t="str">
        <x:v>Not extracted</x:v>
      </x:c>
      <x:c r="Q96" s="5" t="str">
        <x:v>Not extracted</x:v>
      </x:c>
      <x:c r="R96" s="5" t="str">
        <x:v>Not extracted</x:v>
      </x:c>
      <x:c r="S96" s="5" t="str">
        <x:v>Unassigned</x:v>
      </x:c>
      <x:c r="T96" s="5" t="str">
        <x:v>Unassigned</x:v>
      </x:c>
      <x:c r="U96" s="5" t="str"/>
      <x:c r="V96" s="5" t="str"/>
      <x:c r="W96" s="5" t="str">
        <x:v>Not extracted</x:v>
      </x:c>
      <x:c r="X96" s="5" t="str">
        <x:v>Pending eligibility screening</x:v>
      </x:c>
      <x:c r="Y96" s="5" t="str">
        <x:v>burujwale2025_C0085</x:v>
      </x:c>
      <x:c r="Z96" s="5" t="str">
        <x:v>Generated; needs verification</x:v>
      </x:c>
      <x:c r="AA96" s="5" t="str">
        <x:v>No manuscript yet</x:v>
      </x:c>
      <x:c r="AB96" s="5" t="str">
        <x:v>No</x:v>
      </x:c>
      <x:c r="AC96" s="5" t="str">
        <x:v>Not checked</x:v>
      </x:c>
      <x:c r="AD96" s="5" t="str">
        <x:v>Unscreened</x:v>
      </x:c>
      <x:c r="AE96" s="5" t="str">
        <x:v>Not linked</x:v>
      </x:c>
      <x:c r="AF96" s="5" t="str">
        <x:v>S05</x:v>
      </x:c>
      <x:c r="AG96" s="5" t="str">
        <x:v>Crossref REST API</x:v>
      </x:c>
      <x:c r="AH96" s="5" t="str">
        <x:v>Journal / conference record; peer review not audited</x:v>
      </x:c>
      <x:c r="AI96" s="5" t="str">
        <x:v>Metadata only</x:v>
      </x:c>
      <x:c r="AJ96" s="5" t="str">
        <x:v>Verified against deposited metadata; publisher citation check pending</x:v>
      </x:c>
      <x:c r="AK96" s="5" t="str">
        <x:v>proceedings-article</x:v>
      </x:c>
      <x:c r="AL96" s="5" t="str">
        <x:v>Title-scope candidate</x:v>
      </x:c>
      <x:c r="AM96" s="5" t="str">
        <x:v>review-paper/search-strategy/runs/PILOT-20261013-01/S05.json</x:v>
      </x:c>
      <x:c r="AN96" s="8" t="d">
        <x:v>2026-10-13T00:00:00.000Z</x:v>
      </x:c>
    </x:row>
    <x:row r="97" ht="53" customHeight="1">
      <x:c r="A97" s="5" t="str">
        <x:v>C0087</x:v>
      </x:c>
      <x:c r="B97" s="5" t="str">
        <x:v>Unassigned</x:v>
      </x:c>
      <x:c r="C97" s="5" t="str">
        <x:v>Unassigned</x:v>
      </x:c>
      <x:c r="D97" s="5" t="str">
        <x:v>Unassigned</x:v>
      </x:c>
      <x:c r="E97" s="5" t="str">
        <x:v>Unassigned</x:v>
      </x:c>
      <x:c r="F97" s="5" t="str">
        <x:v>Yifei Ge; Lin Meng</x:v>
      </x:c>
      <x:c r="G97" s="5" t="str">
        <x:v>Yifei Ge</x:v>
      </x:c>
      <x:c r="H97" s="5" t="n">
        <x:v>2024</x:v>
      </x:c>
      <x:c r="I97" s="5" t="str">
        <x:v>A Powerful Object Detection Network for Industrial Anomaly Detection</x:v>
      </x:c>
      <x:c r="J97" s="5" t="str">
        <x:v>2024 6th International Conference on Industrial Artificial Intelligence (IAI)</x:v>
      </x:c>
      <x:c r="K97" s="5" t="str">
        <x:v>10.1109/iai63275.2024.10730509</x:v>
      </x:c>
      <x:c r="L97" s="5" t="str"/>
      <x:c r="M97" s="5" t="str">
        <x:v>https://ieeexplore.ieee.org/document/10730509/</x:v>
      </x:c>
      <x:c r="N97" s="5" t="str">
        <x:v>https://doi.org/10.1109/iai63275.2024.10730509</x:v>
      </x:c>
      <x:c r="O97" s="5" t="str">
        <x:v>Not extracted</x:v>
      </x:c>
      <x:c r="P97" s="5" t="str">
        <x:v>Not extracted</x:v>
      </x:c>
      <x:c r="Q97" s="5" t="str">
        <x:v>Not extracted</x:v>
      </x:c>
      <x:c r="R97" s="5" t="str">
        <x:v>Not extracted</x:v>
      </x:c>
      <x:c r="S97" s="5" t="str">
        <x:v>Unassigned</x:v>
      </x:c>
      <x:c r="T97" s="5" t="str">
        <x:v>Unassigned</x:v>
      </x:c>
      <x:c r="U97" s="5" t="str"/>
      <x:c r="V97" s="5" t="str"/>
      <x:c r="W97" s="5" t="str">
        <x:v>Not extracted</x:v>
      </x:c>
      <x:c r="X97" s="5" t="str">
        <x:v>Pending eligibility screening</x:v>
      </x:c>
      <x:c r="Y97" s="5" t="str">
        <x:v>ge2024_C0087</x:v>
      </x:c>
      <x:c r="Z97" s="5" t="str">
        <x:v>Generated; needs verification</x:v>
      </x:c>
      <x:c r="AA97" s="5" t="str">
        <x:v>No manuscript yet</x:v>
      </x:c>
      <x:c r="AB97" s="5" t="str">
        <x:v>No</x:v>
      </x:c>
      <x:c r="AC97" s="5" t="str">
        <x:v>Not checked</x:v>
      </x:c>
      <x:c r="AD97" s="5" t="str">
        <x:v>Unscreened</x:v>
      </x:c>
      <x:c r="AE97" s="5" t="str">
        <x:v>Not linked</x:v>
      </x:c>
      <x:c r="AF97" s="5" t="str">
        <x:v>S05</x:v>
      </x:c>
      <x:c r="AG97" s="5" t="str">
        <x:v>Crossref REST API</x:v>
      </x:c>
      <x:c r="AH97" s="5" t="str">
        <x:v>Journal / conference record; peer review not audited</x:v>
      </x:c>
      <x:c r="AI97" s="5" t="str">
        <x:v>Metadata only</x:v>
      </x:c>
      <x:c r="AJ97" s="5" t="str">
        <x:v>Verified against deposited metadata; publisher citation check pending</x:v>
      </x:c>
      <x:c r="AK97" s="5" t="str">
        <x:v>proceedings-article</x:v>
      </x:c>
      <x:c r="AL97" s="5" t="str">
        <x:v>Title-scope candidate</x:v>
      </x:c>
      <x:c r="AM97" s="5" t="str">
        <x:v>review-paper/search-strategy/runs/PILOT-20261013-01/S05.json</x:v>
      </x:c>
      <x:c r="AN97" s="8" t="d">
        <x:v>2026-10-13T00:00:00.000Z</x:v>
      </x:c>
    </x:row>
    <x:row r="98" ht="53" customHeight="1">
      <x:c r="A98" s="5" t="str">
        <x:v>C0088</x:v>
      </x:c>
      <x:c r="B98" s="5" t="str">
        <x:v>Unassigned</x:v>
      </x:c>
      <x:c r="C98" s="5" t="str">
        <x:v>Unassigned</x:v>
      </x:c>
      <x:c r="D98" s="5" t="str">
        <x:v>Unassigned</x:v>
      </x:c>
      <x:c r="E98" s="5" t="str">
        <x:v>Unassigned</x:v>
      </x:c>
      <x:c r="F98" s="5" t="str">
        <x:v>Jiahao Shan; Donghong Cai; Fang Fang; Zahid Khan; Pingzhi Fan</x:v>
      </x:c>
      <x:c r="G98" s="5" t="str">
        <x:v>Jiahao Shan</x:v>
      </x:c>
      <x:c r="H98" s="5" t="n">
        <x:v>2024</x:v>
      </x:c>
      <x:c r="I98" s="5" t="str">
        <x:v>Unsupervised Multivariate Time Series Data Anomaly Detection in Industrial IoT: A Confidence Adversarial Autoencoder Network</x:v>
      </x:c>
      <x:c r="J98" s="5" t="str">
        <x:v>IEEE Open Journal of the Communications Society</x:v>
      </x:c>
      <x:c r="K98" s="5" t="str">
        <x:v>10.1109/ojcoms.2024.3511951</x:v>
      </x:c>
      <x:c r="L98" s="5" t="str"/>
      <x:c r="M98" s="5" t="str">
        <x:v>https://ieeexplore.ieee.org/document/10778252/</x:v>
      </x:c>
      <x:c r="N98" s="5" t="str">
        <x:v>https://doi.org/10.1109/ojcoms.2024.3511951</x:v>
      </x:c>
      <x:c r="O98" s="5" t="str">
        <x:v>Not extracted</x:v>
      </x:c>
      <x:c r="P98" s="5" t="str">
        <x:v>Not extracted</x:v>
      </x:c>
      <x:c r="Q98" s="5" t="str">
        <x:v>Not extracted</x:v>
      </x:c>
      <x:c r="R98" s="5" t="str">
        <x:v>Not extracted</x:v>
      </x:c>
      <x:c r="S98" s="5" t="str">
        <x:v>Unassigned</x:v>
      </x:c>
      <x:c r="T98" s="5" t="str">
        <x:v>Unassigned</x:v>
      </x:c>
      <x:c r="U98" s="5" t="str"/>
      <x:c r="V98" s="5" t="str"/>
      <x:c r="W98" s="5" t="str">
        <x:v>Not extracted</x:v>
      </x:c>
      <x:c r="X98" s="5" t="str">
        <x:v>Pending eligibility screening</x:v>
      </x:c>
      <x:c r="Y98" s="5" t="str">
        <x:v>shan2024_C0088</x:v>
      </x:c>
      <x:c r="Z98" s="5" t="str">
        <x:v>Generated; needs verification</x:v>
      </x:c>
      <x:c r="AA98" s="5" t="str">
        <x:v>No manuscript yet</x:v>
      </x:c>
      <x:c r="AB98" s="5" t="str">
        <x:v>No</x:v>
      </x:c>
      <x:c r="AC98" s="5" t="str">
        <x:v>Not checked</x:v>
      </x:c>
      <x:c r="AD98" s="5" t="str">
        <x:v>Unscreened</x:v>
      </x:c>
      <x:c r="AE98" s="5" t="str">
        <x:v>Not linked</x:v>
      </x:c>
      <x:c r="AF98" s="5" t="str">
        <x:v>S05</x:v>
      </x:c>
      <x:c r="AG98" s="5" t="str">
        <x:v>Crossref REST API</x:v>
      </x:c>
      <x:c r="AH98" s="5" t="str">
        <x:v>Journal / conference record; peer review not audited</x:v>
      </x:c>
      <x:c r="AI98" s="5" t="str">
        <x:v>Metadata only</x:v>
      </x:c>
      <x:c r="AJ98" s="5" t="str">
        <x:v>Verified against deposited metadata; publisher citation check pending</x:v>
      </x:c>
      <x:c r="AK98" s="5" t="str">
        <x:v>journal-article</x:v>
      </x:c>
      <x:c r="AL98" s="5" t="str">
        <x:v>Title-scope candidate</x:v>
      </x:c>
      <x:c r="AM98" s="5" t="str">
        <x:v>review-paper/search-strategy/runs/PILOT-20261013-01/S05.json</x:v>
      </x:c>
      <x:c r="AN98" s="8" t="d">
        <x:v>2026-10-13T00:00:00.000Z</x:v>
      </x:c>
    </x:row>
    <x:row r="99" ht="53" customHeight="1">
      <x:c r="A99" s="5" t="str">
        <x:v>C0089</x:v>
      </x:c>
      <x:c r="B99" s="5" t="str">
        <x:v>Unassigned</x:v>
      </x:c>
      <x:c r="C99" s="5" t="str">
        <x:v>Unassigned</x:v>
      </x:c>
      <x:c r="D99" s="5" t="str">
        <x:v>Unassigned</x:v>
      </x:c>
      <x:c r="E99" s="5" t="str">
        <x:v>Unassigned</x:v>
      </x:c>
      <x:c r="F99" s="5" t="str">
        <x:v>Chunsheng Guo; Hongliang Jiang; Na Ying; Luhang Shen</x:v>
      </x:c>
      <x:c r="G99" s="5" t="str">
        <x:v>Chunsheng Guo</x:v>
      </x:c>
      <x:c r="H99" s="5" t="n">
        <x:v>2026</x:v>
      </x:c>
      <x:c r="I99" s="5" t="str">
        <x:v>Boundary-Aware Structural-Semantic Pseudo Anomaly Learning for Industrial Anomaly Detection</x:v>
      </x:c>
      <x:c r="J99" s="5" t="str"/>
      <x:c r="K99" s="5" t="str">
        <x:v>10.21203/rs.3.rs-9925157/v1</x:v>
      </x:c>
      <x:c r="L99" s="5" t="str"/>
      <x:c r="M99" s="5" t="str">
        <x:v>https://www.researchsquare.com/article/rs-9925157/v1</x:v>
      </x:c>
      <x:c r="N99" s="5" t="str">
        <x:v>https://doi.org/10.21203/rs.3.rs-9925157/v1</x:v>
      </x:c>
      <x:c r="O99" s="5" t="str">
        <x:v>Not extracted</x:v>
      </x:c>
      <x:c r="P99" s="5" t="str">
        <x:v>Not extracted</x:v>
      </x:c>
      <x:c r="Q99" s="5" t="str">
        <x:v>Not extracted</x:v>
      </x:c>
      <x:c r="R99" s="5" t="str">
        <x:v>Not extracted</x:v>
      </x:c>
      <x:c r="S99" s="5" t="str">
        <x:v>Unassigned</x:v>
      </x:c>
      <x:c r="T99" s="5" t="str">
        <x:v>Unassigned</x:v>
      </x:c>
      <x:c r="U99" s="5" t="str"/>
      <x:c r="V99" s="5" t="str"/>
      <x:c r="W99" s="5" t="str">
        <x:v>Not extracted</x:v>
      </x:c>
      <x:c r="X99" s="5" t="str">
        <x:v>Pending eligibility screening</x:v>
      </x:c>
      <x:c r="Y99" s="5" t="str">
        <x:v>guo2026_C0089</x:v>
      </x:c>
      <x:c r="Z99" s="5" t="str">
        <x:v>Generated; needs verification</x:v>
      </x:c>
      <x:c r="AA99" s="5" t="str">
        <x:v>No manuscript yet</x:v>
      </x:c>
      <x:c r="AB99" s="5" t="str">
        <x:v>No</x:v>
      </x:c>
      <x:c r="AC99" s="5" t="str">
        <x:v>Not checked</x:v>
      </x:c>
      <x:c r="AD99" s="5" t="str">
        <x:v>Unscreened</x:v>
      </x:c>
      <x:c r="AE99" s="5" t="str">
        <x:v>Not linked</x:v>
      </x:c>
      <x:c r="AF99" s="5" t="str">
        <x:v>S02; S05</x:v>
      </x:c>
      <x:c r="AG99" s="5" t="str">
        <x:v>Crossref REST API</x:v>
      </x:c>
      <x:c r="AH99" s="5" t="str">
        <x:v>Preprint / repository record</x:v>
      </x:c>
      <x:c r="AI99" s="5" t="str">
        <x:v>Metadata only</x:v>
      </x:c>
      <x:c r="AJ99" s="5" t="str">
        <x:v>Verified against deposited metadata; publisher citation check pending</x:v>
      </x:c>
      <x:c r="AK99" s="5" t="str">
        <x:v>posted-content</x:v>
      </x:c>
      <x:c r="AL99" s="5" t="str">
        <x:v>Title-scope candidate</x:v>
      </x:c>
      <x:c r="AM99" s="5" t="str">
        <x:v>review-paper/search-strategy/runs/PILOT-20261013-01/S05.json</x:v>
      </x:c>
      <x:c r="AN99" s="8" t="d">
        <x:v>2026-10-13T00:00:00.000Z</x:v>
      </x:c>
    </x:row>
    <x:row r="100" ht="68" customHeight="1">
      <x:c r="A100" s="5" t="str">
        <x:v>C0090</x:v>
      </x:c>
      <x:c r="B100" s="5" t="str">
        <x:v>Unassigned</x:v>
      </x:c>
      <x:c r="C100" s="5" t="str">
        <x:v>Unassigned</x:v>
      </x:c>
      <x:c r="D100" s="5" t="str">
        <x:v>Unassigned</x:v>
      </x:c>
      <x:c r="E100" s="5" t="str">
        <x:v>Unassigned</x:v>
      </x:c>
      <x:c r="F100" s="5" t="str">
        <x:v>Oliver Eigner; Philipp Kreimel; Paul Tavolato</x:v>
      </x:c>
      <x:c r="G100" s="5" t="str">
        <x:v>Oliver Eigner</x:v>
      </x:c>
      <x:c r="H100" s="5" t="n">
        <x:v>2018</x:v>
      </x:c>
      <x:c r="I100" s="5" t="str">
        <x:v>Attacks on Industrial Control Systems - Modeling and Anomaly Detection</x:v>
      </x:c>
      <x:c r="J100" s="5" t="str">
        <x:v>Proceedings of the 4th International Conference on Information Systems Security and Privacy</x:v>
      </x:c>
      <x:c r="K100" s="5" t="str">
        <x:v>10.5220/0006755405810588</x:v>
      </x:c>
      <x:c r="L100" s="5" t="str"/>
      <x:c r="M100" s="5" t="str">
        <x:v>http://www.scitepress.org/DigitalLibrary/Link.aspx?doi=10.5220/0006755405810588</x:v>
      </x:c>
      <x:c r="N100" s="5" t="str">
        <x:v>https://doi.org/10.5220/0006755405810588</x:v>
      </x:c>
      <x:c r="O100" s="5" t="str">
        <x:v>Not extracted</x:v>
      </x:c>
      <x:c r="P100" s="5" t="str">
        <x:v>Not extracted</x:v>
      </x:c>
      <x:c r="Q100" s="5" t="str">
        <x:v>Not extracted</x:v>
      </x:c>
      <x:c r="R100" s="5" t="str">
        <x:v>Not extracted</x:v>
      </x:c>
      <x:c r="S100" s="5" t="str">
        <x:v>Unassigned</x:v>
      </x:c>
      <x:c r="T100" s="5" t="str">
        <x:v>Unassigned</x:v>
      </x:c>
      <x:c r="U100" s="5" t="str"/>
      <x:c r="V100" s="5" t="str"/>
      <x:c r="W100" s="5" t="str">
        <x:v>Not extracted</x:v>
      </x:c>
      <x:c r="X100" s="5" t="str">
        <x:v>Pending eligibility screening</x:v>
      </x:c>
      <x:c r="Y100" s="5" t="str">
        <x:v>eigner2018_C0090</x:v>
      </x:c>
      <x:c r="Z100" s="5" t="str">
        <x:v>Generated; needs verification</x:v>
      </x:c>
      <x:c r="AA100" s="5" t="str">
        <x:v>No manuscript yet</x:v>
      </x:c>
      <x:c r="AB100" s="5" t="str">
        <x:v>No</x:v>
      </x:c>
      <x:c r="AC100" s="5" t="str">
        <x:v>Not checked</x:v>
      </x:c>
      <x:c r="AD100" s="5" t="str">
        <x:v>Unscreened</x:v>
      </x:c>
      <x:c r="AE100" s="5" t="str">
        <x:v>Not linked</x:v>
      </x:c>
      <x:c r="AF100" s="5" t="str">
        <x:v>S05; S07</x:v>
      </x:c>
      <x:c r="AG100" s="5" t="str">
        <x:v>Crossref REST API</x:v>
      </x:c>
      <x:c r="AH100" s="5" t="str">
        <x:v>Journal / conference record; peer review not audited</x:v>
      </x:c>
      <x:c r="AI100" s="5" t="str">
        <x:v>Metadata only</x:v>
      </x:c>
      <x:c r="AJ100" s="5" t="str">
        <x:v>Verified against deposited metadata; publisher citation check pending</x:v>
      </x:c>
      <x:c r="AK100" s="5" t="str">
        <x:v>proceedings-article</x:v>
      </x:c>
      <x:c r="AL100" s="5" t="str">
        <x:v>Title-scope candidate</x:v>
      </x:c>
      <x:c r="AM100" s="5" t="str">
        <x:v>review-paper/search-strategy/runs/PILOT-20261013-01/S05.json</x:v>
      </x:c>
      <x:c r="AN100" s="8" t="d">
        <x:v>2026-10-13T00:00:00.000Z</x:v>
      </x:c>
    </x:row>
    <x:row r="101" ht="53" customHeight="1">
      <x:c r="A101" s="5" t="str">
        <x:v>C0091</x:v>
      </x:c>
      <x:c r="B101" s="5" t="str">
        <x:v>Unassigned</x:v>
      </x:c>
      <x:c r="C101" s="5" t="str">
        <x:v>Unassigned</x:v>
      </x:c>
      <x:c r="D101" s="5" t="str">
        <x:v>Unassigned</x:v>
      </x:c>
      <x:c r="E101" s="5" t="str">
        <x:v>Unassigned</x:v>
      </x:c>
      <x:c r="F101" s="5" t="str">
        <x:v>Chinnaraji Annamalai</x:v>
      </x:c>
      <x:c r="G101" s="5" t="str">
        <x:v>Chinnaraji Annamalai</x:v>
      </x:c>
      <x:c r="H101" s="5" t="n">
        <x:v>2026</x:v>
      </x:c>
      <x:c r="I101" s="5" t="str">
        <x:v>Trivariate Normal Distribution in Machine Learning for Industrial Anomaly Detection</x:v>
      </x:c>
      <x:c r="J101" s="5" t="str"/>
      <x:c r="K101" s="5" t="str">
        <x:v>10.33774/coe-2026-lgqh5-v3</x:v>
      </x:c>
      <x:c r="L101" s="5" t="str"/>
      <x:c r="M101" s="5" t="str">
        <x:v>https://www.cambridge.org/engage/coe/article-details/6a0570364770e67d92e9a6d2</x:v>
      </x:c>
      <x:c r="N101" s="5" t="str">
        <x:v>https://doi.org/10.33774/coe-2026-lgqh5-v3</x:v>
      </x:c>
      <x:c r="O101" s="5" t="str">
        <x:v>Not extracted</x:v>
      </x:c>
      <x:c r="P101" s="5" t="str">
        <x:v>Not extracted</x:v>
      </x:c>
      <x:c r="Q101" s="5" t="str">
        <x:v>Not extracted</x:v>
      </x:c>
      <x:c r="R101" s="5" t="str">
        <x:v>Not extracted</x:v>
      </x:c>
      <x:c r="S101" s="5" t="str">
        <x:v>Unassigned</x:v>
      </x:c>
      <x:c r="T101" s="5" t="str">
        <x:v>Unassigned</x:v>
      </x:c>
      <x:c r="U101" s="5" t="str"/>
      <x:c r="V101" s="5" t="str"/>
      <x:c r="W101" s="5" t="str">
        <x:v>Not extracted</x:v>
      </x:c>
      <x:c r="X101" s="5" t="str">
        <x:v>Pending eligibility screening</x:v>
      </x:c>
      <x:c r="Y101" s="5" t="str">
        <x:v>annamalai2026_C0091</x:v>
      </x:c>
      <x:c r="Z101" s="5" t="str">
        <x:v>Generated; needs verification</x:v>
      </x:c>
      <x:c r="AA101" s="5" t="str">
        <x:v>No manuscript yet</x:v>
      </x:c>
      <x:c r="AB101" s="5" t="str">
        <x:v>No</x:v>
      </x:c>
      <x:c r="AC101" s="5" t="str">
        <x:v>Not checked</x:v>
      </x:c>
      <x:c r="AD101" s="5" t="str">
        <x:v>Unscreened</x:v>
      </x:c>
      <x:c r="AE101" s="5" t="str">
        <x:v>Not linked</x:v>
      </x:c>
      <x:c r="AF101" s="5" t="str">
        <x:v>S05</x:v>
      </x:c>
      <x:c r="AG101" s="5" t="str">
        <x:v>Crossref REST API</x:v>
      </x:c>
      <x:c r="AH101" s="5" t="str">
        <x:v>Preprint / repository record</x:v>
      </x:c>
      <x:c r="AI101" s="5" t="str">
        <x:v>Metadata only</x:v>
      </x:c>
      <x:c r="AJ101" s="5" t="str">
        <x:v>Verified against deposited metadata; publisher citation check pending</x:v>
      </x:c>
      <x:c r="AK101" s="5" t="str">
        <x:v>posted-content</x:v>
      </x:c>
      <x:c r="AL101" s="5" t="str">
        <x:v>Title-scope candidate</x:v>
      </x:c>
      <x:c r="AM101" s="5" t="str">
        <x:v>review-paper/search-strategy/runs/PILOT-20261013-01/S05.json</x:v>
      </x:c>
      <x:c r="AN101" s="8" t="d">
        <x:v>2026-10-13T00:00:00.000Z</x:v>
      </x:c>
    </x:row>
    <x:row r="102" ht="53" customHeight="1">
      <x:c r="A102" s="5" t="str">
        <x:v>C0094</x:v>
      </x:c>
      <x:c r="B102" s="5" t="str">
        <x:v>Unassigned</x:v>
      </x:c>
      <x:c r="C102" s="5" t="str">
        <x:v>Unassigned</x:v>
      </x:c>
      <x:c r="D102" s="5" t="str">
        <x:v>Unassigned</x:v>
      </x:c>
      <x:c r="E102" s="5" t="str">
        <x:v>Unassigned</x:v>
      </x:c>
      <x:c r="F102" s="5" t="str">
        <x:v>Chinnaraji Annamalai</x:v>
      </x:c>
      <x:c r="G102" s="5" t="str">
        <x:v>Chinnaraji Annamalai</x:v>
      </x:c>
      <x:c r="H102" s="5" t="n">
        <x:v>2026</x:v>
      </x:c>
      <x:c r="I102" s="5" t="str">
        <x:v>Machine Learning for Industrial Anomaly Detection: A Probabilistic Intelligence Approach</x:v>
      </x:c>
      <x:c r="J102" s="5" t="str"/>
      <x:c r="K102" s="5" t="str">
        <x:v>10.33774/coe-2026-3bzkc</x:v>
      </x:c>
      <x:c r="L102" s="5" t="str"/>
      <x:c r="M102" s="5" t="str">
        <x:v>https://www.cambridge.org/engage/coe/article-details/69e9fa5c810b9dcc8272dc59</x:v>
      </x:c>
      <x:c r="N102" s="5" t="str">
        <x:v>https://doi.org/10.33774/coe-2026-3bzkc</x:v>
      </x:c>
      <x:c r="O102" s="5" t="str">
        <x:v>Not extracted</x:v>
      </x:c>
      <x:c r="P102" s="5" t="str">
        <x:v>Not extracted</x:v>
      </x:c>
      <x:c r="Q102" s="5" t="str">
        <x:v>Not extracted</x:v>
      </x:c>
      <x:c r="R102" s="5" t="str">
        <x:v>Not extracted</x:v>
      </x:c>
      <x:c r="S102" s="5" t="str">
        <x:v>Unassigned</x:v>
      </x:c>
      <x:c r="T102" s="5" t="str">
        <x:v>Unassigned</x:v>
      </x:c>
      <x:c r="U102" s="5" t="str"/>
      <x:c r="V102" s="5" t="str"/>
      <x:c r="W102" s="5" t="str">
        <x:v>Not extracted</x:v>
      </x:c>
      <x:c r="X102" s="5" t="str">
        <x:v>Pending eligibility screening</x:v>
      </x:c>
      <x:c r="Y102" s="5" t="str">
        <x:v>annamalai2026_C0094</x:v>
      </x:c>
      <x:c r="Z102" s="5" t="str">
        <x:v>Generated; needs verification</x:v>
      </x:c>
      <x:c r="AA102" s="5" t="str">
        <x:v>No manuscript yet</x:v>
      </x:c>
      <x:c r="AB102" s="5" t="str">
        <x:v>No</x:v>
      </x:c>
      <x:c r="AC102" s="5" t="str">
        <x:v>Not checked</x:v>
      </x:c>
      <x:c r="AD102" s="5" t="str">
        <x:v>Unscreened</x:v>
      </x:c>
      <x:c r="AE102" s="5" t="str">
        <x:v>Not linked</x:v>
      </x:c>
      <x:c r="AF102" s="5" t="str">
        <x:v>S05</x:v>
      </x:c>
      <x:c r="AG102" s="5" t="str">
        <x:v>Crossref REST API</x:v>
      </x:c>
      <x:c r="AH102" s="5" t="str">
        <x:v>Preprint / repository record</x:v>
      </x:c>
      <x:c r="AI102" s="5" t="str">
        <x:v>Metadata only</x:v>
      </x:c>
      <x:c r="AJ102" s="5" t="str">
        <x:v>Verified against deposited metadata; publisher citation check pending</x:v>
      </x:c>
      <x:c r="AK102" s="5" t="str">
        <x:v>posted-content</x:v>
      </x:c>
      <x:c r="AL102" s="5" t="str">
        <x:v>Title-scope candidate</x:v>
      </x:c>
      <x:c r="AM102" s="5" t="str">
        <x:v>review-paper/search-strategy/runs/PILOT-20261013-01/S05.json</x:v>
      </x:c>
      <x:c r="AN102" s="8" t="d">
        <x:v>2026-10-13T00:00:00.000Z</x:v>
      </x:c>
    </x:row>
    <x:row r="103" ht="83" customHeight="1">
      <x:c r="A103" s="5" t="str">
        <x:v>C0095</x:v>
      </x:c>
      <x:c r="B103" s="5" t="str">
        <x:v>Unassigned</x:v>
      </x:c>
      <x:c r="C103" s="5" t="str">
        <x:v>Unassigned</x:v>
      </x:c>
      <x:c r="D103" s="5" t="str">
        <x:v>Unassigned</x:v>
      </x:c>
      <x:c r="E103" s="5" t="str">
        <x:v>Unassigned</x:v>
      </x:c>
      <x:c r="F103" s="5" t="str">
        <x:v>Shuaiqi Yuan; Xiaoge Zhang</x:v>
      </x:c>
      <x:c r="G103" s="5" t="str">
        <x:v>Shuaiqi Yuan</x:v>
      </x:c>
      <x:c r="H103" s="5" t="n">
        <x:v>2025</x:v>
      </x:c>
      <x:c r="I103" s="5" t="str">
        <x:v>Trustworthy Anomaly Detection for Industrial Control Systems via Conformal Deep Autoencoder</x:v>
      </x:c>
      <x:c r="J103" s="5" t="str">
        <x:v>35th European Safety and Reliability Conference (ESREL 2025) and the 33rd Society for Risk Analysis Europe Conference (SRA-E 2025)</x:v>
      </x:c>
      <x:c r="K103" s="5" t="str">
        <x:v>10.3850/978-981-94-3281-3_esrel-sra-e2025-p4806-cd</x:v>
      </x:c>
      <x:c r="L103" s="5" t="str"/>
      <x:c r="M103" s="5" t="str">
        <x:v>https://rpsonline.com.sg/proceedings/esrel-sra-e2025/html/ESREL-SRA-E2025-P4806.html</x:v>
      </x:c>
      <x:c r="N103" s="5" t="str">
        <x:v>https://doi.org/10.3850/978-981-94-3281-3_esrel-sra-e2025-p4806-cd</x:v>
      </x:c>
      <x:c r="O103" s="5" t="str">
        <x:v>Not extracted</x:v>
      </x:c>
      <x:c r="P103" s="5" t="str">
        <x:v>Not extracted</x:v>
      </x:c>
      <x:c r="Q103" s="5" t="str">
        <x:v>Not extracted</x:v>
      </x:c>
      <x:c r="R103" s="5" t="str">
        <x:v>Not extracted</x:v>
      </x:c>
      <x:c r="S103" s="5" t="str">
        <x:v>Unassigned</x:v>
      </x:c>
      <x:c r="T103" s="5" t="str">
        <x:v>Unassigned</x:v>
      </x:c>
      <x:c r="U103" s="5" t="str"/>
      <x:c r="V103" s="5" t="str"/>
      <x:c r="W103" s="5" t="str">
        <x:v>Not extracted</x:v>
      </x:c>
      <x:c r="X103" s="5" t="str">
        <x:v>Pending eligibility screening</x:v>
      </x:c>
      <x:c r="Y103" s="5" t="str">
        <x:v>yuan2025_C0095</x:v>
      </x:c>
      <x:c r="Z103" s="5" t="str">
        <x:v>Generated; needs verification</x:v>
      </x:c>
      <x:c r="AA103" s="5" t="str">
        <x:v>No manuscript yet</x:v>
      </x:c>
      <x:c r="AB103" s="5" t="str">
        <x:v>No</x:v>
      </x:c>
      <x:c r="AC103" s="5" t="str">
        <x:v>Not checked</x:v>
      </x:c>
      <x:c r="AD103" s="5" t="str">
        <x:v>Unscreened</x:v>
      </x:c>
      <x:c r="AE103" s="5" t="str">
        <x:v>Not linked</x:v>
      </x:c>
      <x:c r="AF103" s="5" t="str">
        <x:v>S07</x:v>
      </x:c>
      <x:c r="AG103" s="5" t="str">
        <x:v>Crossref REST API</x:v>
      </x:c>
      <x:c r="AH103" s="5" t="str">
        <x:v>Journal / conference record; peer review not audited</x:v>
      </x:c>
      <x:c r="AI103" s="5" t="str">
        <x:v>Metadata only</x:v>
      </x:c>
      <x:c r="AJ103" s="5" t="str">
        <x:v>Verified against deposited metadata; publisher citation check pending</x:v>
      </x:c>
      <x:c r="AK103" s="5" t="str">
        <x:v>proceedings-article</x:v>
      </x:c>
      <x:c r="AL103" s="5" t="str">
        <x:v>Title-scope candidate</x:v>
      </x:c>
      <x:c r="AM103" s="5" t="str">
        <x:v>review-paper/search-strategy/runs/PILOT-20261013-01/S07.json</x:v>
      </x:c>
      <x:c r="AN103" s="8" t="d">
        <x:v>2026-10-13T00:00:00.000Z</x:v>
      </x:c>
    </x:row>
    <x:row r="104" ht="53" customHeight="1">
      <x:c r="A104" s="5" t="str">
        <x:v>C0097</x:v>
      </x:c>
      <x:c r="B104" s="5" t="str">
        <x:v>Unassigned</x:v>
      </x:c>
      <x:c r="C104" s="5" t="str">
        <x:v>Unassigned</x:v>
      </x:c>
      <x:c r="D104" s="5" t="str">
        <x:v>Unassigned</x:v>
      </x:c>
      <x:c r="E104" s="5" t="str">
        <x:v>Unassigned</x:v>
      </x:c>
      <x:c r="F104" s="5" t="str">
        <x:v>Aditya Kapoor</x:v>
      </x:c>
      <x:c r="G104" s="5" t="str">
        <x:v>Aditya Kapoor</x:v>
      </x:c>
      <x:c r="H104" s="5" t="n">
        <x:v>2025</x:v>
      </x:c>
      <x:c r="I104" s="5" t="str">
        <x:v>Edge-AI Enabled Anomaly Detection in Industrial Control Systems: A Lightweight Approach</x:v>
      </x:c>
      <x:c r="J104" s="5" t="str"/>
      <x:c r="K104" s="5" t="str">
        <x:v>10.2139/ssrn.5364505</x:v>
      </x:c>
      <x:c r="L104" s="5" t="str"/>
      <x:c r="M104" s="5" t="str">
        <x:v>https://www.ssrn.com/abstract=5364505</x:v>
      </x:c>
      <x:c r="N104" s="5" t="str">
        <x:v>https://doi.org/10.2139/ssrn.5364505</x:v>
      </x:c>
      <x:c r="O104" s="5" t="str">
        <x:v>Not extracted</x:v>
      </x:c>
      <x:c r="P104" s="5" t="str">
        <x:v>Not extracted</x:v>
      </x:c>
      <x:c r="Q104" s="5" t="str">
        <x:v>Not extracted</x:v>
      </x:c>
      <x:c r="R104" s="5" t="str">
        <x:v>Not extracted</x:v>
      </x:c>
      <x:c r="S104" s="5" t="str">
        <x:v>Unassigned</x:v>
      </x:c>
      <x:c r="T104" s="5" t="str">
        <x:v>Unassigned</x:v>
      </x:c>
      <x:c r="U104" s="5" t="str"/>
      <x:c r="V104" s="5" t="str"/>
      <x:c r="W104" s="5" t="str">
        <x:v>Not extracted</x:v>
      </x:c>
      <x:c r="X104" s="5" t="str">
        <x:v>Pending eligibility screening</x:v>
      </x:c>
      <x:c r="Y104" s="5" t="str">
        <x:v>kapoor2025_C0097</x:v>
      </x:c>
      <x:c r="Z104" s="5" t="str">
        <x:v>Generated; needs verification</x:v>
      </x:c>
      <x:c r="AA104" s="5" t="str">
        <x:v>No manuscript yet</x:v>
      </x:c>
      <x:c r="AB104" s="5" t="str">
        <x:v>No</x:v>
      </x:c>
      <x:c r="AC104" s="5" t="str">
        <x:v>Not checked</x:v>
      </x:c>
      <x:c r="AD104" s="5" t="str">
        <x:v>Unscreened</x:v>
      </x:c>
      <x:c r="AE104" s="5" t="str">
        <x:v>Not linked</x:v>
      </x:c>
      <x:c r="AF104" s="5" t="str">
        <x:v>S07</x:v>
      </x:c>
      <x:c r="AG104" s="5" t="str">
        <x:v>Crossref REST API</x:v>
      </x:c>
      <x:c r="AH104" s="5" t="str">
        <x:v>Preprint / repository record</x:v>
      </x:c>
      <x:c r="AI104" s="5" t="str">
        <x:v>Metadata only</x:v>
      </x:c>
      <x:c r="AJ104" s="5" t="str">
        <x:v>Verified against deposited metadata; publisher citation check pending</x:v>
      </x:c>
      <x:c r="AK104" s="5" t="str">
        <x:v>posted-content</x:v>
      </x:c>
      <x:c r="AL104" s="5" t="str">
        <x:v>Title-scope candidate</x:v>
      </x:c>
      <x:c r="AM104" s="5" t="str">
        <x:v>review-paper/search-strategy/runs/PILOT-20261013-01/S07.json</x:v>
      </x:c>
      <x:c r="AN104" s="8" t="d">
        <x:v>2026-10-13T00:00:00.000Z</x:v>
      </x:c>
    </x:row>
    <x:row r="105" ht="68" customHeight="1">
      <x:c r="A105" s="5" t="str">
        <x:v>C0100</x:v>
      </x:c>
      <x:c r="B105" s="5" t="str">
        <x:v>Unassigned</x:v>
      </x:c>
      <x:c r="C105" s="5" t="str">
        <x:v>Unassigned</x:v>
      </x:c>
      <x:c r="D105" s="5" t="str">
        <x:v>Unassigned</x:v>
      </x:c>
      <x:c r="E105" s="5" t="str">
        <x:v>Unassigned</x:v>
      </x:c>
      <x:c r="F105" s="5" t="str">
        <x:v>Mayra Macas; Chunming Wu; Walter Fuertes</x:v>
      </x:c>
      <x:c r="G105" s="5" t="str">
        <x:v>Mayra Macas</x:v>
      </x:c>
      <x:c r="H105" s="5" t="n">
        <x:v>2023</x:v>
      </x:c>
      <x:c r="I105" s="5" t="str">
        <x:v>An Attention-Based Deep Generative Model for Anomaly Detection in Industrial Control Systems</x:v>
      </x:c>
      <x:c r="J105" s="5" t="str">
        <x:v>Proceedings of the 19th International Conference on Web Information Systems and Technologies</x:v>
      </x:c>
      <x:c r="K105" s="5" t="str">
        <x:v>10.5220/0012264000003584</x:v>
      </x:c>
      <x:c r="L105" s="5" t="str"/>
      <x:c r="M105" s="5" t="str">
        <x:v>https://www.scitepress.org/DigitalLibrary/Link.aspx?doi=10.5220/0012264000003584</x:v>
      </x:c>
      <x:c r="N105" s="5" t="str">
        <x:v>https://doi.org/10.5220/0012264000003584</x:v>
      </x:c>
      <x:c r="O105" s="5" t="str">
        <x:v>Not extracted</x:v>
      </x:c>
      <x:c r="P105" s="5" t="str">
        <x:v>Not extracted</x:v>
      </x:c>
      <x:c r="Q105" s="5" t="str">
        <x:v>Not extracted</x:v>
      </x:c>
      <x:c r="R105" s="5" t="str">
        <x:v>Not extracted</x:v>
      </x:c>
      <x:c r="S105" s="5" t="str">
        <x:v>Unassigned</x:v>
      </x:c>
      <x:c r="T105" s="5" t="str">
        <x:v>Unassigned</x:v>
      </x:c>
      <x:c r="U105" s="5" t="str"/>
      <x:c r="V105" s="5" t="str"/>
      <x:c r="W105" s="5" t="str">
        <x:v>Not extracted</x:v>
      </x:c>
      <x:c r="X105" s="5" t="str">
        <x:v>Pending eligibility screening</x:v>
      </x:c>
      <x:c r="Y105" s="5" t="str">
        <x:v>macas2023_C0100</x:v>
      </x:c>
      <x:c r="Z105" s="5" t="str">
        <x:v>Generated; needs verification</x:v>
      </x:c>
      <x:c r="AA105" s="5" t="str">
        <x:v>No manuscript yet</x:v>
      </x:c>
      <x:c r="AB105" s="5" t="str">
        <x:v>No</x:v>
      </x:c>
      <x:c r="AC105" s="5" t="str">
        <x:v>Not checked</x:v>
      </x:c>
      <x:c r="AD105" s="5" t="str">
        <x:v>Unscreened</x:v>
      </x:c>
      <x:c r="AE105" s="5" t="str">
        <x:v>Not linked</x:v>
      </x:c>
      <x:c r="AF105" s="5" t="str">
        <x:v>S07</x:v>
      </x:c>
      <x:c r="AG105" s="5" t="str">
        <x:v>Crossref REST API</x:v>
      </x:c>
      <x:c r="AH105" s="5" t="str">
        <x:v>Journal / conference record; peer review not audited</x:v>
      </x:c>
      <x:c r="AI105" s="5" t="str">
        <x:v>Metadata only</x:v>
      </x:c>
      <x:c r="AJ105" s="5" t="str">
        <x:v>Verified against deposited metadata; publisher citation check pending</x:v>
      </x:c>
      <x:c r="AK105" s="5" t="str">
        <x:v>proceedings-article</x:v>
      </x:c>
      <x:c r="AL105" s="5" t="str">
        <x:v>Title-scope candidate</x:v>
      </x:c>
      <x:c r="AM105" s="5" t="str">
        <x:v>review-paper/search-strategy/runs/PILOT-20261013-01/S07.json</x:v>
      </x:c>
      <x:c r="AN105" s="8" t="d">
        <x:v>2026-10-13T00:00:00.000Z</x:v>
      </x:c>
    </x:row>
    <x:row r="106" ht="53" customHeight="1">
      <x:c r="A106" s="5" t="str">
        <x:v>C0101</x:v>
      </x:c>
      <x:c r="B106" s="5" t="str">
        <x:v>Unassigned</x:v>
      </x:c>
      <x:c r="C106" s="5" t="str">
        <x:v>Unassigned</x:v>
      </x:c>
      <x:c r="D106" s="5" t="str">
        <x:v>Unassigned</x:v>
      </x:c>
      <x:c r="E106" s="5" t="str">
        <x:v>Unassigned</x:v>
      </x:c>
      <x:c r="F106" s="5" t="str">
        <x:v>yixuan gao</x:v>
      </x:c>
      <x:c r="G106" s="5" t="str">
        <x:v>yixuan gao</x:v>
      </x:c>
      <x:c r="H106" s="5" t="n">
        <x:v>2026</x:v>
      </x:c>
      <x:c r="I106" s="5" t="str">
        <x:v>Multi-Scale Transformer for Time Series Anomaly Detection Across Server and Industrial Control Domains ​</x:v>
      </x:c>
      <x:c r="J106" s="5" t="str"/>
      <x:c r="K106" s="5" t="str">
        <x:v>10.2139/ssrn.7429764</x:v>
      </x:c>
      <x:c r="L106" s="5" t="str"/>
      <x:c r="M106" s="5" t="str">
        <x:v>https://www.ssrn.com/abstract=7429764</x:v>
      </x:c>
      <x:c r="N106" s="5" t="str">
        <x:v>https://doi.org/10.2139/ssrn.7429764</x:v>
      </x:c>
      <x:c r="O106" s="5" t="str">
        <x:v>Not extracted</x:v>
      </x:c>
      <x:c r="P106" s="5" t="str">
        <x:v>Not extracted</x:v>
      </x:c>
      <x:c r="Q106" s="5" t="str">
        <x:v>Not extracted</x:v>
      </x:c>
      <x:c r="R106" s="5" t="str">
        <x:v>Not extracted</x:v>
      </x:c>
      <x:c r="S106" s="5" t="str">
        <x:v>Unassigned</x:v>
      </x:c>
      <x:c r="T106" s="5" t="str">
        <x:v>Unassigned</x:v>
      </x:c>
      <x:c r="U106" s="5" t="str"/>
      <x:c r="V106" s="5" t="str"/>
      <x:c r="W106" s="5" t="str">
        <x:v>Not extracted</x:v>
      </x:c>
      <x:c r="X106" s="5" t="str">
        <x:v>Pending eligibility screening</x:v>
      </x:c>
      <x:c r="Y106" s="5" t="str">
        <x:v>gao2026_C0101</x:v>
      </x:c>
      <x:c r="Z106" s="5" t="str">
        <x:v>Generated; needs verification</x:v>
      </x:c>
      <x:c r="AA106" s="5" t="str">
        <x:v>No manuscript yet</x:v>
      </x:c>
      <x:c r="AB106" s="5" t="str">
        <x:v>No</x:v>
      </x:c>
      <x:c r="AC106" s="5" t="str">
        <x:v>Not checked</x:v>
      </x:c>
      <x:c r="AD106" s="5" t="str">
        <x:v>Unscreened</x:v>
      </x:c>
      <x:c r="AE106" s="5" t="str">
        <x:v>Not linked</x:v>
      </x:c>
      <x:c r="AF106" s="5" t="str">
        <x:v>S07</x:v>
      </x:c>
      <x:c r="AG106" s="5" t="str">
        <x:v>Crossref REST API</x:v>
      </x:c>
      <x:c r="AH106" s="5" t="str">
        <x:v>Preprint / repository record</x:v>
      </x:c>
      <x:c r="AI106" s="5" t="str">
        <x:v>Metadata only</x:v>
      </x:c>
      <x:c r="AJ106" s="5" t="str">
        <x:v>Verified against deposited metadata; publisher citation check pending</x:v>
      </x:c>
      <x:c r="AK106" s="5" t="str">
        <x:v>posted-content</x:v>
      </x:c>
      <x:c r="AL106" s="5" t="str">
        <x:v>Title-scope candidate</x:v>
      </x:c>
      <x:c r="AM106" s="5" t="str">
        <x:v>review-paper/search-strategy/runs/PILOT-20261013-01/S07.json</x:v>
      </x:c>
      <x:c r="AN106" s="8" t="d">
        <x:v>2026-10-13T00:00:00.000Z</x:v>
      </x:c>
    </x:row>
    <x:row r="107" ht="68" customHeight="1">
      <x:c r="A107" s="5" t="str">
        <x:v>C0102</x:v>
      </x:c>
      <x:c r="B107" s="5" t="str">
        <x:v>Unassigned</x:v>
      </x:c>
      <x:c r="C107" s="5" t="str">
        <x:v>Unassigned</x:v>
      </x:c>
      <x:c r="D107" s="5" t="str">
        <x:v>Unassigned</x:v>
      </x:c>
      <x:c r="E107" s="5" t="str">
        <x:v>Unassigned</x:v>
      </x:c>
      <x:c r="F107" s="5" t="str">
        <x:v>Piotr Sobonski; Utz Roedig</x:v>
      </x:c>
      <x:c r="G107" s="5" t="str">
        <x:v>Piotr Sobonski</x:v>
      </x:c>
      <x:c r="H107" s="5" t="n">
        <x:v>2023</x:v>
      </x:c>
      <x:c r="I107" s="5" t="str">
        <x:v>Comparison of Industrial Control System Anomaly Detection Methods</x:v>
      </x:c>
      <x:c r="J107" s="5" t="str">
        <x:v>Proceedings of the 2024 Workshop on Re-design Industrial Control Systems with Security</x:v>
      </x:c>
      <x:c r="K107" s="5" t="str">
        <x:v>10.1145/3689930.3695211</x:v>
      </x:c>
      <x:c r="L107" s="5" t="str"/>
      <x:c r="M107" s="5" t="str">
        <x:v>https://dl.acm.org/doi/10.1145/3689930.3695211</x:v>
      </x:c>
      <x:c r="N107" s="5" t="str">
        <x:v>https://doi.org/10.1145/3689930.3695211</x:v>
      </x:c>
      <x:c r="O107" s="5" t="str">
        <x:v>Not extracted</x:v>
      </x:c>
      <x:c r="P107" s="5" t="str">
        <x:v>Not extracted</x:v>
      </x:c>
      <x:c r="Q107" s="5" t="str">
        <x:v>Not extracted</x:v>
      </x:c>
      <x:c r="R107" s="5" t="str">
        <x:v>Not extracted</x:v>
      </x:c>
      <x:c r="S107" s="5" t="str">
        <x:v>Unassigned</x:v>
      </x:c>
      <x:c r="T107" s="5" t="str">
        <x:v>Unassigned</x:v>
      </x:c>
      <x:c r="U107" s="5" t="str"/>
      <x:c r="V107" s="5" t="str"/>
      <x:c r="W107" s="5" t="str">
        <x:v>Not extracted</x:v>
      </x:c>
      <x:c r="X107" s="5" t="str">
        <x:v>Pending eligibility screening</x:v>
      </x:c>
      <x:c r="Y107" s="5" t="str">
        <x:v>sobonski2023_C0102</x:v>
      </x:c>
      <x:c r="Z107" s="5" t="str">
        <x:v>Generated; needs verification</x:v>
      </x:c>
      <x:c r="AA107" s="5" t="str">
        <x:v>No manuscript yet</x:v>
      </x:c>
      <x:c r="AB107" s="5" t="str">
        <x:v>No</x:v>
      </x:c>
      <x:c r="AC107" s="5" t="str">
        <x:v>Not checked</x:v>
      </x:c>
      <x:c r="AD107" s="5" t="str">
        <x:v>Unscreened</x:v>
      </x:c>
      <x:c r="AE107" s="5" t="str">
        <x:v>Not linked</x:v>
      </x:c>
      <x:c r="AF107" s="5" t="str">
        <x:v>S07</x:v>
      </x:c>
      <x:c r="AG107" s="5" t="str">
        <x:v>Crossref REST API</x:v>
      </x:c>
      <x:c r="AH107" s="5" t="str">
        <x:v>Journal / conference record; peer review not audited</x:v>
      </x:c>
      <x:c r="AI107" s="5" t="str">
        <x:v>Metadata only</x:v>
      </x:c>
      <x:c r="AJ107" s="5" t="str">
        <x:v>Verified against deposited metadata; publisher citation check pending</x:v>
      </x:c>
      <x:c r="AK107" s="5" t="str">
        <x:v>proceedings-article</x:v>
      </x:c>
      <x:c r="AL107" s="5" t="str">
        <x:v>Title-scope candidate</x:v>
      </x:c>
      <x:c r="AM107" s="5" t="str">
        <x:v>review-paper/search-strategy/runs/PILOT-20261013-01/S07.json</x:v>
      </x:c>
      <x:c r="AN107" s="8" t="d">
        <x:v>2026-10-13T00:00:00.000Z</x:v>
      </x:c>
    </x:row>
    <x:row r="108" ht="83" customHeight="1">
      <x:c r="A108" s="5" t="str">
        <x:v>C0103</x:v>
      </x:c>
      <x:c r="B108" s="5" t="str">
        <x:v>Unassigned</x:v>
      </x:c>
      <x:c r="C108" s="5" t="str">
        <x:v>Unassigned</x:v>
      </x:c>
      <x:c r="D108" s="5" t="str">
        <x:v>Unassigned</x:v>
      </x:c>
      <x:c r="E108" s="5" t="str">
        <x:v>Unassigned</x:v>
      </x:c>
      <x:c r="F108" s="5" t="str">
        <x:v>Muhammad Aqeel; Shakiba Sharifi; Marco Cristani; Francesco Setti</x:v>
      </x:c>
      <x:c r="G108" s="5" t="str">
        <x:v>Muhammad Aqeel</x:v>
      </x:c>
      <x:c r="H108" s="5" t="n">
        <x:v>2025</x:v>
      </x:c>
      <x:c r="I108" s="5" t="str">
        <x:v>Self-Supervised Iterative Refinement for Anomaly Detection in Industrial Quality Control</x:v>
      </x:c>
      <x:c r="J108" s="5" t="str">
        <x:v>Proceedings of the 20th International Joint Conference on Computer Vision, Imaging and Computer Graphics Theory and Applications</x:v>
      </x:c>
      <x:c r="K108" s="5" t="str">
        <x:v>10.5220/0013178100003912</x:v>
      </x:c>
      <x:c r="L108" s="5" t="str"/>
      <x:c r="M108" s="5" t="str">
        <x:v>https://www.scitepress.org/DigitalLibrary/Link.aspx?doi=10.5220/0013178100003912</x:v>
      </x:c>
      <x:c r="N108" s="5" t="str">
        <x:v>https://doi.org/10.5220/0013178100003912</x:v>
      </x:c>
      <x:c r="O108" s="5" t="str">
        <x:v>Not extracted</x:v>
      </x:c>
      <x:c r="P108" s="5" t="str">
        <x:v>Not extracted</x:v>
      </x:c>
      <x:c r="Q108" s="5" t="str">
        <x:v>Not extracted</x:v>
      </x:c>
      <x:c r="R108" s="5" t="str">
        <x:v>Not extracted</x:v>
      </x:c>
      <x:c r="S108" s="5" t="str">
        <x:v>Unassigned</x:v>
      </x:c>
      <x:c r="T108" s="5" t="str">
        <x:v>Unassigned</x:v>
      </x:c>
      <x:c r="U108" s="5" t="str"/>
      <x:c r="V108" s="5" t="str"/>
      <x:c r="W108" s="5" t="str">
        <x:v>Not extracted</x:v>
      </x:c>
      <x:c r="X108" s="5" t="str">
        <x:v>Pending eligibility screening</x:v>
      </x:c>
      <x:c r="Y108" s="5" t="str">
        <x:v>aqeel2025_C0103</x:v>
      </x:c>
      <x:c r="Z108" s="5" t="str">
        <x:v>Generated; needs verification</x:v>
      </x:c>
      <x:c r="AA108" s="5" t="str">
        <x:v>No manuscript yet</x:v>
      </x:c>
      <x:c r="AB108" s="5" t="str">
        <x:v>No</x:v>
      </x:c>
      <x:c r="AC108" s="5" t="str">
        <x:v>Not checked</x:v>
      </x:c>
      <x:c r="AD108" s="5" t="str">
        <x:v>Unscreened</x:v>
      </x:c>
      <x:c r="AE108" s="5" t="str">
        <x:v>Not linked</x:v>
      </x:c>
      <x:c r="AF108" s="5" t="str">
        <x:v>S07</x:v>
      </x:c>
      <x:c r="AG108" s="5" t="str">
        <x:v>Crossref REST API</x:v>
      </x:c>
      <x:c r="AH108" s="5" t="str">
        <x:v>Journal / conference record; peer review not audited</x:v>
      </x:c>
      <x:c r="AI108" s="5" t="str">
        <x:v>Metadata only</x:v>
      </x:c>
      <x:c r="AJ108" s="5" t="str">
        <x:v>Verified against deposited metadata; publisher citation check pending</x:v>
      </x:c>
      <x:c r="AK108" s="5" t="str">
        <x:v>proceedings-article</x:v>
      </x:c>
      <x:c r="AL108" s="5" t="str">
        <x:v>Title-scope candidate</x:v>
      </x:c>
      <x:c r="AM108" s="5" t="str">
        <x:v>review-paper/search-strategy/runs/PILOT-20261013-01/S07.json</x:v>
      </x:c>
      <x:c r="AN108" s="8" t="d">
        <x:v>2026-10-13T00:00:00.000Z</x:v>
      </x:c>
    </x:row>
    <x:row r="109" ht="53" customHeight="1">
      <x:c r="A109" s="5" t="str">
        <x:v>C0106</x:v>
      </x:c>
      <x:c r="B109" s="5" t="str">
        <x:v>Unassigned</x:v>
      </x:c>
      <x:c r="C109" s="5" t="str">
        <x:v>Unassigned</x:v>
      </x:c>
      <x:c r="D109" s="5" t="str">
        <x:v>Unassigned</x:v>
      </x:c>
      <x:c r="E109" s="5" t="str">
        <x:v>Unassigned</x:v>
      </x:c>
      <x:c r="F109" s="5" t="str">
        <x:v>Omayma Alla; Stéphane Mocanu</x:v>
      </x:c>
      <x:c r="G109" s="5" t="str">
        <x:v>Omayma Alla</x:v>
      </x:c>
      <x:c r="H109" s="5" t="n">
        <x:v>2026</x:v>
      </x:c>
      <x:c r="I109" s="5" t="str">
        <x:v>Automatic Instrumentation of PLC Programs for Anomaly Detection in Industrial Control Systems</x:v>
      </x:c>
      <x:c r="J109" s="5" t="str">
        <x:v>2026 IEEE International Conference on Industrial Technology (ICIT)</x:v>
      </x:c>
      <x:c r="K109" s="5" t="str">
        <x:v>10.1109/icit64854.2026.11491028</x:v>
      </x:c>
      <x:c r="L109" s="5" t="str"/>
      <x:c r="M109" s="5" t="str">
        <x:v>https://ieeexplore.ieee.org/document/11491028/</x:v>
      </x:c>
      <x:c r="N109" s="5" t="str">
        <x:v>https://doi.org/10.1109/icit64854.2026.11491028</x:v>
      </x:c>
      <x:c r="O109" s="5" t="str">
        <x:v>Not extracted</x:v>
      </x:c>
      <x:c r="P109" s="5" t="str">
        <x:v>Not extracted</x:v>
      </x:c>
      <x:c r="Q109" s="5" t="str">
        <x:v>Not extracted</x:v>
      </x:c>
      <x:c r="R109" s="5" t="str">
        <x:v>Not extracted</x:v>
      </x:c>
      <x:c r="S109" s="5" t="str">
        <x:v>Unassigned</x:v>
      </x:c>
      <x:c r="T109" s="5" t="str">
        <x:v>Unassigned</x:v>
      </x:c>
      <x:c r="U109" s="5" t="str"/>
      <x:c r="V109" s="5" t="str"/>
      <x:c r="W109" s="5" t="str">
        <x:v>Not extracted</x:v>
      </x:c>
      <x:c r="X109" s="5" t="str">
        <x:v>Pending eligibility screening</x:v>
      </x:c>
      <x:c r="Y109" s="5" t="str">
        <x:v>alla2026_C0106</x:v>
      </x:c>
      <x:c r="Z109" s="5" t="str">
        <x:v>Generated; needs verification</x:v>
      </x:c>
      <x:c r="AA109" s="5" t="str">
        <x:v>No manuscript yet</x:v>
      </x:c>
      <x:c r="AB109" s="5" t="str">
        <x:v>No</x:v>
      </x:c>
      <x:c r="AC109" s="5" t="str">
        <x:v>Not checked</x:v>
      </x:c>
      <x:c r="AD109" s="5" t="str">
        <x:v>Unscreened</x:v>
      </x:c>
      <x:c r="AE109" s="5" t="str">
        <x:v>Not linked</x:v>
      </x:c>
      <x:c r="AF109" s="5" t="str">
        <x:v>S07</x:v>
      </x:c>
      <x:c r="AG109" s="5" t="str">
        <x:v>Crossref REST API</x:v>
      </x:c>
      <x:c r="AH109" s="5" t="str">
        <x:v>Journal / conference record; peer review not audited</x:v>
      </x:c>
      <x:c r="AI109" s="5" t="str">
        <x:v>Metadata only</x:v>
      </x:c>
      <x:c r="AJ109" s="5" t="str">
        <x:v>Verified against deposited metadata; publisher citation check pending</x:v>
      </x:c>
      <x:c r="AK109" s="5" t="str">
        <x:v>proceedings-article</x:v>
      </x:c>
      <x:c r="AL109" s="5" t="str">
        <x:v>Title-scope candidate</x:v>
      </x:c>
      <x:c r="AM109" s="5" t="str">
        <x:v>review-paper/search-strategy/runs/PILOT-20261013-01/S07.json</x:v>
      </x:c>
      <x:c r="AN109" s="8" t="d">
        <x:v>2026-10-13T00:00:00.000Z</x:v>
      </x:c>
    </x:row>
    <x:row r="110" ht="53" customHeight="1">
      <x:c r="A110" s="5" t="str">
        <x:v>C0107</x:v>
      </x:c>
      <x:c r="B110" s="5" t="str">
        <x:v>Unassigned</x:v>
      </x:c>
      <x:c r="C110" s="5" t="str">
        <x:v>Unassigned</x:v>
      </x:c>
      <x:c r="D110" s="5" t="str">
        <x:v>Unassigned</x:v>
      </x:c>
      <x:c r="E110" s="5" t="str">
        <x:v>Unassigned</x:v>
      </x:c>
      <x:c r="F110" s="5" t="str">
        <x:v>Jake Cho; Seonghyeon Gong</x:v>
      </x:c>
      <x:c r="G110" s="5" t="str">
        <x:v>Jake Cho</x:v>
      </x:c>
      <x:c r="H110" s="5" t="n">
        <x:v>2023</x:v>
      </x:c>
      <x:c r="I110" s="5" t="str">
        <x:v>Dynamic Data Abstraction-Based Anomaly Detection for Industrial Control Systems</x:v>
      </x:c>
      <x:c r="J110" s="5" t="str">
        <x:v>Electronics</x:v>
      </x:c>
      <x:c r="K110" s="5" t="str">
        <x:v>10.3390/electronics13010158</x:v>
      </x:c>
      <x:c r="L110" s="5" t="str"/>
      <x:c r="M110" s="5" t="str">
        <x:v>https://www.mdpi.com/2079-9292/13/1/158</x:v>
      </x:c>
      <x:c r="N110" s="5" t="str">
        <x:v>https://doi.org/10.3390/electronics13010158</x:v>
      </x:c>
      <x:c r="O110" s="5" t="str">
        <x:v>Not extracted</x:v>
      </x:c>
      <x:c r="P110" s="5" t="str">
        <x:v>Not extracted</x:v>
      </x:c>
      <x:c r="Q110" s="5" t="str">
        <x:v>Not extracted</x:v>
      </x:c>
      <x:c r="R110" s="5" t="str">
        <x:v>Not extracted</x:v>
      </x:c>
      <x:c r="S110" s="5" t="str">
        <x:v>Unassigned</x:v>
      </x:c>
      <x:c r="T110" s="5" t="str">
        <x:v>Unassigned</x:v>
      </x:c>
      <x:c r="U110" s="5" t="str"/>
      <x:c r="V110" s="5" t="str"/>
      <x:c r="W110" s="5" t="str">
        <x:v>Not extracted</x:v>
      </x:c>
      <x:c r="X110" s="5" t="str">
        <x:v>Pending eligibility screening</x:v>
      </x:c>
      <x:c r="Y110" s="5" t="str">
        <x:v>cho2023_C0107</x:v>
      </x:c>
      <x:c r="Z110" s="5" t="str">
        <x:v>Generated; needs verification</x:v>
      </x:c>
      <x:c r="AA110" s="5" t="str">
        <x:v>No manuscript yet</x:v>
      </x:c>
      <x:c r="AB110" s="5" t="str">
        <x:v>No</x:v>
      </x:c>
      <x:c r="AC110" s="5" t="str">
        <x:v>Not checked</x:v>
      </x:c>
      <x:c r="AD110" s="5" t="str">
        <x:v>Unscreened</x:v>
      </x:c>
      <x:c r="AE110" s="5" t="str">
        <x:v>Not linked</x:v>
      </x:c>
      <x:c r="AF110" s="5" t="str">
        <x:v>S07</x:v>
      </x:c>
      <x:c r="AG110" s="5" t="str">
        <x:v>Crossref REST API</x:v>
      </x:c>
      <x:c r="AH110" s="5" t="str">
        <x:v>Journal / conference record; peer review not audited</x:v>
      </x:c>
      <x:c r="AI110" s="5" t="str">
        <x:v>Metadata only</x:v>
      </x:c>
      <x:c r="AJ110" s="5" t="str">
        <x:v>Verified against deposited metadata; publisher citation check pending</x:v>
      </x:c>
      <x:c r="AK110" s="5" t="str">
        <x:v>journal-article</x:v>
      </x:c>
      <x:c r="AL110" s="5" t="str">
        <x:v>Title-scope candidate</x:v>
      </x:c>
      <x:c r="AM110" s="5" t="str">
        <x:v>review-paper/search-strategy/runs/PILOT-20261013-01/S07.json</x:v>
      </x:c>
      <x:c r="AN110" s="8" t="d">
        <x:v>2026-10-13T00:00:00.000Z</x:v>
      </x:c>
    </x:row>
    <x:row r="111" ht="53" customHeight="1">
      <x:c r="A111" s="5" t="str">
        <x:v>C0108</x:v>
      </x:c>
      <x:c r="B111" s="5" t="str">
        <x:v>Unassigned</x:v>
      </x:c>
      <x:c r="C111" s="5" t="str">
        <x:v>Unassigned</x:v>
      </x:c>
      <x:c r="D111" s="5" t="str">
        <x:v>Unassigned</x:v>
      </x:c>
      <x:c r="E111" s="5" t="str">
        <x:v>Unassigned</x:v>
      </x:c>
      <x:c r="F111" s="5" t="str">
        <x:v>Shuaiqi Yuan; Jipu Li; Chunjin Wang; Xiaoge Zhang</x:v>
      </x:c>
      <x:c r="G111" s="5" t="str">
        <x:v>Shuaiqi Yuan</x:v>
      </x:c>
      <x:c r="H111" s="5" t="n">
        <x:v>2026</x:v>
      </x:c>
      <x:c r="I111" s="5" t="str">
        <x:v>Conformal machine learning for reliable anomaly detection in industrial cyber-physical systems</x:v>
      </x:c>
      <x:c r="J111" s="5" t="str">
        <x:v>Reliability Engineering &amp;amp; System Safety</x:v>
      </x:c>
      <x:c r="K111" s="5" t="str">
        <x:v>10.1016/j.ress.2026.112417</x:v>
      </x:c>
      <x:c r="L111" s="5" t="str"/>
      <x:c r="M111" s="5" t="str">
        <x:v>https://linkinghub.elsevier.com/retrieve/pii/S0951832026002334</x:v>
      </x:c>
      <x:c r="N111" s="5" t="str">
        <x:v>https://doi.org/10.1016/j.ress.2026.112417</x:v>
      </x:c>
      <x:c r="O111" s="5" t="str">
        <x:v>Not extracted</x:v>
      </x:c>
      <x:c r="P111" s="5" t="str">
        <x:v>Not extracted</x:v>
      </x:c>
      <x:c r="Q111" s="5" t="str">
        <x:v>Not extracted</x:v>
      </x:c>
      <x:c r="R111" s="5" t="str">
        <x:v>Not extracted</x:v>
      </x:c>
      <x:c r="S111" s="5" t="str">
        <x:v>Unassigned</x:v>
      </x:c>
      <x:c r="T111" s="5" t="str">
        <x:v>Unassigned</x:v>
      </x:c>
      <x:c r="U111" s="5" t="str"/>
      <x:c r="V111" s="5" t="str"/>
      <x:c r="W111" s="5" t="str">
        <x:v>Not extracted</x:v>
      </x:c>
      <x:c r="X111" s="5" t="str">
        <x:v>Pending eligibility screening</x:v>
      </x:c>
      <x:c r="Y111" s="5" t="str">
        <x:v>yuan2026_C0108</x:v>
      </x:c>
      <x:c r="Z111" s="5" t="str">
        <x:v>Generated; needs verification</x:v>
      </x:c>
      <x:c r="AA111" s="5" t="str">
        <x:v>No manuscript yet</x:v>
      </x:c>
      <x:c r="AB111" s="5" t="str">
        <x:v>No</x:v>
      </x:c>
      <x:c r="AC111" s="5" t="str">
        <x:v>Not checked</x:v>
      </x:c>
      <x:c r="AD111" s="5" t="str">
        <x:v>Unscreened</x:v>
      </x:c>
      <x:c r="AE111" s="5" t="str">
        <x:v>Not linked</x:v>
      </x:c>
      <x:c r="AF111" s="5" t="str">
        <x:v>S07</x:v>
      </x:c>
      <x:c r="AG111" s="5" t="str">
        <x:v>Crossref REST API</x:v>
      </x:c>
      <x:c r="AH111" s="5" t="str">
        <x:v>Journal / conference record; peer review not audited</x:v>
      </x:c>
      <x:c r="AI111" s="5" t="str">
        <x:v>Metadata only</x:v>
      </x:c>
      <x:c r="AJ111" s="5" t="str">
        <x:v>Verified against deposited metadata; publisher citation check pending</x:v>
      </x:c>
      <x:c r="AK111" s="5" t="str">
        <x:v>journal-article</x:v>
      </x:c>
      <x:c r="AL111" s="5" t="str">
        <x:v>Title-scope candidate</x:v>
      </x:c>
      <x:c r="AM111" s="5" t="str">
        <x:v>review-paper/search-strategy/runs/PILOT-20261013-01/S07.json</x:v>
      </x:c>
      <x:c r="AN111" s="8" t="d">
        <x:v>2026-10-13T00:00:00.000Z</x:v>
      </x:c>
    </x:row>
    <x:row r="112" ht="53" customHeight="1">
      <x:c r="A112" s="5" t="str">
        <x:v>C0109</x:v>
      </x:c>
      <x:c r="B112" s="5" t="str">
        <x:v>Unassigned</x:v>
      </x:c>
      <x:c r="C112" s="5" t="str">
        <x:v>Unassigned</x:v>
      </x:c>
      <x:c r="D112" s="5" t="str">
        <x:v>Unassigned</x:v>
      </x:c>
      <x:c r="E112" s="5" t="str">
        <x:v>Unassigned</x:v>
      </x:c>
      <x:c r="F112" s="5" t="str">
        <x:v>Reham Eltomy; Wassila Lalouani</x:v>
      </x:c>
      <x:c r="G112" s="5" t="str">
        <x:v>Reham Eltomy</x:v>
      </x:c>
      <x:c r="H112" s="5" t="n">
        <x:v>2024</x:v>
      </x:c>
      <x:c r="I112" s="5" t="str">
        <x:v>Intelligent Anomaly Detection System for Industrial Control Systems</x:v>
      </x:c>
      <x:c r="J112" s="5" t="str">
        <x:v>2024 IEEE Virtual Conference on Communications (VCC)</x:v>
      </x:c>
      <x:c r="K112" s="5" t="str">
        <x:v>10.1109/vcc63113.2024.10914427</x:v>
      </x:c>
      <x:c r="L112" s="5" t="str"/>
      <x:c r="M112" s="5" t="str">
        <x:v>https://ieeexplore.ieee.org/document/10914427/</x:v>
      </x:c>
      <x:c r="N112" s="5" t="str">
        <x:v>https://doi.org/10.1109/vcc63113.2024.10914427</x:v>
      </x:c>
      <x:c r="O112" s="5" t="str">
        <x:v>Not extracted</x:v>
      </x:c>
      <x:c r="P112" s="5" t="str">
        <x:v>Not extracted</x:v>
      </x:c>
      <x:c r="Q112" s="5" t="str">
        <x:v>Not extracted</x:v>
      </x:c>
      <x:c r="R112" s="5" t="str">
        <x:v>Not extracted</x:v>
      </x:c>
      <x:c r="S112" s="5" t="str">
        <x:v>Unassigned</x:v>
      </x:c>
      <x:c r="T112" s="5" t="str">
        <x:v>Unassigned</x:v>
      </x:c>
      <x:c r="U112" s="5" t="str"/>
      <x:c r="V112" s="5" t="str"/>
      <x:c r="W112" s="5" t="str">
        <x:v>Not extracted</x:v>
      </x:c>
      <x:c r="X112" s="5" t="str">
        <x:v>Pending eligibility screening</x:v>
      </x:c>
      <x:c r="Y112" s="5" t="str">
        <x:v>eltomy2024_C0109</x:v>
      </x:c>
      <x:c r="Z112" s="5" t="str">
        <x:v>Generated; needs verification</x:v>
      </x:c>
      <x:c r="AA112" s="5" t="str">
        <x:v>No manuscript yet</x:v>
      </x:c>
      <x:c r="AB112" s="5" t="str">
        <x:v>No</x:v>
      </x:c>
      <x:c r="AC112" s="5" t="str">
        <x:v>Not checked</x:v>
      </x:c>
      <x:c r="AD112" s="5" t="str">
        <x:v>Unscreened</x:v>
      </x:c>
      <x:c r="AE112" s="5" t="str">
        <x:v>Not linked</x:v>
      </x:c>
      <x:c r="AF112" s="5" t="str">
        <x:v>S07</x:v>
      </x:c>
      <x:c r="AG112" s="5" t="str">
        <x:v>Crossref REST API</x:v>
      </x:c>
      <x:c r="AH112" s="5" t="str">
        <x:v>Journal / conference record; peer review not audited</x:v>
      </x:c>
      <x:c r="AI112" s="5" t="str">
        <x:v>Metadata only</x:v>
      </x:c>
      <x:c r="AJ112" s="5" t="str">
        <x:v>Verified against deposited metadata; publisher citation check pending</x:v>
      </x:c>
      <x:c r="AK112" s="5" t="str">
        <x:v>proceedings-article</x:v>
      </x:c>
      <x:c r="AL112" s="5" t="str">
        <x:v>Title-scope candidate</x:v>
      </x:c>
      <x:c r="AM112" s="5" t="str">
        <x:v>review-paper/search-strategy/runs/PILOT-20261013-01/S07.json</x:v>
      </x:c>
      <x:c r="AN112" s="8" t="d">
        <x:v>2026-10-13T00:00:00.000Z</x:v>
      </x:c>
    </x:row>
    <x:row r="113" ht="53" customHeight="1">
      <x:c r="A113" s="5" t="str">
        <x:v>C0110</x:v>
      </x:c>
      <x:c r="B113" s="5" t="str">
        <x:v>Unassigned</x:v>
      </x:c>
      <x:c r="C113" s="5" t="str">
        <x:v>Unassigned</x:v>
      </x:c>
      <x:c r="D113" s="5" t="str">
        <x:v>Unassigned</x:v>
      </x:c>
      <x:c r="E113" s="5" t="str">
        <x:v>Unassigned</x:v>
      </x:c>
      <x:c r="F113" s="5" t="str">
        <x:v>zhilei Yan; Jinjiang Wang; zhenqiang Wei; kun Tian</x:v>
      </x:c>
      <x:c r="G113" s="5" t="str">
        <x:v>zhilei Yan</x:v>
      </x:c>
      <x:c r="H113" s="5" t="n">
        <x:v>2025</x:v>
      </x:c>
      <x:c r="I113" s="5" t="str">
        <x:v>A Decoupled Spatio-Temporal Autoencoder for Anomaly Detection in Industrial Control Systems</x:v>
      </x:c>
      <x:c r="J113" s="5" t="str"/>
      <x:c r="K113" s="5" t="str">
        <x:v>10.2139/ssrn.5367630</x:v>
      </x:c>
      <x:c r="L113" s="5" t="str"/>
      <x:c r="M113" s="5" t="str">
        <x:v>https://www.ssrn.com/abstract=5367630</x:v>
      </x:c>
      <x:c r="N113" s="5" t="str">
        <x:v>https://doi.org/10.2139/ssrn.5367630</x:v>
      </x:c>
      <x:c r="O113" s="5" t="str">
        <x:v>Not extracted</x:v>
      </x:c>
      <x:c r="P113" s="5" t="str">
        <x:v>Not extracted</x:v>
      </x:c>
      <x:c r="Q113" s="5" t="str">
        <x:v>Not extracted</x:v>
      </x:c>
      <x:c r="R113" s="5" t="str">
        <x:v>Not extracted</x:v>
      </x:c>
      <x:c r="S113" s="5" t="str">
        <x:v>Unassigned</x:v>
      </x:c>
      <x:c r="T113" s="5" t="str">
        <x:v>Unassigned</x:v>
      </x:c>
      <x:c r="U113" s="5" t="str"/>
      <x:c r="V113" s="5" t="str"/>
      <x:c r="W113" s="5" t="str">
        <x:v>Not extracted</x:v>
      </x:c>
      <x:c r="X113" s="5" t="str">
        <x:v>Pending eligibility screening</x:v>
      </x:c>
      <x:c r="Y113" s="5" t="str">
        <x:v>yan2025_C0110</x:v>
      </x:c>
      <x:c r="Z113" s="5" t="str">
        <x:v>Generated; needs verification</x:v>
      </x:c>
      <x:c r="AA113" s="5" t="str">
        <x:v>No manuscript yet</x:v>
      </x:c>
      <x:c r="AB113" s="5" t="str">
        <x:v>No</x:v>
      </x:c>
      <x:c r="AC113" s="5" t="str">
        <x:v>Not checked</x:v>
      </x:c>
      <x:c r="AD113" s="5" t="str">
        <x:v>Unscreened</x:v>
      </x:c>
      <x:c r="AE113" s="5" t="str">
        <x:v>Not linked</x:v>
      </x:c>
      <x:c r="AF113" s="5" t="str">
        <x:v>S07</x:v>
      </x:c>
      <x:c r="AG113" s="5" t="str">
        <x:v>Crossref REST API</x:v>
      </x:c>
      <x:c r="AH113" s="5" t="str">
        <x:v>Preprint / repository record</x:v>
      </x:c>
      <x:c r="AI113" s="5" t="str">
        <x:v>Metadata only</x:v>
      </x:c>
      <x:c r="AJ113" s="5" t="str">
        <x:v>Verified against deposited metadata; publisher citation check pending</x:v>
      </x:c>
      <x:c r="AK113" s="5" t="str">
        <x:v>posted-content</x:v>
      </x:c>
      <x:c r="AL113" s="5" t="str">
        <x:v>Title-scope candidate</x:v>
      </x:c>
      <x:c r="AM113" s="5" t="str">
        <x:v>review-paper/search-strategy/runs/PILOT-20261013-01/S07.json</x:v>
      </x:c>
      <x:c r="AN113" s="8" t="d">
        <x:v>2026-10-13T00:00:00.000Z</x:v>
      </x:c>
    </x:row>
    <x:row r="114" ht="53" customHeight="1">
      <x:c r="A114" s="5" t="str">
        <x:v>C0111</x:v>
      </x:c>
      <x:c r="B114" s="5" t="str">
        <x:v>Unassigned</x:v>
      </x:c>
      <x:c r="C114" s="5" t="str">
        <x:v>Unassigned</x:v>
      </x:c>
      <x:c r="D114" s="5" t="str">
        <x:v>Unassigned</x:v>
      </x:c>
      <x:c r="E114" s="5" t="str">
        <x:v>Unassigned</x:v>
      </x:c>
      <x:c r="F114" s="5" t="str">
        <x:v>Qilin Zhu; Yulong Ding; Jie Jiang; Shuang-Hua Yang</x:v>
      </x:c>
      <x:c r="G114" s="5" t="str">
        <x:v>Qilin Zhu</x:v>
      </x:c>
      <x:c r="H114" s="5" t="n">
        <x:v>2025</x:v>
      </x:c>
      <x:c r="I114" s="5" t="str">
        <x:v>Anomaly detection using invariant rules in Industrial Control Systems</x:v>
      </x:c>
      <x:c r="J114" s="5" t="str">
        <x:v>Control Engineering Practice</x:v>
      </x:c>
      <x:c r="K114" s="5" t="str">
        <x:v>10.1016/j.conengprac.2024.106164</x:v>
      </x:c>
      <x:c r="L114" s="5" t="str"/>
      <x:c r="M114" s="5" t="str">
        <x:v>https://linkinghub.elsevier.com/retrieve/pii/S096706612400323X</x:v>
      </x:c>
      <x:c r="N114" s="5" t="str">
        <x:v>https://doi.org/10.1016/j.conengprac.2024.106164</x:v>
      </x:c>
      <x:c r="O114" s="5" t="str">
        <x:v>Not extracted</x:v>
      </x:c>
      <x:c r="P114" s="5" t="str">
        <x:v>Not extracted</x:v>
      </x:c>
      <x:c r="Q114" s="5" t="str">
        <x:v>Not extracted</x:v>
      </x:c>
      <x:c r="R114" s="5" t="str">
        <x:v>Not extracted</x:v>
      </x:c>
      <x:c r="S114" s="5" t="str">
        <x:v>Unassigned</x:v>
      </x:c>
      <x:c r="T114" s="5" t="str">
        <x:v>Unassigned</x:v>
      </x:c>
      <x:c r="U114" s="5" t="str"/>
      <x:c r="V114" s="5" t="str"/>
      <x:c r="W114" s="5" t="str">
        <x:v>Not extracted</x:v>
      </x:c>
      <x:c r="X114" s="5" t="str">
        <x:v>Pending eligibility screening</x:v>
      </x:c>
      <x:c r="Y114" s="5" t="str">
        <x:v>zhu2025_C0111</x:v>
      </x:c>
      <x:c r="Z114" s="5" t="str">
        <x:v>Generated; needs verification</x:v>
      </x:c>
      <x:c r="AA114" s="5" t="str">
        <x:v>No manuscript yet</x:v>
      </x:c>
      <x:c r="AB114" s="5" t="str">
        <x:v>No</x:v>
      </x:c>
      <x:c r="AC114" s="5" t="str">
        <x:v>Not checked</x:v>
      </x:c>
      <x:c r="AD114" s="5" t="str">
        <x:v>Unscreened</x:v>
      </x:c>
      <x:c r="AE114" s="5" t="str">
        <x:v>Not linked</x:v>
      </x:c>
      <x:c r="AF114" s="5" t="str">
        <x:v>S07</x:v>
      </x:c>
      <x:c r="AG114" s="5" t="str">
        <x:v>Crossref REST API</x:v>
      </x:c>
      <x:c r="AH114" s="5" t="str">
        <x:v>Journal / conference record; peer review not audited</x:v>
      </x:c>
      <x:c r="AI114" s="5" t="str">
        <x:v>Metadata only</x:v>
      </x:c>
      <x:c r="AJ114" s="5" t="str">
        <x:v>Verified against deposited metadata; publisher citation check pending</x:v>
      </x:c>
      <x:c r="AK114" s="5" t="str">
        <x:v>journal-article</x:v>
      </x:c>
      <x:c r="AL114" s="5" t="str">
        <x:v>Title-scope candidate</x:v>
      </x:c>
      <x:c r="AM114" s="5" t="str">
        <x:v>review-paper/search-strategy/runs/PILOT-20261013-01/S07.json</x:v>
      </x:c>
      <x:c r="AN114" s="8" t="d">
        <x:v>2026-10-13T00:00:00.000Z</x:v>
      </x:c>
    </x:row>
    <x:row r="115" ht="53" customHeight="1">
      <x:c r="A115" s="5" t="str">
        <x:v>C0112</x:v>
      </x:c>
      <x:c r="B115" s="5" t="str">
        <x:v>Unassigned</x:v>
      </x:c>
      <x:c r="C115" s="5" t="str">
        <x:v>Unassigned</x:v>
      </x:c>
      <x:c r="D115" s="5" t="str">
        <x:v>Unassigned</x:v>
      </x:c>
      <x:c r="E115" s="5" t="str">
        <x:v>Unassigned</x:v>
      </x:c>
      <x:c r="F115" s="5" t="str">
        <x:v>Mohammad Fakih; Ermiyas Birihanu; Sara Abou Chakra</x:v>
      </x:c>
      <x:c r="G115" s="5" t="str">
        <x:v>Mohammad Fakih</x:v>
      </x:c>
      <x:c r="H115" s="5" t="n">
        <x:v>2026</x:v>
      </x:c>
      <x:c r="I115" s="5" t="str">
        <x:v>Redundancy-Aware Incremental Learning for Scalable Anomaly Detection in Resource-Constrained Industrial Control Systems</x:v>
      </x:c>
      <x:c r="J115" s="5" t="str"/>
      <x:c r="K115" s="5" t="str">
        <x:v>10.2139/ssrn.6996737</x:v>
      </x:c>
      <x:c r="L115" s="5" t="str"/>
      <x:c r="M115" s="5" t="str">
        <x:v>https://www.ssrn.com/abstract=6996737</x:v>
      </x:c>
      <x:c r="N115" s="5" t="str">
        <x:v>https://doi.org/10.2139/ssrn.6996737</x:v>
      </x:c>
      <x:c r="O115" s="5" t="str">
        <x:v>Not extracted</x:v>
      </x:c>
      <x:c r="P115" s="5" t="str">
        <x:v>Not extracted</x:v>
      </x:c>
      <x:c r="Q115" s="5" t="str">
        <x:v>Not extracted</x:v>
      </x:c>
      <x:c r="R115" s="5" t="str">
        <x:v>Not extracted</x:v>
      </x:c>
      <x:c r="S115" s="5" t="str">
        <x:v>Unassigned</x:v>
      </x:c>
      <x:c r="T115" s="5" t="str">
        <x:v>Unassigned</x:v>
      </x:c>
      <x:c r="U115" s="5" t="str"/>
      <x:c r="V115" s="5" t="str"/>
      <x:c r="W115" s="5" t="str">
        <x:v>Not extracted</x:v>
      </x:c>
      <x:c r="X115" s="5" t="str">
        <x:v>Pending eligibility screening</x:v>
      </x:c>
      <x:c r="Y115" s="5" t="str">
        <x:v>fakih2026_C0112</x:v>
      </x:c>
      <x:c r="Z115" s="5" t="str">
        <x:v>Generated; needs verification</x:v>
      </x:c>
      <x:c r="AA115" s="5" t="str">
        <x:v>No manuscript yet</x:v>
      </x:c>
      <x:c r="AB115" s="5" t="str">
        <x:v>No</x:v>
      </x:c>
      <x:c r="AC115" s="5" t="str">
        <x:v>Not checked</x:v>
      </x:c>
      <x:c r="AD115" s="5" t="str">
        <x:v>Unscreened</x:v>
      </x:c>
      <x:c r="AE115" s="5" t="str">
        <x:v>Not linked</x:v>
      </x:c>
      <x:c r="AF115" s="5" t="str">
        <x:v>S07</x:v>
      </x:c>
      <x:c r="AG115" s="5" t="str">
        <x:v>Crossref REST API</x:v>
      </x:c>
      <x:c r="AH115" s="5" t="str">
        <x:v>Preprint / repository record</x:v>
      </x:c>
      <x:c r="AI115" s="5" t="str">
        <x:v>Metadata only</x:v>
      </x:c>
      <x:c r="AJ115" s="5" t="str">
        <x:v>Verified against deposited metadata; publisher citation check pending</x:v>
      </x:c>
      <x:c r="AK115" s="5" t="str">
        <x:v>posted-content</x:v>
      </x:c>
      <x:c r="AL115" s="5" t="str">
        <x:v>Title-scope candidate</x:v>
      </x:c>
      <x:c r="AM115" s="5" t="str">
        <x:v>review-paper/search-strategy/runs/PILOT-20261013-01/S07.json</x:v>
      </x:c>
      <x:c r="AN115" s="8" t="d">
        <x:v>2026-10-13T00:00:00.000Z</x:v>
      </x:c>
    </x:row>
    <x:row r="116" ht="53" customHeight="1">
      <x:c r="A116" s="5" t="str">
        <x:v>C0113</x:v>
      </x:c>
      <x:c r="B116" s="5" t="str">
        <x:v>Unassigned</x:v>
      </x:c>
      <x:c r="C116" s="5" t="str">
        <x:v>Unassigned</x:v>
      </x:c>
      <x:c r="D116" s="5" t="str">
        <x:v>Unassigned</x:v>
      </x:c>
      <x:c r="E116" s="5" t="str">
        <x:v>Unassigned</x:v>
      </x:c>
      <x:c r="F116" s="5" t="str">
        <x:v>Shiraz Farouq; Stefan Byttner; Mohamed-Rafik Bouguelia; Henrik Gadd</x:v>
      </x:c>
      <x:c r="G116" s="5" t="str">
        <x:v>Shiraz Farouq</x:v>
      </x:c>
      <x:c r="H116" s="5" t="n">
        <x:v>2022</x:v>
      </x:c>
      <x:c r="I116" s="5" t="str">
        <x:v>A conformal anomaly detection based industrial fleet monitoring framework: A case study in district heating</x:v>
      </x:c>
      <x:c r="J116" s="5" t="str">
        <x:v>Expert Systems with Applications</x:v>
      </x:c>
      <x:c r="K116" s="5" t="str">
        <x:v>10.1016/j.eswa.2022.116864</x:v>
      </x:c>
      <x:c r="L116" s="5" t="str"/>
      <x:c r="M116" s="5" t="str">
        <x:v>https://linkinghub.elsevier.com/retrieve/pii/S095741742200313X</x:v>
      </x:c>
      <x:c r="N116" s="5" t="str">
        <x:v>https://doi.org/10.1016/j.eswa.2022.116864</x:v>
      </x:c>
      <x:c r="O116" s="5" t="str">
        <x:v>Not extracted</x:v>
      </x:c>
      <x:c r="P116" s="5" t="str">
        <x:v>Not extracted</x:v>
      </x:c>
      <x:c r="Q116" s="5" t="str">
        <x:v>Not extracted</x:v>
      </x:c>
      <x:c r="R116" s="5" t="str">
        <x:v>Not extracted</x:v>
      </x:c>
      <x:c r="S116" s="5" t="str">
        <x:v>Unassigned</x:v>
      </x:c>
      <x:c r="T116" s="5" t="str">
        <x:v>Unassigned</x:v>
      </x:c>
      <x:c r="U116" s="5" t="str"/>
      <x:c r="V116" s="5" t="str"/>
      <x:c r="W116" s="5" t="str">
        <x:v>Not extracted</x:v>
      </x:c>
      <x:c r="X116" s="5" t="str">
        <x:v>Pending eligibility screening</x:v>
      </x:c>
      <x:c r="Y116" s="5" t="str">
        <x:v>farouq2022_C0113</x:v>
      </x:c>
      <x:c r="Z116" s="5" t="str">
        <x:v>Generated; needs verification</x:v>
      </x:c>
      <x:c r="AA116" s="5" t="str">
        <x:v>No manuscript yet</x:v>
      </x:c>
      <x:c r="AB116" s="5" t="str">
        <x:v>No</x:v>
      </x:c>
      <x:c r="AC116" s="5" t="str">
        <x:v>Not checked</x:v>
      </x:c>
      <x:c r="AD116" s="5" t="str">
        <x:v>Unscreened</x:v>
      </x:c>
      <x:c r="AE116" s="5" t="str">
        <x:v>Not linked</x:v>
      </x:c>
      <x:c r="AF116" s="5" t="str">
        <x:v>S07</x:v>
      </x:c>
      <x:c r="AG116" s="5" t="str">
        <x:v>Crossref REST API</x:v>
      </x:c>
      <x:c r="AH116" s="5" t="str">
        <x:v>Journal / conference record; peer review not audited</x:v>
      </x:c>
      <x:c r="AI116" s="5" t="str">
        <x:v>Metadata only</x:v>
      </x:c>
      <x:c r="AJ116" s="5" t="str">
        <x:v>Verified against deposited metadata; publisher citation check pending</x:v>
      </x:c>
      <x:c r="AK116" s="5" t="str">
        <x:v>journal-article</x:v>
      </x:c>
      <x:c r="AL116" s="5" t="str">
        <x:v>Title-scope candidate</x:v>
      </x:c>
      <x:c r="AM116" s="5" t="str">
        <x:v>review-paper/search-strategy/runs/PILOT-20261013-01/S07.json</x:v>
      </x:c>
      <x:c r="AN116" s="8" t="d">
        <x:v>2026-10-13T00:00:00.000Z</x:v>
      </x:c>
    </x:row>
    <x:row r="117" ht="53" customHeight="1">
      <x:c r="A117" s="5" t="str">
        <x:v>C0114</x:v>
      </x:c>
      <x:c r="B117" s="5" t="str">
        <x:v>Unassigned</x:v>
      </x:c>
      <x:c r="C117" s="5" t="str">
        <x:v>Unassigned</x:v>
      </x:c>
      <x:c r="D117" s="5" t="str">
        <x:v>Unassigned</x:v>
      </x:c>
      <x:c r="E117" s="5" t="str">
        <x:v>Unassigned</x:v>
      </x:c>
      <x:c r="F117" s="5" t="str">
        <x:v>Yong Zhang; Bingjie Li; Xinqi Zhang</x:v>
      </x:c>
      <x:c r="G117" s="5" t="str">
        <x:v>Yong Zhang</x:v>
      </x:c>
      <x:c r="H117" s="5" t="n">
        <x:v>2023</x:v>
      </x:c>
      <x:c r="I117" s="5" t="str">
        <x:v>Deep Learning-Based Anomaly Detection for Time-Series Data in Industrial Control Systems</x:v>
      </x:c>
      <x:c r="J117" s="5" t="str">
        <x:v>2023 42nd Chinese Control Conference (CCC)</x:v>
      </x:c>
      <x:c r="K117" s="5" t="str">
        <x:v>10.23919/ccc58697.2023.10241095</x:v>
      </x:c>
      <x:c r="L117" s="5" t="str"/>
      <x:c r="M117" s="5" t="str">
        <x:v>https://ieeexplore.ieee.org/document/10241095/</x:v>
      </x:c>
      <x:c r="N117" s="5" t="str">
        <x:v>https://doi.org/10.23919/ccc58697.2023.10241095</x:v>
      </x:c>
      <x:c r="O117" s="5" t="str">
        <x:v>Not extracted</x:v>
      </x:c>
      <x:c r="P117" s="5" t="str">
        <x:v>Not extracted</x:v>
      </x:c>
      <x:c r="Q117" s="5" t="str">
        <x:v>Not extracted</x:v>
      </x:c>
      <x:c r="R117" s="5" t="str">
        <x:v>Not extracted</x:v>
      </x:c>
      <x:c r="S117" s="5" t="str">
        <x:v>Unassigned</x:v>
      </x:c>
      <x:c r="T117" s="5" t="str">
        <x:v>Unassigned</x:v>
      </x:c>
      <x:c r="U117" s="5" t="str"/>
      <x:c r="V117" s="5" t="str"/>
      <x:c r="W117" s="5" t="str">
        <x:v>Not extracted</x:v>
      </x:c>
      <x:c r="X117" s="5" t="str">
        <x:v>Pending eligibility screening</x:v>
      </x:c>
      <x:c r="Y117" s="5" t="str">
        <x:v>zhang2023_C0114</x:v>
      </x:c>
      <x:c r="Z117" s="5" t="str">
        <x:v>Generated; needs verification</x:v>
      </x:c>
      <x:c r="AA117" s="5" t="str">
        <x:v>No manuscript yet</x:v>
      </x:c>
      <x:c r="AB117" s="5" t="str">
        <x:v>No</x:v>
      </x:c>
      <x:c r="AC117" s="5" t="str">
        <x:v>Not checked</x:v>
      </x:c>
      <x:c r="AD117" s="5" t="str">
        <x:v>Unscreened</x:v>
      </x:c>
      <x:c r="AE117" s="5" t="str">
        <x:v>Not linked</x:v>
      </x:c>
      <x:c r="AF117" s="5" t="str">
        <x:v>S07</x:v>
      </x:c>
      <x:c r="AG117" s="5" t="str">
        <x:v>Crossref REST API</x:v>
      </x:c>
      <x:c r="AH117" s="5" t="str">
        <x:v>Journal / conference record; peer review not audited</x:v>
      </x:c>
      <x:c r="AI117" s="5" t="str">
        <x:v>Metadata only</x:v>
      </x:c>
      <x:c r="AJ117" s="5" t="str">
        <x:v>Verified against deposited metadata; publisher citation check pending</x:v>
      </x:c>
      <x:c r="AK117" s="5" t="str">
        <x:v>proceedings-article</x:v>
      </x:c>
      <x:c r="AL117" s="5" t="str">
        <x:v>Title-scope candidate</x:v>
      </x:c>
      <x:c r="AM117" s="5" t="str">
        <x:v>review-paper/search-strategy/runs/PILOT-20261013-01/S07.json</x:v>
      </x:c>
      <x:c r="AN117" s="8" t="d">
        <x:v>2026-10-13T00:00:00.000Z</x:v>
      </x:c>
    </x:row>
    <x:row r="118" ht="68" customHeight="1">
      <x:c r="A118" s="5" t="str">
        <x:v>C0115</x:v>
      </x:c>
      <x:c r="B118" s="5" t="str">
        <x:v>Unassigned</x:v>
      </x:c>
      <x:c r="C118" s="5" t="str">
        <x:v>Unassigned</x:v>
      </x:c>
      <x:c r="D118" s="5" t="str">
        <x:v>Unassigned</x:v>
      </x:c>
      <x:c r="E118" s="5" t="str">
        <x:v>Unassigned</x:v>
      </x:c>
      <x:c r="F118" s="5" t="str">
        <x:v>Mirkhon Nurullaev</x:v>
      </x:c>
      <x:c r="G118" s="5" t="str">
        <x:v>Mirkhon Nurullaev</x:v>
      </x:c>
      <x:c r="H118" s="5" t="n">
        <x:v>2025</x:v>
      </x:c>
      <x:c r="I118" s="5" t="str">
        <x:v>Adaptive Aggregation for Distributed Industrial Control Systems Anomaly Detection</x:v>
      </x:c>
      <x:c r="J118" s="5" t="str">
        <x:v>2025 XIХ International Symposium on Problems of Redundancy in Information and Control Systems (Redundancy)</x:v>
      </x:c>
      <x:c r="K118" s="5" t="str">
        <x:v>10.1109/redundancy68069.2025.11301475</x:v>
      </x:c>
      <x:c r="L118" s="5" t="str"/>
      <x:c r="M118" s="5" t="str">
        <x:v>https://ieeexplore.ieee.org/document/11301475/</x:v>
      </x:c>
      <x:c r="N118" s="5" t="str">
        <x:v>https://doi.org/10.1109/redundancy68069.2025.11301475</x:v>
      </x:c>
      <x:c r="O118" s="5" t="str">
        <x:v>Not extracted</x:v>
      </x:c>
      <x:c r="P118" s="5" t="str">
        <x:v>Not extracted</x:v>
      </x:c>
      <x:c r="Q118" s="5" t="str">
        <x:v>Not extracted</x:v>
      </x:c>
      <x:c r="R118" s="5" t="str">
        <x:v>Not extracted</x:v>
      </x:c>
      <x:c r="S118" s="5" t="str">
        <x:v>Unassigned</x:v>
      </x:c>
      <x:c r="T118" s="5" t="str">
        <x:v>Unassigned</x:v>
      </x:c>
      <x:c r="U118" s="5" t="str"/>
      <x:c r="V118" s="5" t="str"/>
      <x:c r="W118" s="5" t="str">
        <x:v>Not extracted</x:v>
      </x:c>
      <x:c r="X118" s="5" t="str">
        <x:v>Pending eligibility screening</x:v>
      </x:c>
      <x:c r="Y118" s="5" t="str">
        <x:v>nurullaev2025_C0115</x:v>
      </x:c>
      <x:c r="Z118" s="5" t="str">
        <x:v>Generated; needs verification</x:v>
      </x:c>
      <x:c r="AA118" s="5" t="str">
        <x:v>No manuscript yet</x:v>
      </x:c>
      <x:c r="AB118" s="5" t="str">
        <x:v>No</x:v>
      </x:c>
      <x:c r="AC118" s="5" t="str">
        <x:v>Not checked</x:v>
      </x:c>
      <x:c r="AD118" s="5" t="str">
        <x:v>Unscreened</x:v>
      </x:c>
      <x:c r="AE118" s="5" t="str">
        <x:v>Not linked</x:v>
      </x:c>
      <x:c r="AF118" s="5" t="str">
        <x:v>S07</x:v>
      </x:c>
      <x:c r="AG118" s="5" t="str">
        <x:v>Crossref REST API</x:v>
      </x:c>
      <x:c r="AH118" s="5" t="str">
        <x:v>Journal / conference record; peer review not audited</x:v>
      </x:c>
      <x:c r="AI118" s="5" t="str">
        <x:v>Metadata only</x:v>
      </x:c>
      <x:c r="AJ118" s="5" t="str">
        <x:v>Verified against deposited metadata; publisher citation check pending</x:v>
      </x:c>
      <x:c r="AK118" s="5" t="str">
        <x:v>proceedings-article</x:v>
      </x:c>
      <x:c r="AL118" s="5" t="str">
        <x:v>Title-scope candidate</x:v>
      </x:c>
      <x:c r="AM118" s="5" t="str">
        <x:v>review-paper/search-strategy/runs/PILOT-20261013-01/S07.json</x:v>
      </x:c>
      <x:c r="AN118" s="8" t="d">
        <x:v>2026-10-13T00:00:00.000Z</x:v>
      </x:c>
    </x:row>
    <x:row r="119" ht="83" customHeight="1">
      <x:c r="A119" s="5" t="str">
        <x:v>C0116</x:v>
      </x:c>
      <x:c r="B119" s="5" t="str">
        <x:v>Unassigned</x:v>
      </x:c>
      <x:c r="C119" s="5" t="str">
        <x:v>Unassigned</x:v>
      </x:c>
      <x:c r="D119" s="5" t="str">
        <x:v>Unassigned</x:v>
      </x:c>
      <x:c r="E119" s="5" t="str">
        <x:v>Unassigned</x:v>
      </x:c>
      <x:c r="F119" s="5" t="str">
        <x:v>Wenjie Shi; Jinping Tang</x:v>
      </x:c>
      <x:c r="G119" s="5" t="str">
        <x:v>Wenjie Shi</x:v>
      </x:c>
      <x:c r="H119" s="5" t="n">
        <x:v>2026</x:v>
      </x:c>
      <x:c r="I119" s="5" t="str">
        <x:v>Multiprototype representation and controllable anomaly generation for industrial anomaly detection</x:v>
      </x:c>
      <x:c r="J119" s="5" t="str">
        <x:v>International Conference on Artificial Intelligence, Machine Vision, and Control (AIMVC 2026)</x:v>
      </x:c>
      <x:c r="K119" s="5" t="str">
        <x:v>10.1117/12.3122767</x:v>
      </x:c>
      <x:c r="L119" s="5" t="str"/>
      <x:c r="M119" s="5" t="str">
        <x:v>https://www.spiedigitallibrary.org/conference-proceedings-of-spie/14345/3122767/Multiprototype-representation-and-controllable-anomaly-generation-for-industrial-anomaly-detection/10.1117/12.3122767.full</x:v>
      </x:c>
      <x:c r="N119" s="5" t="str">
        <x:v>https://doi.org/10.1117/12.3122767</x:v>
      </x:c>
      <x:c r="O119" s="5" t="str">
        <x:v>Not extracted</x:v>
      </x:c>
      <x:c r="P119" s="5" t="str">
        <x:v>Not extracted</x:v>
      </x:c>
      <x:c r="Q119" s="5" t="str">
        <x:v>Not extracted</x:v>
      </x:c>
      <x:c r="R119" s="5" t="str">
        <x:v>Not extracted</x:v>
      </x:c>
      <x:c r="S119" s="5" t="str">
        <x:v>Unassigned</x:v>
      </x:c>
      <x:c r="T119" s="5" t="str">
        <x:v>Unassigned</x:v>
      </x:c>
      <x:c r="U119" s="5" t="str"/>
      <x:c r="V119" s="5" t="str"/>
      <x:c r="W119" s="5" t="str">
        <x:v>Not extracted</x:v>
      </x:c>
      <x:c r="X119" s="5" t="str">
        <x:v>Pending eligibility screening</x:v>
      </x:c>
      <x:c r="Y119" s="5" t="str">
        <x:v>shi2026_C0116</x:v>
      </x:c>
      <x:c r="Z119" s="5" t="str">
        <x:v>Generated; needs verification</x:v>
      </x:c>
      <x:c r="AA119" s="5" t="str">
        <x:v>No manuscript yet</x:v>
      </x:c>
      <x:c r="AB119" s="5" t="str">
        <x:v>No</x:v>
      </x:c>
      <x:c r="AC119" s="5" t="str">
        <x:v>Not checked</x:v>
      </x:c>
      <x:c r="AD119" s="5" t="str">
        <x:v>Unscreened</x:v>
      </x:c>
      <x:c r="AE119" s="5" t="str">
        <x:v>Not linked</x:v>
      </x:c>
      <x:c r="AF119" s="5" t="str">
        <x:v>S07</x:v>
      </x:c>
      <x:c r="AG119" s="5" t="str">
        <x:v>Crossref REST API</x:v>
      </x:c>
      <x:c r="AH119" s="5" t="str">
        <x:v>Journal / conference record; peer review not audited</x:v>
      </x:c>
      <x:c r="AI119" s="5" t="str">
        <x:v>Metadata only</x:v>
      </x:c>
      <x:c r="AJ119" s="5" t="str">
        <x:v>Verified against deposited metadata; publisher citation check pending</x:v>
      </x:c>
      <x:c r="AK119" s="5" t="str">
        <x:v>proceedings-article</x:v>
      </x:c>
      <x:c r="AL119" s="5" t="str">
        <x:v>Title-scope candidate</x:v>
      </x:c>
      <x:c r="AM119" s="5" t="str">
        <x:v>review-paper/search-strategy/runs/PILOT-20261013-01/S07.json</x:v>
      </x:c>
      <x:c r="AN119" s="8" t="d">
        <x:v>2026-10-13T00:00:00.000Z</x:v>
      </x:c>
    </x:row>
    <x:row r="120" ht="53" customHeight="1">
      <x:c r="A120" s="5" t="str">
        <x:v>C0117</x:v>
      </x:c>
      <x:c r="B120" s="5" t="str">
        <x:v>Unassigned</x:v>
      </x:c>
      <x:c r="C120" s="5" t="str">
        <x:v>Unassigned</x:v>
      </x:c>
      <x:c r="D120" s="5" t="str">
        <x:v>Unassigned</x:v>
      </x:c>
      <x:c r="E120" s="5" t="str">
        <x:v>Unassigned</x:v>
      </x:c>
      <x:c r="F120" s="5" t="str">
        <x:v>A. Matthaiou; G. Papalambrou; M.S. Samuelides</x:v>
      </x:c>
      <x:c r="G120" s="5" t="str">
        <x:v>A. Matthaiou</x:v>
      </x:c>
      <x:c r="H120" s="5" t="n">
        <x:v>2021</x:v>
      </x:c>
      <x:c r="I120" s="5" t="str">
        <x:v>Corrosion detection with computer vision and deep learning</x:v>
      </x:c>
      <x:c r="J120" s="5" t="str">
        <x:v>Developments in the Analysis and Design of Marine Structures</x:v>
      </x:c>
      <x:c r="K120" s="5" t="str">
        <x:v>10.1201/9781003230373-34</x:v>
      </x:c>
      <x:c r="L120" s="5" t="str"/>
      <x:c r="M120" s="5" t="str">
        <x:v>https://www.taylorfrancis.com/books/9781003230373/chapters/10.1201/9781003230373-34</x:v>
      </x:c>
      <x:c r="N120" s="5" t="str">
        <x:v>https://doi.org/10.1201/9781003230373-34</x:v>
      </x:c>
      <x:c r="O120" s="5" t="str">
        <x:v>Not extracted</x:v>
      </x:c>
      <x:c r="P120" s="5" t="str">
        <x:v>Not extracted</x:v>
      </x:c>
      <x:c r="Q120" s="5" t="str">
        <x:v>Not extracted</x:v>
      </x:c>
      <x:c r="R120" s="5" t="str">
        <x:v>Not extracted</x:v>
      </x:c>
      <x:c r="S120" s="5" t="str">
        <x:v>Unassigned</x:v>
      </x:c>
      <x:c r="T120" s="5" t="str">
        <x:v>Unassigned</x:v>
      </x:c>
      <x:c r="U120" s="5" t="str"/>
      <x:c r="V120" s="5" t="str"/>
      <x:c r="W120" s="5" t="str">
        <x:v>Not extracted</x:v>
      </x:c>
      <x:c r="X120" s="5" t="str">
        <x:v>Pending eligibility screening</x:v>
      </x:c>
      <x:c r="Y120" s="5" t="str">
        <x:v>matthaiou2021_C0117</x:v>
      </x:c>
      <x:c r="Z120" s="5" t="str">
        <x:v>Generated; needs verification</x:v>
      </x:c>
      <x:c r="AA120" s="5" t="str">
        <x:v>No manuscript yet</x:v>
      </x:c>
      <x:c r="AB120" s="5" t="str">
        <x:v>No</x:v>
      </x:c>
      <x:c r="AC120" s="5" t="str">
        <x:v>Not checked</x:v>
      </x:c>
      <x:c r="AD120" s="5" t="str">
        <x:v>Unscreened</x:v>
      </x:c>
      <x:c r="AE120" s="5" t="str">
        <x:v>Not linked</x:v>
      </x:c>
      <x:c r="AF120" s="5" t="str">
        <x:v>S08</x:v>
      </x:c>
      <x:c r="AG120" s="5" t="str">
        <x:v>Crossref REST API</x:v>
      </x:c>
      <x:c r="AH120" s="5" t="str">
        <x:v>Publication status unverified</x:v>
      </x:c>
      <x:c r="AI120" s="5" t="str">
        <x:v>Metadata only</x:v>
      </x:c>
      <x:c r="AJ120" s="5" t="str">
        <x:v>Verified against deposited metadata; publisher citation check pending</x:v>
      </x:c>
      <x:c r="AK120" s="5" t="str">
        <x:v>book-chapter</x:v>
      </x:c>
      <x:c r="AL120" s="5" t="str">
        <x:v>Title-scope candidate</x:v>
      </x:c>
      <x:c r="AM120" s="5" t="str">
        <x:v>review-paper/search-strategy/runs/PILOT-20261013-01/S08.json</x:v>
      </x:c>
      <x:c r="AN120" s="8" t="d">
        <x:v>2026-10-13T00:00:00.000Z</x:v>
      </x:c>
    </x:row>
    <x:row r="121" ht="53" customHeight="1">
      <x:c r="A121" s="5" t="str">
        <x:v>C0118</x:v>
      </x:c>
      <x:c r="B121" s="5" t="str">
        <x:v>Unassigned</x:v>
      </x:c>
      <x:c r="C121" s="5" t="str">
        <x:v>Unassigned</x:v>
      </x:c>
      <x:c r="D121" s="5" t="str">
        <x:v>Unassigned</x:v>
      </x:c>
      <x:c r="E121" s="5" t="str">
        <x:v>Unassigned</x:v>
      </x:c>
      <x:c r="F121" s="5" t="str">
        <x:v>Luca Petricca; Tomas Moss; Gonzalo Figueroa; Stian Broen</x:v>
      </x:c>
      <x:c r="G121" s="5" t="str">
        <x:v>Luca Petricca</x:v>
      </x:c>
      <x:c r="H121" s="5" t="n">
        <x:v>2016</x:v>
      </x:c>
      <x:c r="I121" s="5" t="str">
        <x:v>Corrosion Detection Using A.I : A Comparison of Standard Computer Vision Techniques and Deep Learning Model</x:v>
      </x:c>
      <x:c r="J121" s="5" t="str">
        <x:v>Computer Science &amp;amp; Information Technology ( CS &amp;amp; IT )</x:v>
      </x:c>
      <x:c r="K121" s="5" t="str">
        <x:v>10.5121/csit.2016.60608</x:v>
      </x:c>
      <x:c r="L121" s="5" t="str"/>
      <x:c r="M121" s="5" t="str">
        <x:v>http://www.airccj.org/CSCP/vol6/csit65308.pdf</x:v>
      </x:c>
      <x:c r="N121" s="5" t="str">
        <x:v>https://doi.org/10.5121/csit.2016.60608</x:v>
      </x:c>
      <x:c r="O121" s="5" t="str">
        <x:v>Not extracted</x:v>
      </x:c>
      <x:c r="P121" s="5" t="str">
        <x:v>Not extracted</x:v>
      </x:c>
      <x:c r="Q121" s="5" t="str">
        <x:v>Not extracted</x:v>
      </x:c>
      <x:c r="R121" s="5" t="str">
        <x:v>Not extracted</x:v>
      </x:c>
      <x:c r="S121" s="5" t="str">
        <x:v>Unassigned</x:v>
      </x:c>
      <x:c r="T121" s="5" t="str">
        <x:v>Unassigned</x:v>
      </x:c>
      <x:c r="U121" s="5" t="str"/>
      <x:c r="V121" s="5" t="str"/>
      <x:c r="W121" s="5" t="str">
        <x:v>Not extracted</x:v>
      </x:c>
      <x:c r="X121" s="5" t="str">
        <x:v>Pending eligibility screening</x:v>
      </x:c>
      <x:c r="Y121" s="5" t="str">
        <x:v>petricca2016_C0118</x:v>
      </x:c>
      <x:c r="Z121" s="5" t="str">
        <x:v>Generated; needs verification</x:v>
      </x:c>
      <x:c r="AA121" s="5" t="str">
        <x:v>No manuscript yet</x:v>
      </x:c>
      <x:c r="AB121" s="5" t="str">
        <x:v>No</x:v>
      </x:c>
      <x:c r="AC121" s="5" t="str">
        <x:v>Not checked</x:v>
      </x:c>
      <x:c r="AD121" s="5" t="str">
        <x:v>Unscreened</x:v>
      </x:c>
      <x:c r="AE121" s="5" t="str">
        <x:v>Not linked</x:v>
      </x:c>
      <x:c r="AF121" s="5" t="str">
        <x:v>S08</x:v>
      </x:c>
      <x:c r="AG121" s="5" t="str">
        <x:v>Crossref REST API</x:v>
      </x:c>
      <x:c r="AH121" s="5" t="str">
        <x:v>Journal / conference record; peer review not audited</x:v>
      </x:c>
      <x:c r="AI121" s="5" t="str">
        <x:v>Metadata only</x:v>
      </x:c>
      <x:c r="AJ121" s="5" t="str">
        <x:v>Verified against deposited metadata; publisher citation check pending</x:v>
      </x:c>
      <x:c r="AK121" s="5" t="str">
        <x:v>proceedings-article</x:v>
      </x:c>
      <x:c r="AL121" s="5" t="str">
        <x:v>Title-scope candidate</x:v>
      </x:c>
      <x:c r="AM121" s="5" t="str">
        <x:v>review-paper/search-strategy/runs/PILOT-20261013-01/S08.json</x:v>
      </x:c>
      <x:c r="AN121" s="8" t="d">
        <x:v>2026-10-13T00:00:00.000Z</x:v>
      </x:c>
    </x:row>
    <x:row r="122" ht="53" customHeight="1">
      <x:c r="A122" s="5" t="str">
        <x:v>C0120</x:v>
      </x:c>
      <x:c r="B122" s="5" t="str">
        <x:v>Unassigned</x:v>
      </x:c>
      <x:c r="C122" s="5" t="str">
        <x:v>Unassigned</x:v>
      </x:c>
      <x:c r="D122" s="5" t="str">
        <x:v>Unassigned</x:v>
      </x:c>
      <x:c r="E122" s="5" t="str">
        <x:v>Unassigned</x:v>
      </x:c>
      <x:c r="F122" s="5" t="str">
        <x:v>Elham Nabizadeh; Anant Parghi</x:v>
      </x:c>
      <x:c r="G122" s="5" t="str">
        <x:v>Elham Nabizadeh</x:v>
      </x:c>
      <x:c r="H122" s="5" t="n">
        <x:v>2023</x:v>
      </x:c>
      <x:c r="I122" s="5" t="str">
        <x:v>Automated corrosion detection using deep learning and computer vision</x:v>
      </x:c>
      <x:c r="J122" s="5" t="str">
        <x:v>Asian Journal of Civil Engineering</x:v>
      </x:c>
      <x:c r="K122" s="5" t="str">
        <x:v>10.1007/s42107-023-00684-4</x:v>
      </x:c>
      <x:c r="L122" s="5" t="str"/>
      <x:c r="M122" s="5" t="str">
        <x:v>https://link.springer.com/10.1007/s42107-023-00684-4</x:v>
      </x:c>
      <x:c r="N122" s="5" t="str">
        <x:v>https://doi.org/10.1007/s42107-023-00684-4</x:v>
      </x:c>
      <x:c r="O122" s="5" t="str">
        <x:v>Not extracted</x:v>
      </x:c>
      <x:c r="P122" s="5" t="str">
        <x:v>Not extracted</x:v>
      </x:c>
      <x:c r="Q122" s="5" t="str">
        <x:v>Not extracted</x:v>
      </x:c>
      <x:c r="R122" s="5" t="str">
        <x:v>Not extracted</x:v>
      </x:c>
      <x:c r="S122" s="5" t="str">
        <x:v>Unassigned</x:v>
      </x:c>
      <x:c r="T122" s="5" t="str">
        <x:v>Unassigned</x:v>
      </x:c>
      <x:c r="U122" s="5" t="str"/>
      <x:c r="V122" s="5" t="str"/>
      <x:c r="W122" s="5" t="str">
        <x:v>Not extracted</x:v>
      </x:c>
      <x:c r="X122" s="5" t="str">
        <x:v>Pending eligibility screening</x:v>
      </x:c>
      <x:c r="Y122" s="5" t="str">
        <x:v>nabizadeh2023_C0120</x:v>
      </x:c>
      <x:c r="Z122" s="5" t="str">
        <x:v>Generated; needs verification</x:v>
      </x:c>
      <x:c r="AA122" s="5" t="str">
        <x:v>No manuscript yet</x:v>
      </x:c>
      <x:c r="AB122" s="5" t="str">
        <x:v>No</x:v>
      </x:c>
      <x:c r="AC122" s="5" t="str">
        <x:v>Not checked</x:v>
      </x:c>
      <x:c r="AD122" s="5" t="str">
        <x:v>Unscreened</x:v>
      </x:c>
      <x:c r="AE122" s="5" t="str">
        <x:v>Not linked</x:v>
      </x:c>
      <x:c r="AF122" s="5" t="str">
        <x:v>S08</x:v>
      </x:c>
      <x:c r="AG122" s="5" t="str">
        <x:v>Crossref REST API</x:v>
      </x:c>
      <x:c r="AH122" s="5" t="str">
        <x:v>Journal / conference record; peer review not audited</x:v>
      </x:c>
      <x:c r="AI122" s="5" t="str">
        <x:v>Metadata only</x:v>
      </x:c>
      <x:c r="AJ122" s="5" t="str">
        <x:v>Verified against deposited metadata; publisher citation check pending</x:v>
      </x:c>
      <x:c r="AK122" s="5" t="str">
        <x:v>journal-article</x:v>
      </x:c>
      <x:c r="AL122" s="5" t="str">
        <x:v>Title-scope candidate</x:v>
      </x:c>
      <x:c r="AM122" s="5" t="str">
        <x:v>review-paper/search-strategy/runs/PILOT-20261013-01/S08.json</x:v>
      </x:c>
      <x:c r="AN122" s="8" t="d">
        <x:v>2026-10-13T00:00:00.000Z</x:v>
      </x:c>
    </x:row>
    <x:row r="123" ht="83" customHeight="1">
      <x:c r="A123" s="5" t="str">
        <x:v>C0124</x:v>
      </x:c>
      <x:c r="B123" s="5" t="str">
        <x:v>Unassigned</x:v>
      </x:c>
      <x:c r="C123" s="5" t="str">
        <x:v>Unassigned</x:v>
      </x:c>
      <x:c r="D123" s="5" t="str">
        <x:v>Unassigned</x:v>
      </x:c>
      <x:c r="E123" s="5" t="str">
        <x:v>Unassigned</x:v>
      </x:c>
      <x:c r="F123" s="5" t="str">
        <x:v>Manpreet Minhas; John Zelek</x:v>
      </x:c>
      <x:c r="G123" s="5" t="str">
        <x:v>Manpreet Minhas</x:v>
      </x:c>
      <x:c r="H123" s="5" t="n">
        <x:v>2020</x:v>
      </x:c>
      <x:c r="I123" s="5" t="str">
        <x:v>Defect Detection using Deep Learning from Minimal Annotations</x:v>
      </x:c>
      <x:c r="J123" s="5" t="str">
        <x:v>Proceedings of the 15th International Joint Conference on Computer Vision, Imaging and Computer Graphics Theory and Applications</x:v>
      </x:c>
      <x:c r="K123" s="5" t="str">
        <x:v>10.5220/0009168005060513</x:v>
      </x:c>
      <x:c r="L123" s="5" t="str"/>
      <x:c r="M123" s="5" t="str">
        <x:v>http://www.scitepress.org/DigitalLibrary/Link.aspx?doi=10.5220/0009168005060513</x:v>
      </x:c>
      <x:c r="N123" s="5" t="str">
        <x:v>https://doi.org/10.5220/0009168005060513</x:v>
      </x:c>
      <x:c r="O123" s="5" t="str">
        <x:v>Not extracted</x:v>
      </x:c>
      <x:c r="P123" s="5" t="str">
        <x:v>Not extracted</x:v>
      </x:c>
      <x:c r="Q123" s="5" t="str">
        <x:v>Not extracted</x:v>
      </x:c>
      <x:c r="R123" s="5" t="str">
        <x:v>Not extracted</x:v>
      </x:c>
      <x:c r="S123" s="5" t="str">
        <x:v>Unassigned</x:v>
      </x:c>
      <x:c r="T123" s="5" t="str">
        <x:v>Unassigned</x:v>
      </x:c>
      <x:c r="U123" s="5" t="str"/>
      <x:c r="V123" s="5" t="str"/>
      <x:c r="W123" s="5" t="str">
        <x:v>Not extracted</x:v>
      </x:c>
      <x:c r="X123" s="5" t="str">
        <x:v>Pending eligibility screening</x:v>
      </x:c>
      <x:c r="Y123" s="5" t="str">
        <x:v>minhas2020_C0124</x:v>
      </x:c>
      <x:c r="Z123" s="5" t="str">
        <x:v>Generated; needs verification</x:v>
      </x:c>
      <x:c r="AA123" s="5" t="str">
        <x:v>No manuscript yet</x:v>
      </x:c>
      <x:c r="AB123" s="5" t="str">
        <x:v>No</x:v>
      </x:c>
      <x:c r="AC123" s="5" t="str">
        <x:v>Not checked</x:v>
      </x:c>
      <x:c r="AD123" s="5" t="str">
        <x:v>Unscreened</x:v>
      </x:c>
      <x:c r="AE123" s="5" t="str">
        <x:v>Not linked</x:v>
      </x:c>
      <x:c r="AF123" s="5" t="str">
        <x:v>S08</x:v>
      </x:c>
      <x:c r="AG123" s="5" t="str">
        <x:v>Crossref REST API</x:v>
      </x:c>
      <x:c r="AH123" s="5" t="str">
        <x:v>Journal / conference record; peer review not audited</x:v>
      </x:c>
      <x:c r="AI123" s="5" t="str">
        <x:v>Metadata only</x:v>
      </x:c>
      <x:c r="AJ123" s="5" t="str">
        <x:v>Verified against deposited metadata; publisher citation check pending</x:v>
      </x:c>
      <x:c r="AK123" s="5" t="str">
        <x:v>proceedings-article</x:v>
      </x:c>
      <x:c r="AL123" s="5" t="str">
        <x:v>Title-scope candidate</x:v>
      </x:c>
      <x:c r="AM123" s="5" t="str">
        <x:v>review-paper/search-strategy/runs/PILOT-20261013-01/S08.json</x:v>
      </x:c>
      <x:c r="AN123" s="8" t="d">
        <x:v>2026-10-13T00:00:00.000Z</x:v>
      </x:c>
    </x:row>
    <x:row r="124" ht="53" customHeight="1">
      <x:c r="A124" s="5" t="str">
        <x:v>C0165</x:v>
      </x:c>
      <x:c r="B124" s="5" t="str">
        <x:v>Unassigned</x:v>
      </x:c>
      <x:c r="C124" s="5" t="str">
        <x:v>Unassigned</x:v>
      </x:c>
      <x:c r="D124" s="5" t="str">
        <x:v>Unassigned</x:v>
      </x:c>
      <x:c r="E124" s="5" t="str">
        <x:v>Unassigned</x:v>
      </x:c>
      <x:c r="F124" s="5" t="str">
        <x:v>Yunhui Yan; Shuai Ma; Kechen Song; Yanyan Wang; Hongkun Tian; Jingbo Guo</x:v>
      </x:c>
      <x:c r="G124" s="5" t="str">
        <x:v>Yunhui Yan</x:v>
      </x:c>
      <x:c r="H124" s="5" t="n">
        <x:v>2024</x:v>
      </x:c>
      <x:c r="I124" s="5" t="str">
        <x:v>Uncertainty inspired domain adaptation network for rail surface defect segmentation</x:v>
      </x:c>
      <x:c r="J124" s="5" t="str">
        <x:v>Engineering Applications of Artificial Intelligence</x:v>
      </x:c>
      <x:c r="K124" s="5" t="str">
        <x:v>10.1016/j.engappai.2024.108860</x:v>
      </x:c>
      <x:c r="L124" s="5" t="str"/>
      <x:c r="M124" s="5" t="str">
        <x:v>https://linkinghub.elsevier.com/retrieve/pii/S0952197624010182</x:v>
      </x:c>
      <x:c r="N124" s="5" t="str">
        <x:v>https://doi.org/10.1016/j.engappai.2024.108860</x:v>
      </x:c>
      <x:c r="O124" s="5" t="str">
        <x:v>Not extracted</x:v>
      </x:c>
      <x:c r="P124" s="5" t="str">
        <x:v>Not extracted</x:v>
      </x:c>
      <x:c r="Q124" s="5" t="str">
        <x:v>Not extracted</x:v>
      </x:c>
      <x:c r="R124" s="5" t="str">
        <x:v>Not extracted</x:v>
      </x:c>
      <x:c r="S124" s="5" t="str">
        <x:v>Unassigned</x:v>
      </x:c>
      <x:c r="T124" s="5" t="str">
        <x:v>Unassigned</x:v>
      </x:c>
      <x:c r="U124" s="5" t="str"/>
      <x:c r="V124" s="5" t="str"/>
      <x:c r="W124" s="5" t="str">
        <x:v>Not extracted</x:v>
      </x:c>
      <x:c r="X124" s="5" t="str">
        <x:v>Pending eligibility screening</x:v>
      </x:c>
      <x:c r="Y124" s="5" t="str">
        <x:v>yan2024_C0165</x:v>
      </x:c>
      <x:c r="Z124" s="5" t="str">
        <x:v>Generated; needs verification</x:v>
      </x:c>
      <x:c r="AA124" s="5" t="str">
        <x:v>No manuscript yet</x:v>
      </x:c>
      <x:c r="AB124" s="5" t="str">
        <x:v>No</x:v>
      </x:c>
      <x:c r="AC124" s="5" t="str">
        <x:v>Not checked</x:v>
      </x:c>
      <x:c r="AD124" s="5" t="str">
        <x:v>Unscreened</x:v>
      </x:c>
      <x:c r="AE124" s="5" t="str">
        <x:v>Not linked</x:v>
      </x:c>
      <x:c r="AF124" s="5" t="str">
        <x:v>S09</x:v>
      </x:c>
      <x:c r="AG124" s="5" t="str">
        <x:v>Crossref REST API</x:v>
      </x:c>
      <x:c r="AH124" s="5" t="str">
        <x:v>Journal / conference record; peer review not audited</x:v>
      </x:c>
      <x:c r="AI124" s="5" t="str">
        <x:v>Metadata only</x:v>
      </x:c>
      <x:c r="AJ124" s="5" t="str">
        <x:v>Verified against deposited metadata; publisher citation check pending</x:v>
      </x:c>
      <x:c r="AK124" s="5" t="str">
        <x:v>journal-article</x:v>
      </x:c>
      <x:c r="AL124" s="5" t="str">
        <x:v>Title-scope candidate</x:v>
      </x:c>
      <x:c r="AM124" s="5" t="str">
        <x:v>review-paper/search-strategy/runs/PILOT-20261013-01/S09.json</x:v>
      </x:c>
      <x:c r="AN124" s="8" t="d">
        <x:v>2026-10-13T00:00:00.000Z</x:v>
      </x:c>
    </x:row>
    <x:row r="125" ht="53" customHeight="1">
      <x:c r="A125" s="5" t="str">
        <x:v>C0167</x:v>
      </x:c>
      <x:c r="B125" s="5" t="str">
        <x:v>Unassigned</x:v>
      </x:c>
      <x:c r="C125" s="5" t="str">
        <x:v>Unassigned</x:v>
      </x:c>
      <x:c r="D125" s="5" t="str">
        <x:v>Unassigned</x:v>
      </x:c>
      <x:c r="E125" s="5" t="str">
        <x:v>Unassigned</x:v>
      </x:c>
      <x:c r="F125" s="5" t="str">
        <x:v>Ying WANG</x:v>
      </x:c>
      <x:c r="G125" s="5" t="str">
        <x:v>Ying WANG</x:v>
      </x:c>
      <x:c r="H125" s="5" t="n">
        <x:v>2026</x:v>
      </x:c>
      <x:c r="I125" s="5" t="str">
        <x:v>Self-Supervised Contrastive Learning for Unsupervised Anomaly Detection in Industrial Surface Inspection</x:v>
      </x:c>
      <x:c r="J125" s="5" t="str"/>
      <x:c r="K125" s="5" t="str">
        <x:v>10.2139/ssrn.7011192</x:v>
      </x:c>
      <x:c r="L125" s="5" t="str"/>
      <x:c r="M125" s="5" t="str">
        <x:v>https://www.ssrn.com/abstract=7011192</x:v>
      </x:c>
      <x:c r="N125" s="5" t="str">
        <x:v>https://doi.org/10.2139/ssrn.7011192</x:v>
      </x:c>
      <x:c r="O125" s="5" t="str">
        <x:v>Not extracted</x:v>
      </x:c>
      <x:c r="P125" s="5" t="str">
        <x:v>Not extracted</x:v>
      </x:c>
      <x:c r="Q125" s="5" t="str">
        <x:v>Not extracted</x:v>
      </x:c>
      <x:c r="R125" s="5" t="str">
        <x:v>Not extracted</x:v>
      </x:c>
      <x:c r="S125" s="5" t="str">
        <x:v>Unassigned</x:v>
      </x:c>
      <x:c r="T125" s="5" t="str">
        <x:v>Unassigned</x:v>
      </x:c>
      <x:c r="U125" s="5" t="str"/>
      <x:c r="V125" s="5" t="str"/>
      <x:c r="W125" s="5" t="str">
        <x:v>Not extracted</x:v>
      </x:c>
      <x:c r="X125" s="5" t="str">
        <x:v>Pending eligibility screening</x:v>
      </x:c>
      <x:c r="Y125" s="5" t="str">
        <x:v>wang2026_C0167</x:v>
      </x:c>
      <x:c r="Z125" s="5" t="str">
        <x:v>Generated; needs verification</x:v>
      </x:c>
      <x:c r="AA125" s="5" t="str">
        <x:v>No manuscript yet</x:v>
      </x:c>
      <x:c r="AB125" s="5" t="str">
        <x:v>No</x:v>
      </x:c>
      <x:c r="AC125" s="5" t="str">
        <x:v>Not checked</x:v>
      </x:c>
      <x:c r="AD125" s="5" t="str">
        <x:v>Unscreened</x:v>
      </x:c>
      <x:c r="AE125" s="5" t="str">
        <x:v>Not linked</x:v>
      </x:c>
      <x:c r="AF125" s="5" t="str">
        <x:v>S10; S13</x:v>
      </x:c>
      <x:c r="AG125" s="5" t="str">
        <x:v>Crossref REST API</x:v>
      </x:c>
      <x:c r="AH125" s="5" t="str">
        <x:v>Preprint / repository record</x:v>
      </x:c>
      <x:c r="AI125" s="5" t="str">
        <x:v>Metadata only</x:v>
      </x:c>
      <x:c r="AJ125" s="5" t="str">
        <x:v>Verified against deposited metadata; publisher citation check pending</x:v>
      </x:c>
      <x:c r="AK125" s="5" t="str">
        <x:v>posted-content</x:v>
      </x:c>
      <x:c r="AL125" s="5" t="str">
        <x:v>Title-scope candidate</x:v>
      </x:c>
      <x:c r="AM125" s="5" t="str">
        <x:v>review-paper/search-strategy/runs/PILOT-20261013-01/S10.json</x:v>
      </x:c>
      <x:c r="AN125" s="8" t="d">
        <x:v>2026-10-13T00:00:00.000Z</x:v>
      </x:c>
    </x:row>
    <x:row r="126" ht="53" customHeight="1">
      <x:c r="A126" s="5" t="str">
        <x:v>C0168</x:v>
      </x:c>
      <x:c r="B126" s="5" t="str">
        <x:v>Unassigned</x:v>
      </x:c>
      <x:c r="C126" s="5" t="str">
        <x:v>Unassigned</x:v>
      </x:c>
      <x:c r="D126" s="5" t="str">
        <x:v>Unassigned</x:v>
      </x:c>
      <x:c r="E126" s="5" t="str">
        <x:v>Unassigned</x:v>
      </x:c>
      <x:c r="F126" s="5" t="str">
        <x:v>Jie Li; Xing Xu; Lianli Gao; Zheng Wang; Jie Shao</x:v>
      </x:c>
      <x:c r="G126" s="5" t="str">
        <x:v>Jie Li</x:v>
      </x:c>
      <x:c r="H126" s="5" t="n">
        <x:v>2020</x:v>
      </x:c>
      <x:c r="I126" s="5" t="str">
        <x:v>Cognitive visual anomaly detection with constrained latent representations for industrial inspection robot</x:v>
      </x:c>
      <x:c r="J126" s="5" t="str">
        <x:v>Applied Soft Computing</x:v>
      </x:c>
      <x:c r="K126" s="5" t="str">
        <x:v>10.1016/j.asoc.2020.106539</x:v>
      </x:c>
      <x:c r="L126" s="5" t="str"/>
      <x:c r="M126" s="5" t="str">
        <x:v>https://linkinghub.elsevier.com/retrieve/pii/S1568494620304786</x:v>
      </x:c>
      <x:c r="N126" s="5" t="str">
        <x:v>https://doi.org/10.1016/j.asoc.2020.106539</x:v>
      </x:c>
      <x:c r="O126" s="5" t="str">
        <x:v>Not extracted</x:v>
      </x:c>
      <x:c r="P126" s="5" t="str">
        <x:v>Not extracted</x:v>
      </x:c>
      <x:c r="Q126" s="5" t="str">
        <x:v>Not extracted</x:v>
      </x:c>
      <x:c r="R126" s="5" t="str">
        <x:v>Not extracted</x:v>
      </x:c>
      <x:c r="S126" s="5" t="str">
        <x:v>Unassigned</x:v>
      </x:c>
      <x:c r="T126" s="5" t="str">
        <x:v>Unassigned</x:v>
      </x:c>
      <x:c r="U126" s="5" t="str"/>
      <x:c r="V126" s="5" t="str"/>
      <x:c r="W126" s="5" t="str">
        <x:v>Not extracted</x:v>
      </x:c>
      <x:c r="X126" s="5" t="str">
        <x:v>Pending eligibility screening</x:v>
      </x:c>
      <x:c r="Y126" s="5" t="str">
        <x:v>li2020_C0168</x:v>
      </x:c>
      <x:c r="Z126" s="5" t="str">
        <x:v>Generated; needs verification</x:v>
      </x:c>
      <x:c r="AA126" s="5" t="str">
        <x:v>No manuscript yet</x:v>
      </x:c>
      <x:c r="AB126" s="5" t="str">
        <x:v>No</x:v>
      </x:c>
      <x:c r="AC126" s="5" t="str">
        <x:v>Not checked</x:v>
      </x:c>
      <x:c r="AD126" s="5" t="str">
        <x:v>Unscreened</x:v>
      </x:c>
      <x:c r="AE126" s="5" t="str">
        <x:v>Not linked</x:v>
      </x:c>
      <x:c r="AF126" s="5" t="str">
        <x:v>S10</x:v>
      </x:c>
      <x:c r="AG126" s="5" t="str">
        <x:v>Crossref REST API</x:v>
      </x:c>
      <x:c r="AH126" s="5" t="str">
        <x:v>Journal / conference record; peer review not audited</x:v>
      </x:c>
      <x:c r="AI126" s="5" t="str">
        <x:v>Metadata only</x:v>
      </x:c>
      <x:c r="AJ126" s="5" t="str">
        <x:v>Verified against deposited metadata; publisher citation check pending</x:v>
      </x:c>
      <x:c r="AK126" s="5" t="str">
        <x:v>journal-article</x:v>
      </x:c>
      <x:c r="AL126" s="5" t="str">
        <x:v>Title-scope candidate</x:v>
      </x:c>
      <x:c r="AM126" s="5" t="str">
        <x:v>review-paper/search-strategy/runs/PILOT-20261013-01/S10.json</x:v>
      </x:c>
      <x:c r="AN126" s="8" t="d">
        <x:v>2026-10-13T00:00:00.000Z</x:v>
      </x:c>
    </x:row>
    <x:row r="127" ht="53" customHeight="1">
      <x:c r="A127" s="5" t="str">
        <x:v>C0169</x:v>
      </x:c>
      <x:c r="B127" s="5" t="str">
        <x:v>Unassigned</x:v>
      </x:c>
      <x:c r="C127" s="5" t="str">
        <x:v>Unassigned</x:v>
      </x:c>
      <x:c r="D127" s="5" t="str">
        <x:v>Unassigned</x:v>
      </x:c>
      <x:c r="E127" s="5" t="str">
        <x:v>Unassigned</x:v>
      </x:c>
      <x:c r="F127" s="5" t="str">
        <x:v>Kevin D. Barnett; Mohan M. Trivedi</x:v>
      </x:c>
      <x:c r="G127" s="5" t="str">
        <x:v>Kevin D. Barnett</x:v>
      </x:c>
      <x:c r="H127" s="5" t="n">
        <x:v>1989</x:v>
      </x:c>
      <x:c r="I127" s="5" t="str">
        <x:v>Analysis Of Thermal Infrared And Visual Images For Industrial Inspection Tasks</x:v>
      </x:c>
      <x:c r="J127" s="5" t="str">
        <x:v>SPIE Proceedings</x:v>
      </x:c>
      <x:c r="K127" s="5" t="str">
        <x:v>10.1117/12.969297</x:v>
      </x:c>
      <x:c r="L127" s="5" t="str"/>
      <x:c r="M127" s="5" t="str">
        <x:v>http://proceedings.spiedigitallibrary.org/proceeding.aspx?doi=10.1117/12.969297</x:v>
      </x:c>
      <x:c r="N127" s="5" t="str">
        <x:v>https://doi.org/10.1117/12.969297</x:v>
      </x:c>
      <x:c r="O127" s="5" t="str">
        <x:v>Not extracted</x:v>
      </x:c>
      <x:c r="P127" s="5" t="str">
        <x:v>Not extracted</x:v>
      </x:c>
      <x:c r="Q127" s="5" t="str">
        <x:v>Not extracted</x:v>
      </x:c>
      <x:c r="R127" s="5" t="str">
        <x:v>Not extracted</x:v>
      </x:c>
      <x:c r="S127" s="5" t="str">
        <x:v>Unassigned</x:v>
      </x:c>
      <x:c r="T127" s="5" t="str">
        <x:v>Unassigned</x:v>
      </x:c>
      <x:c r="U127" s="5" t="str"/>
      <x:c r="V127" s="5" t="str"/>
      <x:c r="W127" s="5" t="str">
        <x:v>Not extracted</x:v>
      </x:c>
      <x:c r="X127" s="5" t="str">
        <x:v>Pending eligibility screening</x:v>
      </x:c>
      <x:c r="Y127" s="5" t="str">
        <x:v>barnett1989_C0169</x:v>
      </x:c>
      <x:c r="Z127" s="5" t="str">
        <x:v>Generated; needs verification</x:v>
      </x:c>
      <x:c r="AA127" s="5" t="str">
        <x:v>No manuscript yet</x:v>
      </x:c>
      <x:c r="AB127" s="5" t="str">
        <x:v>No</x:v>
      </x:c>
      <x:c r="AC127" s="5" t="str">
        <x:v>Not checked</x:v>
      </x:c>
      <x:c r="AD127" s="5" t="str">
        <x:v>Unscreened</x:v>
      </x:c>
      <x:c r="AE127" s="5" t="str">
        <x:v>Not linked</x:v>
      </x:c>
      <x:c r="AF127" s="5" t="str">
        <x:v>S10</x:v>
      </x:c>
      <x:c r="AG127" s="5" t="str">
        <x:v>Crossref REST API</x:v>
      </x:c>
      <x:c r="AH127" s="5" t="str">
        <x:v>Journal / conference record; peer review not audited</x:v>
      </x:c>
      <x:c r="AI127" s="5" t="str">
        <x:v>Metadata only</x:v>
      </x:c>
      <x:c r="AJ127" s="5" t="str">
        <x:v>Verified against deposited metadata; publisher citation check pending</x:v>
      </x:c>
      <x:c r="AK127" s="5" t="str">
        <x:v>proceedings-article</x:v>
      </x:c>
      <x:c r="AL127" s="5" t="str">
        <x:v>Title-scope candidate</x:v>
      </x:c>
      <x:c r="AM127" s="5" t="str">
        <x:v>review-paper/search-strategy/runs/PILOT-20261013-01/S10.json</x:v>
      </x:c>
      <x:c r="AN127" s="8" t="d">
        <x:v>2026-10-13T00:00:00.000Z</x:v>
      </x:c>
    </x:row>
    <x:row r="128" ht="68" customHeight="1">
      <x:c r="A128" s="5" t="str">
        <x:v>C0170</x:v>
      </x:c>
      <x:c r="B128" s="5" t="str">
        <x:v>Unassigned</x:v>
      </x:c>
      <x:c r="C128" s="5" t="str">
        <x:v>Unassigned</x:v>
      </x:c>
      <x:c r="D128" s="5" t="str">
        <x:v>Unassigned</x:v>
      </x:c>
      <x:c r="E128" s="5" t="str">
        <x:v>Unassigned</x:v>
      </x:c>
      <x:c r="F128" s="5" t="str">
        <x:v>Yu Ding</x:v>
      </x:c>
      <x:c r="G128" s="5" t="str">
        <x:v>Yu Ding</x:v>
      </x:c>
      <x:c r="H128" s="5" t="n">
        <x:v>2025</x:v>
      </x:c>
      <x:c r="I128" s="5" t="str">
        <x:v>Die-to-prompt: visual language model-based defect inspection and anomaly detection</x:v>
      </x:c>
      <x:c r="J128" s="5" t="str">
        <x:v>Metrology, Inspection, and Process Control XXXIX</x:v>
      </x:c>
      <x:c r="K128" s="5" t="str">
        <x:v>10.1117/12.3052174</x:v>
      </x:c>
      <x:c r="L128" s="5" t="str"/>
      <x:c r="M128" s="5" t="str">
        <x:v>https://www.spiedigitallibrary.org/conference-proceedings-of-spie/13426/3052174/Die-to-prompt--visual-language-model-based-defect-inspection/10.1117/12.3052174.full</x:v>
      </x:c>
      <x:c r="N128" s="5" t="str">
        <x:v>https://doi.org/10.1117/12.3052174</x:v>
      </x:c>
      <x:c r="O128" s="5" t="str">
        <x:v>Not extracted</x:v>
      </x:c>
      <x:c r="P128" s="5" t="str">
        <x:v>Not extracted</x:v>
      </x:c>
      <x:c r="Q128" s="5" t="str">
        <x:v>Not extracted</x:v>
      </x:c>
      <x:c r="R128" s="5" t="str">
        <x:v>Not extracted</x:v>
      </x:c>
      <x:c r="S128" s="5" t="str">
        <x:v>Unassigned</x:v>
      </x:c>
      <x:c r="T128" s="5" t="str">
        <x:v>Unassigned</x:v>
      </x:c>
      <x:c r="U128" s="5" t="str"/>
      <x:c r="V128" s="5" t="str"/>
      <x:c r="W128" s="5" t="str">
        <x:v>Not extracted</x:v>
      </x:c>
      <x:c r="X128" s="5" t="str">
        <x:v>Pending eligibility screening</x:v>
      </x:c>
      <x:c r="Y128" s="5" t="str">
        <x:v>ding2025_C0170</x:v>
      </x:c>
      <x:c r="Z128" s="5" t="str">
        <x:v>Generated; needs verification</x:v>
      </x:c>
      <x:c r="AA128" s="5" t="str">
        <x:v>No manuscript yet</x:v>
      </x:c>
      <x:c r="AB128" s="5" t="str">
        <x:v>No</x:v>
      </x:c>
      <x:c r="AC128" s="5" t="str">
        <x:v>Not checked</x:v>
      </x:c>
      <x:c r="AD128" s="5" t="str">
        <x:v>Unscreened</x:v>
      </x:c>
      <x:c r="AE128" s="5" t="str">
        <x:v>Not linked</x:v>
      </x:c>
      <x:c r="AF128" s="5" t="str">
        <x:v>S10</x:v>
      </x:c>
      <x:c r="AG128" s="5" t="str">
        <x:v>Crossref REST API</x:v>
      </x:c>
      <x:c r="AH128" s="5" t="str">
        <x:v>Journal / conference record; peer review not audited</x:v>
      </x:c>
      <x:c r="AI128" s="5" t="str">
        <x:v>Metadata only</x:v>
      </x:c>
      <x:c r="AJ128" s="5" t="str">
        <x:v>Verified against deposited metadata; publisher citation check pending</x:v>
      </x:c>
      <x:c r="AK128" s="5" t="str">
        <x:v>proceedings-article</x:v>
      </x:c>
      <x:c r="AL128" s="5" t="str">
        <x:v>Title-scope candidate</x:v>
      </x:c>
      <x:c r="AM128" s="5" t="str">
        <x:v>review-paper/search-strategy/runs/PILOT-20261013-01/S10.json</x:v>
      </x:c>
      <x:c r="AN128" s="8" t="d">
        <x:v>2026-10-13T00:00:00.000Z</x:v>
      </x:c>
    </x:row>
    <x:row r="129" ht="68" customHeight="1">
      <x:c r="A129" s="5" t="str">
        <x:v>C0171</x:v>
      </x:c>
      <x:c r="B129" s="5" t="str">
        <x:v>Unassigned</x:v>
      </x:c>
      <x:c r="C129" s="5" t="str">
        <x:v>Unassigned</x:v>
      </x:c>
      <x:c r="D129" s="5" t="str">
        <x:v>Unassigned</x:v>
      </x:c>
      <x:c r="E129" s="5" t="str">
        <x:v>Unassigned</x:v>
      </x:c>
      <x:c r="F129" s="5" t="str">
        <x:v>Johannes Meyer; Pierrick Arpin; Lukas Dippon; Christian Kludt; Thomas Längle</x:v>
      </x:c>
      <x:c r="G129" s="5" t="str">
        <x:v>Johannes Meyer</x:v>
      </x:c>
      <x:c r="H129" s="5" t="n">
        <x:v>2025</x:v>
      </x:c>
      <x:c r="I129" s="5" t="str">
        <x:v>Inverse rendering of a digital twin for visual inspection via anomaly detection</x:v>
      </x:c>
      <x:c r="J129" s="5" t="str">
        <x:v>Automated Visual Inspection and Machine Vision VI</x:v>
      </x:c>
      <x:c r="K129" s="5" t="str">
        <x:v>10.1117/12.3057380</x:v>
      </x:c>
      <x:c r="L129" s="5" t="str"/>
      <x:c r="M129" s="5" t="str">
        <x:v>https://www.spiedigitallibrary.org/conference-proceedings-of-spie/13572/3057380/Inverse-rendering-of-a-digital-twin-for-visual-inspection-via/10.1117/12.3057380.full</x:v>
      </x:c>
      <x:c r="N129" s="5" t="str">
        <x:v>https://doi.org/10.1117/12.3057380</x:v>
      </x:c>
      <x:c r="O129" s="5" t="str">
        <x:v>Not extracted</x:v>
      </x:c>
      <x:c r="P129" s="5" t="str">
        <x:v>Not extracted</x:v>
      </x:c>
      <x:c r="Q129" s="5" t="str">
        <x:v>Not extracted</x:v>
      </x:c>
      <x:c r="R129" s="5" t="str">
        <x:v>Not extracted</x:v>
      </x:c>
      <x:c r="S129" s="5" t="str">
        <x:v>Unassigned</x:v>
      </x:c>
      <x:c r="T129" s="5" t="str">
        <x:v>Unassigned</x:v>
      </x:c>
      <x:c r="U129" s="5" t="str"/>
      <x:c r="V129" s="5" t="str"/>
      <x:c r="W129" s="5" t="str">
        <x:v>Not extracted</x:v>
      </x:c>
      <x:c r="X129" s="5" t="str">
        <x:v>Pending eligibility screening</x:v>
      </x:c>
      <x:c r="Y129" s="5" t="str">
        <x:v>meyer2025_C0171</x:v>
      </x:c>
      <x:c r="Z129" s="5" t="str">
        <x:v>Generated; needs verification</x:v>
      </x:c>
      <x:c r="AA129" s="5" t="str">
        <x:v>No manuscript yet</x:v>
      </x:c>
      <x:c r="AB129" s="5" t="str">
        <x:v>No</x:v>
      </x:c>
      <x:c r="AC129" s="5" t="str">
        <x:v>Not checked</x:v>
      </x:c>
      <x:c r="AD129" s="5" t="str">
        <x:v>Unscreened</x:v>
      </x:c>
      <x:c r="AE129" s="5" t="str">
        <x:v>Not linked</x:v>
      </x:c>
      <x:c r="AF129" s="5" t="str">
        <x:v>S10</x:v>
      </x:c>
      <x:c r="AG129" s="5" t="str">
        <x:v>Crossref REST API</x:v>
      </x:c>
      <x:c r="AH129" s="5" t="str">
        <x:v>Journal / conference record; peer review not audited</x:v>
      </x:c>
      <x:c r="AI129" s="5" t="str">
        <x:v>Metadata only</x:v>
      </x:c>
      <x:c r="AJ129" s="5" t="str">
        <x:v>Verified against deposited metadata; publisher citation check pending</x:v>
      </x:c>
      <x:c r="AK129" s="5" t="str">
        <x:v>proceedings-article</x:v>
      </x:c>
      <x:c r="AL129" s="5" t="str">
        <x:v>Title-scope candidate</x:v>
      </x:c>
      <x:c r="AM129" s="5" t="str">
        <x:v>review-paper/search-strategy/runs/PILOT-20261013-01/S10.json</x:v>
      </x:c>
      <x:c r="AN129" s="8" t="d">
        <x:v>2026-10-13T00:00:00.000Z</x:v>
      </x:c>
    </x:row>
    <x:row r="130" ht="83" customHeight="1">
      <x:c r="A130" s="5" t="str">
        <x:v>C0172</x:v>
      </x:c>
      <x:c r="B130" s="5" t="str">
        <x:v>Unassigned</x:v>
      </x:c>
      <x:c r="C130" s="5" t="str">
        <x:v>Unassigned</x:v>
      </x:c>
      <x:c r="D130" s="5" t="str">
        <x:v>Unassigned</x:v>
      </x:c>
      <x:c r="E130" s="5" t="str">
        <x:v>Unassigned</x:v>
      </x:c>
      <x:c r="F130" s="5" t="str">
        <x:v>Anna Khatyreva; Iris Kuntz; Tobias Schmid-Schirling; Thomas Brox; Daniel Carl</x:v>
      </x:c>
      <x:c r="G130" s="5" t="str">
        <x:v>Anna Khatyreva</x:v>
      </x:c>
      <x:c r="H130" s="5" t="n">
        <x:v>2023</x:v>
      </x:c>
      <x:c r="I130" s="5" t="str">
        <x:v>Unsupervised anomaly detection for industrial manufacturing using multiple perspectives of free falling parts</x:v>
      </x:c>
      <x:c r="J130" s="5" t="str">
        <x:v>Automated Visual Inspection and Machine Vision V</x:v>
      </x:c>
      <x:c r="K130" s="5" t="str">
        <x:v>10.1117/12.2672541</x:v>
      </x:c>
      <x:c r="L130" s="5" t="str"/>
      <x:c r="M130" s="5" t="str">
        <x:v>https://www.spiedigitallibrary.org/conference-proceedings-of-spie/12623/2672541/Unsupervised-anomaly-detection-for-industrial-manufacturing-using-multiple-perspectives-of/10.1117/12.2672541.full</x:v>
      </x:c>
      <x:c r="N130" s="5" t="str">
        <x:v>https://doi.org/10.1117/12.2672541</x:v>
      </x:c>
      <x:c r="O130" s="5" t="str">
        <x:v>Not extracted</x:v>
      </x:c>
      <x:c r="P130" s="5" t="str">
        <x:v>Not extracted</x:v>
      </x:c>
      <x:c r="Q130" s="5" t="str">
        <x:v>Not extracted</x:v>
      </x:c>
      <x:c r="R130" s="5" t="str">
        <x:v>Not extracted</x:v>
      </x:c>
      <x:c r="S130" s="5" t="str">
        <x:v>Unassigned</x:v>
      </x:c>
      <x:c r="T130" s="5" t="str">
        <x:v>Unassigned</x:v>
      </x:c>
      <x:c r="U130" s="5" t="str"/>
      <x:c r="V130" s="5" t="str"/>
      <x:c r="W130" s="5" t="str">
        <x:v>Not extracted</x:v>
      </x:c>
      <x:c r="X130" s="5" t="str">
        <x:v>Pending eligibility screening</x:v>
      </x:c>
      <x:c r="Y130" s="5" t="str">
        <x:v>khatyreva2023_C0172</x:v>
      </x:c>
      <x:c r="Z130" s="5" t="str">
        <x:v>Generated; needs verification</x:v>
      </x:c>
      <x:c r="AA130" s="5" t="str">
        <x:v>No manuscript yet</x:v>
      </x:c>
      <x:c r="AB130" s="5" t="str">
        <x:v>No</x:v>
      </x:c>
      <x:c r="AC130" s="5" t="str">
        <x:v>Not checked</x:v>
      </x:c>
      <x:c r="AD130" s="5" t="str">
        <x:v>Unscreened</x:v>
      </x:c>
      <x:c r="AE130" s="5" t="str">
        <x:v>Not linked</x:v>
      </x:c>
      <x:c r="AF130" s="5" t="str">
        <x:v>S10; S13</x:v>
      </x:c>
      <x:c r="AG130" s="5" t="str">
        <x:v>Crossref REST API</x:v>
      </x:c>
      <x:c r="AH130" s="5" t="str">
        <x:v>Journal / conference record; peer review not audited</x:v>
      </x:c>
      <x:c r="AI130" s="5" t="str">
        <x:v>Metadata only</x:v>
      </x:c>
      <x:c r="AJ130" s="5" t="str">
        <x:v>Verified against deposited metadata; publisher citation check pending</x:v>
      </x:c>
      <x:c r="AK130" s="5" t="str">
        <x:v>proceedings-article</x:v>
      </x:c>
      <x:c r="AL130" s="5" t="str">
        <x:v>Title-scope candidate</x:v>
      </x:c>
      <x:c r="AM130" s="5" t="str">
        <x:v>review-paper/search-strategy/runs/PILOT-20261013-01/S10.json</x:v>
      </x:c>
      <x:c r="AN130" s="8" t="d">
        <x:v>2026-10-13T00:00:00.000Z</x:v>
      </x:c>
    </x:row>
    <x:row r="131" ht="83" customHeight="1">
      <x:c r="A131" s="5" t="str">
        <x:v>C0173</x:v>
      </x:c>
      <x:c r="B131" s="5" t="str">
        <x:v>Unassigned</x:v>
      </x:c>
      <x:c r="C131" s="5" t="str">
        <x:v>Unassigned</x:v>
      </x:c>
      <x:c r="D131" s="5" t="str">
        <x:v>Unassigned</x:v>
      </x:c>
      <x:c r="E131" s="5" t="str">
        <x:v>Unassigned</x:v>
      </x:c>
      <x:c r="F131" s="5" t="str">
        <x:v>Jamal Saeedi; Alessandro Giusti</x:v>
      </x:c>
      <x:c r="G131" s="5" t="str">
        <x:v>Jamal Saeedi</x:v>
      </x:c>
      <x:c r="H131" s="5" t="n">
        <x:v>2022</x:v>
      </x:c>
      <x:c r="I131" s="5" t="str">
        <x:v>Anomaly Detection for Industrial Inspection using Convolutional Autoencoder and Deep Feature-based One-class Classification</x:v>
      </x:c>
      <x:c r="J131" s="5" t="str">
        <x:v>Proceedings of the 17th International Joint Conference on Computer Vision, Imaging and Computer Graphics Theory and Applications</x:v>
      </x:c>
      <x:c r="K131" s="5" t="str">
        <x:v>10.5220/0010780200003124</x:v>
      </x:c>
      <x:c r="L131" s="5" t="str"/>
      <x:c r="M131" s="5" t="str">
        <x:v>https://www.scitepress.org/DigitalLibrary/Link.aspx?doi=10.5220/0010780200003124</x:v>
      </x:c>
      <x:c r="N131" s="5" t="str">
        <x:v>https://doi.org/10.5220/0010780200003124</x:v>
      </x:c>
      <x:c r="O131" s="5" t="str">
        <x:v>Not extracted</x:v>
      </x:c>
      <x:c r="P131" s="5" t="str">
        <x:v>Not extracted</x:v>
      </x:c>
      <x:c r="Q131" s="5" t="str">
        <x:v>Not extracted</x:v>
      </x:c>
      <x:c r="R131" s="5" t="str">
        <x:v>Not extracted</x:v>
      </x:c>
      <x:c r="S131" s="5" t="str">
        <x:v>Unassigned</x:v>
      </x:c>
      <x:c r="T131" s="5" t="str">
        <x:v>Unassigned</x:v>
      </x:c>
      <x:c r="U131" s="5" t="str"/>
      <x:c r="V131" s="5" t="str"/>
      <x:c r="W131" s="5" t="str">
        <x:v>Not extracted</x:v>
      </x:c>
      <x:c r="X131" s="5" t="str">
        <x:v>Pending eligibility screening</x:v>
      </x:c>
      <x:c r="Y131" s="5" t="str">
        <x:v>saeedi2022_C0173</x:v>
      </x:c>
      <x:c r="Z131" s="5" t="str">
        <x:v>Generated; needs verification</x:v>
      </x:c>
      <x:c r="AA131" s="5" t="str">
        <x:v>No manuscript yet</x:v>
      </x:c>
      <x:c r="AB131" s="5" t="str">
        <x:v>No</x:v>
      </x:c>
      <x:c r="AC131" s="5" t="str">
        <x:v>Not checked</x:v>
      </x:c>
      <x:c r="AD131" s="5" t="str">
        <x:v>Unscreened</x:v>
      </x:c>
      <x:c r="AE131" s="5" t="str">
        <x:v>Not linked</x:v>
      </x:c>
      <x:c r="AF131" s="5" t="str">
        <x:v>S10; S13</x:v>
      </x:c>
      <x:c r="AG131" s="5" t="str">
        <x:v>Crossref REST API</x:v>
      </x:c>
      <x:c r="AH131" s="5" t="str">
        <x:v>Journal / conference record; peer review not audited</x:v>
      </x:c>
      <x:c r="AI131" s="5" t="str">
        <x:v>Metadata only</x:v>
      </x:c>
      <x:c r="AJ131" s="5" t="str">
        <x:v>Verified against deposited metadata; publisher citation check pending</x:v>
      </x:c>
      <x:c r="AK131" s="5" t="str">
        <x:v>proceedings-article</x:v>
      </x:c>
      <x:c r="AL131" s="5" t="str">
        <x:v>Title-scope candidate</x:v>
      </x:c>
      <x:c r="AM131" s="5" t="str">
        <x:v>review-paper/search-strategy/runs/PILOT-20261013-01/S10.json</x:v>
      </x:c>
      <x:c r="AN131" s="8" t="d">
        <x:v>2026-10-13T00:00:00.000Z</x:v>
      </x:c>
    </x:row>
    <x:row r="132" ht="53" customHeight="1">
      <x:c r="A132" s="5" t="str">
        <x:v>C0174</x:v>
      </x:c>
      <x:c r="B132" s="5" t="str">
        <x:v>Unassigned</x:v>
      </x:c>
      <x:c r="C132" s="5" t="str">
        <x:v>Unassigned</x:v>
      </x:c>
      <x:c r="D132" s="5" t="str">
        <x:v>Unassigned</x:v>
      </x:c>
      <x:c r="E132" s="5" t="str">
        <x:v>Unassigned</x:v>
      </x:c>
      <x:c r="F132" s="5" t="str">
        <x:v>Tongkun Liu; Bing Li; Xiao Du; Bingke Jiang; Xiao Jin; Liuyi Jin; Zhuo Zhao</x:v>
      </x:c>
      <x:c r="G132" s="5" t="str">
        <x:v>Tongkun Liu</x:v>
      </x:c>
      <x:c r="H132" s="5" t="n">
        <x:v>2023</x:v>
      </x:c>
      <x:c r="I132" s="5" t="str">
        <x:v>Component-aware anomaly detection framework for adjustable and logical industrial visual inspection</x:v>
      </x:c>
      <x:c r="J132" s="5" t="str">
        <x:v>Advanced Engineering Informatics</x:v>
      </x:c>
      <x:c r="K132" s="5" t="str">
        <x:v>10.1016/j.aei.2023.102161</x:v>
      </x:c>
      <x:c r="L132" s="5" t="str"/>
      <x:c r="M132" s="5" t="str">
        <x:v>https://linkinghub.elsevier.com/retrieve/pii/S1474034623002896</x:v>
      </x:c>
      <x:c r="N132" s="5" t="str">
        <x:v>https://doi.org/10.1016/j.aei.2023.102161</x:v>
      </x:c>
      <x:c r="O132" s="5" t="str">
        <x:v>Not extracted</x:v>
      </x:c>
      <x:c r="P132" s="5" t="str">
        <x:v>Not extracted</x:v>
      </x:c>
      <x:c r="Q132" s="5" t="str">
        <x:v>Not extracted</x:v>
      </x:c>
      <x:c r="R132" s="5" t="str">
        <x:v>Not extracted</x:v>
      </x:c>
      <x:c r="S132" s="5" t="str">
        <x:v>Unassigned</x:v>
      </x:c>
      <x:c r="T132" s="5" t="str">
        <x:v>Unassigned</x:v>
      </x:c>
      <x:c r="U132" s="5" t="str"/>
      <x:c r="V132" s="5" t="str"/>
      <x:c r="W132" s="5" t="str">
        <x:v>Not extracted</x:v>
      </x:c>
      <x:c r="X132" s="5" t="str">
        <x:v>Pending eligibility screening</x:v>
      </x:c>
      <x:c r="Y132" s="5" t="str">
        <x:v>liu2023_C0174</x:v>
      </x:c>
      <x:c r="Z132" s="5" t="str">
        <x:v>Generated; needs verification</x:v>
      </x:c>
      <x:c r="AA132" s="5" t="str">
        <x:v>No manuscript yet</x:v>
      </x:c>
      <x:c r="AB132" s="5" t="str">
        <x:v>No</x:v>
      </x:c>
      <x:c r="AC132" s="5" t="str">
        <x:v>Not checked</x:v>
      </x:c>
      <x:c r="AD132" s="5" t="str">
        <x:v>Unscreened</x:v>
      </x:c>
      <x:c r="AE132" s="5" t="str">
        <x:v>Not linked</x:v>
      </x:c>
      <x:c r="AF132" s="5" t="str">
        <x:v>S10</x:v>
      </x:c>
      <x:c r="AG132" s="5" t="str">
        <x:v>Crossref REST API</x:v>
      </x:c>
      <x:c r="AH132" s="5" t="str">
        <x:v>Journal / conference record; peer review not audited</x:v>
      </x:c>
      <x:c r="AI132" s="5" t="str">
        <x:v>Metadata only</x:v>
      </x:c>
      <x:c r="AJ132" s="5" t="str">
        <x:v>Verified against deposited metadata; publisher citation check pending</x:v>
      </x:c>
      <x:c r="AK132" s="5" t="str">
        <x:v>journal-article</x:v>
      </x:c>
      <x:c r="AL132" s="5" t="str">
        <x:v>Title-scope candidate</x:v>
      </x:c>
      <x:c r="AM132" s="5" t="str">
        <x:v>review-paper/search-strategy/runs/PILOT-20261013-01/S10.json</x:v>
      </x:c>
      <x:c r="AN132" s="8" t="d">
        <x:v>2026-10-13T00:00:00.000Z</x:v>
      </x:c>
    </x:row>
    <x:row r="133" ht="53" customHeight="1">
      <x:c r="A133" s="5" t="str">
        <x:v>C0175</x:v>
      </x:c>
      <x:c r="B133" s="5" t="str">
        <x:v>Unassigned</x:v>
      </x:c>
      <x:c r="C133" s="5" t="str">
        <x:v>Unassigned</x:v>
      </x:c>
      <x:c r="D133" s="5" t="str">
        <x:v>Unassigned</x:v>
      </x:c>
      <x:c r="E133" s="5" t="str">
        <x:v>Unassigned</x:v>
      </x:c>
      <x:c r="F133" s="5" t="str">
        <x:v>Laiqi Wang; Jianhua Ou; Jianguo Wang; Cong Hu; Yadong Fan; Fuhua Xie</x:v>
      </x:c>
      <x:c r="G133" s="5" t="str">
        <x:v>Laiqi Wang</x:v>
      </x:c>
      <x:c r="H133" s="5" t="n">
        <x:v>2023</x:v>
      </x:c>
      <x:c r="I133" s="5" t="str">
        <x:v>Thermal Anomaly Area Intelligent Recognition Method Based on Infrared Inspection Image of Electrical Equipment</x:v>
      </x:c>
      <x:c r="J133" s="5" t="str"/>
      <x:c r="K133" s="5" t="str">
        <x:v>10.22541/au.169028989.93419503/v1</x:v>
      </x:c>
      <x:c r="L133" s="5" t="str"/>
      <x:c r="M133" s="5" t="str">
        <x:v>https://www.authorea.com/doi/full/10.22541/au.169028989.93419503/v1</x:v>
      </x:c>
      <x:c r="N133" s="5" t="str">
        <x:v>https://doi.org/10.22541/au.169028989.93419503/v1</x:v>
      </x:c>
      <x:c r="O133" s="5" t="str">
        <x:v>Not extracted</x:v>
      </x:c>
      <x:c r="P133" s="5" t="str">
        <x:v>Not extracted</x:v>
      </x:c>
      <x:c r="Q133" s="5" t="str">
        <x:v>Not extracted</x:v>
      </x:c>
      <x:c r="R133" s="5" t="str">
        <x:v>Not extracted</x:v>
      </x:c>
      <x:c r="S133" s="5" t="str">
        <x:v>Unassigned</x:v>
      </x:c>
      <x:c r="T133" s="5" t="str">
        <x:v>Unassigned</x:v>
      </x:c>
      <x:c r="U133" s="5" t="str"/>
      <x:c r="V133" s="5" t="str"/>
      <x:c r="W133" s="5" t="str">
        <x:v>Not extracted</x:v>
      </x:c>
      <x:c r="X133" s="5" t="str">
        <x:v>Pending eligibility screening</x:v>
      </x:c>
      <x:c r="Y133" s="5" t="str">
        <x:v>wang2023_C0175</x:v>
      </x:c>
      <x:c r="Z133" s="5" t="str">
        <x:v>Generated; needs verification</x:v>
      </x:c>
      <x:c r="AA133" s="5" t="str">
        <x:v>No manuscript yet</x:v>
      </x:c>
      <x:c r="AB133" s="5" t="str">
        <x:v>No</x:v>
      </x:c>
      <x:c r="AC133" s="5" t="str">
        <x:v>Not checked</x:v>
      </x:c>
      <x:c r="AD133" s="5" t="str">
        <x:v>Unscreened</x:v>
      </x:c>
      <x:c r="AE133" s="5" t="str">
        <x:v>Not linked</x:v>
      </x:c>
      <x:c r="AF133" s="5" t="str">
        <x:v>S10</x:v>
      </x:c>
      <x:c r="AG133" s="5" t="str">
        <x:v>Crossref REST API</x:v>
      </x:c>
      <x:c r="AH133" s="5" t="str">
        <x:v>Preprint / repository record</x:v>
      </x:c>
      <x:c r="AI133" s="5" t="str">
        <x:v>Metadata only</x:v>
      </x:c>
      <x:c r="AJ133" s="5" t="str">
        <x:v>Verified against deposited metadata; publisher citation check pending</x:v>
      </x:c>
      <x:c r="AK133" s="5" t="str">
        <x:v>posted-content</x:v>
      </x:c>
      <x:c r="AL133" s="5" t="str">
        <x:v>Title-scope candidate</x:v>
      </x:c>
      <x:c r="AM133" s="5" t="str">
        <x:v>review-paper/search-strategy/runs/PILOT-20261013-01/S10.json</x:v>
      </x:c>
      <x:c r="AN133" s="8" t="d">
        <x:v>2026-10-13T00:00:00.000Z</x:v>
      </x:c>
    </x:row>
    <x:row r="134" ht="53" customHeight="1">
      <x:c r="A134" s="5" t="str">
        <x:v>C0176</x:v>
      </x:c>
      <x:c r="B134" s="5" t="str">
        <x:v>Unassigned</x:v>
      </x:c>
      <x:c r="C134" s="5" t="str">
        <x:v>Unassigned</x:v>
      </x:c>
      <x:c r="D134" s="5" t="str">
        <x:v>Unassigned</x:v>
      </x:c>
      <x:c r="E134" s="5" t="str">
        <x:v>Unassigned</x:v>
      </x:c>
      <x:c r="F134" s="5" t="str">
        <x:v>Xuesong Zhang; Min Wu; Hua Jin; Jing Wang</x:v>
      </x:c>
      <x:c r="G134" s="5" t="str">
        <x:v>Xuesong Zhang</x:v>
      </x:c>
      <x:c r="H134" s="5" t="n">
        <x:v>2026</x:v>
      </x:c>
      <x:c r="I134" s="5" t="str">
        <x:v>Dual-Branch Collaborative Framework for Robust Visual Anomaly Detection in Mobile Robot Inspection</x:v>
      </x:c>
      <x:c r="J134" s="5" t="str"/>
      <x:c r="K134" s="5" t="str">
        <x:v>10.21203/rs.3.rs-9502784/v1</x:v>
      </x:c>
      <x:c r="L134" s="5" t="str"/>
      <x:c r="M134" s="5" t="str">
        <x:v>https://www.researchsquare.com/article/rs-9502784/v1</x:v>
      </x:c>
      <x:c r="N134" s="5" t="str">
        <x:v>https://doi.org/10.21203/rs.3.rs-9502784/v1</x:v>
      </x:c>
      <x:c r="O134" s="5" t="str">
        <x:v>Not extracted</x:v>
      </x:c>
      <x:c r="P134" s="5" t="str">
        <x:v>Not extracted</x:v>
      </x:c>
      <x:c r="Q134" s="5" t="str">
        <x:v>Not extracted</x:v>
      </x:c>
      <x:c r="R134" s="5" t="str">
        <x:v>Not extracted</x:v>
      </x:c>
      <x:c r="S134" s="5" t="str">
        <x:v>Unassigned</x:v>
      </x:c>
      <x:c r="T134" s="5" t="str">
        <x:v>Unassigned</x:v>
      </x:c>
      <x:c r="U134" s="5" t="str"/>
      <x:c r="V134" s="5" t="str"/>
      <x:c r="W134" s="5" t="str">
        <x:v>Not extracted</x:v>
      </x:c>
      <x:c r="X134" s="5" t="str">
        <x:v>Pending eligibility screening</x:v>
      </x:c>
      <x:c r="Y134" s="5" t="str">
        <x:v>zhang2026_C0176</x:v>
      </x:c>
      <x:c r="Z134" s="5" t="str">
        <x:v>Generated; needs verification</x:v>
      </x:c>
      <x:c r="AA134" s="5" t="str">
        <x:v>No manuscript yet</x:v>
      </x:c>
      <x:c r="AB134" s="5" t="str">
        <x:v>No</x:v>
      </x:c>
      <x:c r="AC134" s="5" t="str">
        <x:v>Not checked</x:v>
      </x:c>
      <x:c r="AD134" s="5" t="str">
        <x:v>Unscreened</x:v>
      </x:c>
      <x:c r="AE134" s="5" t="str">
        <x:v>Not linked</x:v>
      </x:c>
      <x:c r="AF134" s="5" t="str">
        <x:v>S10</x:v>
      </x:c>
      <x:c r="AG134" s="5" t="str">
        <x:v>Crossref REST API</x:v>
      </x:c>
      <x:c r="AH134" s="5" t="str">
        <x:v>Preprint / repository record</x:v>
      </x:c>
      <x:c r="AI134" s="5" t="str">
        <x:v>Metadata only</x:v>
      </x:c>
      <x:c r="AJ134" s="5" t="str">
        <x:v>Verified against deposited metadata; publisher citation check pending</x:v>
      </x:c>
      <x:c r="AK134" s="5" t="str">
        <x:v>posted-content</x:v>
      </x:c>
      <x:c r="AL134" s="5" t="str">
        <x:v>Title-scope candidate</x:v>
      </x:c>
      <x:c r="AM134" s="5" t="str">
        <x:v>review-paper/search-strategy/runs/PILOT-20261013-01/S10.json</x:v>
      </x:c>
      <x:c r="AN134" s="8" t="d">
        <x:v>2026-10-13T00:00:00.000Z</x:v>
      </x:c>
    </x:row>
    <x:row r="135" ht="53" customHeight="1">
      <x:c r="A135" s="5" t="str">
        <x:v>C0177</x:v>
      </x:c>
      <x:c r="B135" s="5" t="str">
        <x:v>Unassigned</x:v>
      </x:c>
      <x:c r="C135" s="5" t="str">
        <x:v>Unassigned</x:v>
      </x:c>
      <x:c r="D135" s="5" t="str">
        <x:v>Unassigned</x:v>
      </x:c>
      <x:c r="E135" s="5" t="str">
        <x:v>Unassigned</x:v>
      </x:c>
      <x:c r="F135" s="5" t="str">
        <x:v>Om Prakash Verma; Arnav Kashyap; Aishvary Varyani; Arnav Chhabra</x:v>
      </x:c>
      <x:c r="G135" s="5" t="str">
        <x:v>Om Prakash Verma</x:v>
      </x:c>
      <x:c r="H135" s="5" t="n">
        <x:v>2026</x:v>
      </x:c>
      <x:c r="I135" s="5" t="str">
        <x:v>A reproducible and edge-oriented industrial visual anomaly inspection framework</x:v>
      </x:c>
      <x:c r="J135" s="5" t="str">
        <x:v>The Visual Computer</x:v>
      </x:c>
      <x:c r="K135" s="5" t="str">
        <x:v>10.1007/s00371-026-04746-x</x:v>
      </x:c>
      <x:c r="L135" s="5" t="str"/>
      <x:c r="M135" s="5" t="str">
        <x:v>https://link.springer.com/10.1007/s00371-026-04746-x</x:v>
      </x:c>
      <x:c r="N135" s="5" t="str">
        <x:v>https://doi.org/10.1007/s00371-026-04746-x</x:v>
      </x:c>
      <x:c r="O135" s="5" t="str">
        <x:v>Not extracted</x:v>
      </x:c>
      <x:c r="P135" s="5" t="str">
        <x:v>Not extracted</x:v>
      </x:c>
      <x:c r="Q135" s="5" t="str">
        <x:v>Not extracted</x:v>
      </x:c>
      <x:c r="R135" s="5" t="str">
        <x:v>Not extracted</x:v>
      </x:c>
      <x:c r="S135" s="5" t="str">
        <x:v>Unassigned</x:v>
      </x:c>
      <x:c r="T135" s="5" t="str">
        <x:v>Unassigned</x:v>
      </x:c>
      <x:c r="U135" s="5" t="str"/>
      <x:c r="V135" s="5" t="str"/>
      <x:c r="W135" s="5" t="str">
        <x:v>Not extracted</x:v>
      </x:c>
      <x:c r="X135" s="5" t="str">
        <x:v>Pending eligibility screening</x:v>
      </x:c>
      <x:c r="Y135" s="5" t="str">
        <x:v>verma2026_C0177</x:v>
      </x:c>
      <x:c r="Z135" s="5" t="str">
        <x:v>Generated; needs verification</x:v>
      </x:c>
      <x:c r="AA135" s="5" t="str">
        <x:v>No manuscript yet</x:v>
      </x:c>
      <x:c r="AB135" s="5" t="str">
        <x:v>No</x:v>
      </x:c>
      <x:c r="AC135" s="5" t="str">
        <x:v>Not checked</x:v>
      </x:c>
      <x:c r="AD135" s="5" t="str">
        <x:v>Unscreened</x:v>
      </x:c>
      <x:c r="AE135" s="5" t="str">
        <x:v>Not linked</x:v>
      </x:c>
      <x:c r="AF135" s="5" t="str">
        <x:v>S10</x:v>
      </x:c>
      <x:c r="AG135" s="5" t="str">
        <x:v>Crossref REST API</x:v>
      </x:c>
      <x:c r="AH135" s="5" t="str">
        <x:v>Journal / conference record; peer review not audited</x:v>
      </x:c>
      <x:c r="AI135" s="5" t="str">
        <x:v>Metadata only</x:v>
      </x:c>
      <x:c r="AJ135" s="5" t="str">
        <x:v>Verified against deposited metadata; publisher citation check pending</x:v>
      </x:c>
      <x:c r="AK135" s="5" t="str">
        <x:v>journal-article</x:v>
      </x:c>
      <x:c r="AL135" s="5" t="str">
        <x:v>Title-scope candidate</x:v>
      </x:c>
      <x:c r="AM135" s="5" t="str">
        <x:v>review-paper/search-strategy/runs/PILOT-20261013-01/S10.json</x:v>
      </x:c>
      <x:c r="AN135" s="8" t="d">
        <x:v>2026-10-13T00:00:00.000Z</x:v>
      </x:c>
    </x:row>
    <x:row r="136" ht="53" customHeight="1">
      <x:c r="A136" s="5" t="str">
        <x:v>C0178</x:v>
      </x:c>
      <x:c r="B136" s="5" t="str">
        <x:v>Unassigned</x:v>
      </x:c>
      <x:c r="C136" s="5" t="str">
        <x:v>Unassigned</x:v>
      </x:c>
      <x:c r="D136" s="5" t="str">
        <x:v>Unassigned</x:v>
      </x:c>
      <x:c r="E136" s="5" t="str">
        <x:v>Unassigned</x:v>
      </x:c>
      <x:c r="F136" s="5" t="str">
        <x:v>Melvin A. Lara; Ibrahim A. Hameed; Jiri Koziorek</x:v>
      </x:c>
      <x:c r="G136" s="5" t="str">
        <x:v>Melvin A. Lara</x:v>
      </x:c>
      <x:c r="H136" s="5" t="n">
        <x:v>2025</x:v>
      </x:c>
      <x:c r="I136" s="5" t="str">
        <x:v>Anomaly-Focused Augmentation Method for Industrial Visual Inspection</x:v>
      </x:c>
      <x:c r="J136" s="5" t="str">
        <x:v>IEEE Access</x:v>
      </x:c>
      <x:c r="K136" s="5" t="str">
        <x:v>10.1109/access.2025.3570075</x:v>
      </x:c>
      <x:c r="L136" s="5" t="str"/>
      <x:c r="M136" s="5" t="str">
        <x:v>https://ieeexplore.ieee.org/document/11003961/</x:v>
      </x:c>
      <x:c r="N136" s="5" t="str">
        <x:v>https://doi.org/10.1109/access.2025.3570075</x:v>
      </x:c>
      <x:c r="O136" s="5" t="str">
        <x:v>Not extracted</x:v>
      </x:c>
      <x:c r="P136" s="5" t="str">
        <x:v>Not extracted</x:v>
      </x:c>
      <x:c r="Q136" s="5" t="str">
        <x:v>Not extracted</x:v>
      </x:c>
      <x:c r="R136" s="5" t="str">
        <x:v>Not extracted</x:v>
      </x:c>
      <x:c r="S136" s="5" t="str">
        <x:v>Unassigned</x:v>
      </x:c>
      <x:c r="T136" s="5" t="str">
        <x:v>Unassigned</x:v>
      </x:c>
      <x:c r="U136" s="5" t="str"/>
      <x:c r="V136" s="5" t="str"/>
      <x:c r="W136" s="5" t="str">
        <x:v>Not extracted</x:v>
      </x:c>
      <x:c r="X136" s="5" t="str">
        <x:v>Pending eligibility screening</x:v>
      </x:c>
      <x:c r="Y136" s="5" t="str">
        <x:v>lara2025_C0178</x:v>
      </x:c>
      <x:c r="Z136" s="5" t="str">
        <x:v>Generated; needs verification</x:v>
      </x:c>
      <x:c r="AA136" s="5" t="str">
        <x:v>No manuscript yet</x:v>
      </x:c>
      <x:c r="AB136" s="5" t="str">
        <x:v>No</x:v>
      </x:c>
      <x:c r="AC136" s="5" t="str">
        <x:v>Not checked</x:v>
      </x:c>
      <x:c r="AD136" s="5" t="str">
        <x:v>Unscreened</x:v>
      </x:c>
      <x:c r="AE136" s="5" t="str">
        <x:v>Not linked</x:v>
      </x:c>
      <x:c r="AF136" s="5" t="str">
        <x:v>S10</x:v>
      </x:c>
      <x:c r="AG136" s="5" t="str">
        <x:v>Crossref REST API</x:v>
      </x:c>
      <x:c r="AH136" s="5" t="str">
        <x:v>Journal / conference record; peer review not audited</x:v>
      </x:c>
      <x:c r="AI136" s="5" t="str">
        <x:v>Metadata only</x:v>
      </x:c>
      <x:c r="AJ136" s="5" t="str">
        <x:v>Verified against deposited metadata; publisher citation check pending</x:v>
      </x:c>
      <x:c r="AK136" s="5" t="str">
        <x:v>journal-article</x:v>
      </x:c>
      <x:c r="AL136" s="5" t="str">
        <x:v>Title-scope candidate</x:v>
      </x:c>
      <x:c r="AM136" s="5" t="str">
        <x:v>review-paper/search-strategy/runs/PILOT-20261013-01/S10.json</x:v>
      </x:c>
      <x:c r="AN136" s="8" t="d">
        <x:v>2026-10-13T00:00:00.000Z</x:v>
      </x:c>
    </x:row>
    <x:row r="137" ht="53" customHeight="1">
      <x:c r="A137" s="5" t="str">
        <x:v>C0179</x:v>
      </x:c>
      <x:c r="B137" s="5" t="str">
        <x:v>Unassigned</x:v>
      </x:c>
      <x:c r="C137" s="5" t="str">
        <x:v>Unassigned</x:v>
      </x:c>
      <x:c r="D137" s="5" t="str">
        <x:v>Unassigned</x:v>
      </x:c>
      <x:c r="E137" s="5" t="str">
        <x:v>Unassigned</x:v>
      </x:c>
      <x:c r="F137" s="5" t="str">
        <x:v>Xinyu Hu; Zhensong Liu; Hua Yang</x:v>
      </x:c>
      <x:c r="G137" s="5" t="str">
        <x:v>Xinyu Hu</x:v>
      </x:c>
      <x:c r="H137" s="5" t="n">
        <x:v>2026</x:v>
      </x:c>
      <x:c r="I137" s="5" t="str">
        <x:v>Industrial anomaly generation via mask-guided dual reverse inpainting for visual inspection</x:v>
      </x:c>
      <x:c r="J137" s="5" t="str">
        <x:v>Neurocomputing</x:v>
      </x:c>
      <x:c r="K137" s="5" t="str">
        <x:v>10.1016/j.neucom.2026.134313</x:v>
      </x:c>
      <x:c r="L137" s="5" t="str"/>
      <x:c r="M137" s="5" t="str">
        <x:v>https://linkinghub.elsevier.com/retrieve/pii/S092523122601711X</x:v>
      </x:c>
      <x:c r="N137" s="5" t="str">
        <x:v>https://doi.org/10.1016/j.neucom.2026.134313</x:v>
      </x:c>
      <x:c r="O137" s="5" t="str">
        <x:v>Not extracted</x:v>
      </x:c>
      <x:c r="P137" s="5" t="str">
        <x:v>Not extracted</x:v>
      </x:c>
      <x:c r="Q137" s="5" t="str">
        <x:v>Not extracted</x:v>
      </x:c>
      <x:c r="R137" s="5" t="str">
        <x:v>Not extracted</x:v>
      </x:c>
      <x:c r="S137" s="5" t="str">
        <x:v>Unassigned</x:v>
      </x:c>
      <x:c r="T137" s="5" t="str">
        <x:v>Unassigned</x:v>
      </x:c>
      <x:c r="U137" s="5" t="str"/>
      <x:c r="V137" s="5" t="str"/>
      <x:c r="W137" s="5" t="str">
        <x:v>Not extracted</x:v>
      </x:c>
      <x:c r="X137" s="5" t="str">
        <x:v>Pending eligibility screening</x:v>
      </x:c>
      <x:c r="Y137" s="5" t="str">
        <x:v>hu2026_C0179</x:v>
      </x:c>
      <x:c r="Z137" s="5" t="str">
        <x:v>Generated; needs verification</x:v>
      </x:c>
      <x:c r="AA137" s="5" t="str">
        <x:v>No manuscript yet</x:v>
      </x:c>
      <x:c r="AB137" s="5" t="str">
        <x:v>No</x:v>
      </x:c>
      <x:c r="AC137" s="5" t="str">
        <x:v>Not checked</x:v>
      </x:c>
      <x:c r="AD137" s="5" t="str">
        <x:v>Unscreened</x:v>
      </x:c>
      <x:c r="AE137" s="5" t="str">
        <x:v>Not linked</x:v>
      </x:c>
      <x:c r="AF137" s="5" t="str">
        <x:v>S10</x:v>
      </x:c>
      <x:c r="AG137" s="5" t="str">
        <x:v>Crossref REST API</x:v>
      </x:c>
      <x:c r="AH137" s="5" t="str">
        <x:v>Journal / conference record; peer review not audited</x:v>
      </x:c>
      <x:c r="AI137" s="5" t="str">
        <x:v>Metadata only</x:v>
      </x:c>
      <x:c r="AJ137" s="5" t="str">
        <x:v>Verified against deposited metadata; publisher citation check pending</x:v>
      </x:c>
      <x:c r="AK137" s="5" t="str">
        <x:v>journal-article</x:v>
      </x:c>
      <x:c r="AL137" s="5" t="str">
        <x:v>Title-scope candidate</x:v>
      </x:c>
      <x:c r="AM137" s="5" t="str">
        <x:v>review-paper/search-strategy/runs/PILOT-20261013-01/S10.json</x:v>
      </x:c>
      <x:c r="AN137" s="8" t="d">
        <x:v>2026-10-13T00:00:00.000Z</x:v>
      </x:c>
    </x:row>
    <x:row r="138" ht="68" customHeight="1">
      <x:c r="A138" s="5" t="str">
        <x:v>C0180</x:v>
      </x:c>
      <x:c r="B138" s="5" t="str">
        <x:v>Unassigned</x:v>
      </x:c>
      <x:c r="C138" s="5" t="str">
        <x:v>Unassigned</x:v>
      </x:c>
      <x:c r="D138" s="5" t="str">
        <x:v>Unassigned</x:v>
      </x:c>
      <x:c r="E138" s="5" t="str">
        <x:v>Unassigned</x:v>
      </x:c>
      <x:c r="F138" s="5" t="str">
        <x:v>Soib Taib; Mohd Shawal; Shahid Kabir</x:v>
      </x:c>
      <x:c r="G138" s="5" t="str">
        <x:v>Soib Taib</x:v>
      </x:c>
      <x:c r="H138" s="5" t="n">
        <x:v>2012</x:v>
      </x:c>
      <x:c r="I138" s="5" t="str">
        <x:v>Thermal Imaging for Enhancing Inspection Reliability: Detection and Characterization</x:v>
      </x:c>
      <x:c r="J138" s="5" t="str">
        <x:v>Infrared Thermography</x:v>
      </x:c>
      <x:c r="K138" s="5" t="str">
        <x:v>10.5772/27558</x:v>
      </x:c>
      <x:c r="L138" s="5" t="str"/>
      <x:c r="M138" s="5" t="str">
        <x:v>http://www.intechopen.com/books/infrared-thermography/thermal-imaging-for-enhancing-inspection-reliability-detection-and-characterization</x:v>
      </x:c>
      <x:c r="N138" s="5" t="str">
        <x:v>https://doi.org/10.5772/27558</x:v>
      </x:c>
      <x:c r="O138" s="5" t="str">
        <x:v>Not extracted</x:v>
      </x:c>
      <x:c r="P138" s="5" t="str">
        <x:v>Not extracted</x:v>
      </x:c>
      <x:c r="Q138" s="5" t="str">
        <x:v>Not extracted</x:v>
      </x:c>
      <x:c r="R138" s="5" t="str">
        <x:v>Not extracted</x:v>
      </x:c>
      <x:c r="S138" s="5" t="str">
        <x:v>Unassigned</x:v>
      </x:c>
      <x:c r="T138" s="5" t="str">
        <x:v>Unassigned</x:v>
      </x:c>
      <x:c r="U138" s="5" t="str"/>
      <x:c r="V138" s="5" t="str"/>
      <x:c r="W138" s="5" t="str">
        <x:v>Not extracted</x:v>
      </x:c>
      <x:c r="X138" s="5" t="str">
        <x:v>Pending eligibility screening</x:v>
      </x:c>
      <x:c r="Y138" s="5" t="str">
        <x:v>taib2012_C0180</x:v>
      </x:c>
      <x:c r="Z138" s="5" t="str">
        <x:v>Generated; needs verification</x:v>
      </x:c>
      <x:c r="AA138" s="5" t="str">
        <x:v>No manuscript yet</x:v>
      </x:c>
      <x:c r="AB138" s="5" t="str">
        <x:v>No</x:v>
      </x:c>
      <x:c r="AC138" s="5" t="str">
        <x:v>Not checked</x:v>
      </x:c>
      <x:c r="AD138" s="5" t="str">
        <x:v>Unscreened</x:v>
      </x:c>
      <x:c r="AE138" s="5" t="str">
        <x:v>Not linked</x:v>
      </x:c>
      <x:c r="AF138" s="5" t="str">
        <x:v>S10</x:v>
      </x:c>
      <x:c r="AG138" s="5" t="str">
        <x:v>Crossref REST API</x:v>
      </x:c>
      <x:c r="AH138" s="5" t="str">
        <x:v>Publication status unverified</x:v>
      </x:c>
      <x:c r="AI138" s="5" t="str">
        <x:v>Metadata only</x:v>
      </x:c>
      <x:c r="AJ138" s="5" t="str">
        <x:v>Verified against deposited metadata; publisher citation check pending</x:v>
      </x:c>
      <x:c r="AK138" s="5" t="str">
        <x:v>book-chapter</x:v>
      </x:c>
      <x:c r="AL138" s="5" t="str">
        <x:v>Title-scope candidate</x:v>
      </x:c>
      <x:c r="AM138" s="5" t="str">
        <x:v>review-paper/search-strategy/runs/PILOT-20261013-01/S10.json</x:v>
      </x:c>
      <x:c r="AN138" s="8" t="d">
        <x:v>2026-10-13T00:00:00.000Z</x:v>
      </x:c>
    </x:row>
    <x:row r="139" ht="68" customHeight="1">
      <x:c r="A139" s="5" t="str">
        <x:v>C0181</x:v>
      </x:c>
      <x:c r="B139" s="5" t="str">
        <x:v>Unassigned</x:v>
      </x:c>
      <x:c r="C139" s="5" t="str">
        <x:v>Unassigned</x:v>
      </x:c>
      <x:c r="D139" s="5" t="str">
        <x:v>Unassigned</x:v>
      </x:c>
      <x:c r="E139" s="5" t="str">
        <x:v>Unassigned</x:v>
      </x:c>
      <x:c r="F139" s="5" t="str">
        <x:v>Nejc Kozamernik; Drago Bračun</x:v>
      </x:c>
      <x:c r="G139" s="5" t="str">
        <x:v>Nejc Kozamernik</x:v>
      </x:c>
      <x:c r="H139" s="5" t="n">
        <x:v>2025</x:v>
      </x:c>
      <x:c r="I139" s="5" t="str">
        <x:v>A novel FuseDecode Autoencoder for industrial visual inspection: Incremental anomaly detection improvement with gradual transition from unsupervised to mixed-supervision learning with reduced human effort</x:v>
      </x:c>
      <x:c r="J139" s="5" t="str">
        <x:v>Computers in Industry</x:v>
      </x:c>
      <x:c r="K139" s="5" t="str">
        <x:v>10.1016/j.compind.2024.104198</x:v>
      </x:c>
      <x:c r="L139" s="5" t="str"/>
      <x:c r="M139" s="5" t="str">
        <x:v>https://linkinghub.elsevier.com/retrieve/pii/S016636152400126X</x:v>
      </x:c>
      <x:c r="N139" s="5" t="str">
        <x:v>https://doi.org/10.1016/j.compind.2024.104198</x:v>
      </x:c>
      <x:c r="O139" s="5" t="str">
        <x:v>Not extracted</x:v>
      </x:c>
      <x:c r="P139" s="5" t="str">
        <x:v>Not extracted</x:v>
      </x:c>
      <x:c r="Q139" s="5" t="str">
        <x:v>Not extracted</x:v>
      </x:c>
      <x:c r="R139" s="5" t="str">
        <x:v>Not extracted</x:v>
      </x:c>
      <x:c r="S139" s="5" t="str">
        <x:v>Unassigned</x:v>
      </x:c>
      <x:c r="T139" s="5" t="str">
        <x:v>Unassigned</x:v>
      </x:c>
      <x:c r="U139" s="5" t="str"/>
      <x:c r="V139" s="5" t="str"/>
      <x:c r="W139" s="5" t="str">
        <x:v>Not extracted</x:v>
      </x:c>
      <x:c r="X139" s="5" t="str">
        <x:v>Pending eligibility screening</x:v>
      </x:c>
      <x:c r="Y139" s="5" t="str">
        <x:v>kozamernik2025_C0181</x:v>
      </x:c>
      <x:c r="Z139" s="5" t="str">
        <x:v>Generated; needs verification</x:v>
      </x:c>
      <x:c r="AA139" s="5" t="str">
        <x:v>No manuscript yet</x:v>
      </x:c>
      <x:c r="AB139" s="5" t="str">
        <x:v>No</x:v>
      </x:c>
      <x:c r="AC139" s="5" t="str">
        <x:v>Not checked</x:v>
      </x:c>
      <x:c r="AD139" s="5" t="str">
        <x:v>Unscreened</x:v>
      </x:c>
      <x:c r="AE139" s="5" t="str">
        <x:v>Not linked</x:v>
      </x:c>
      <x:c r="AF139" s="5" t="str">
        <x:v>S10</x:v>
      </x:c>
      <x:c r="AG139" s="5" t="str">
        <x:v>Crossref REST API</x:v>
      </x:c>
      <x:c r="AH139" s="5" t="str">
        <x:v>Journal / conference record; peer review not audited</x:v>
      </x:c>
      <x:c r="AI139" s="5" t="str">
        <x:v>Metadata only</x:v>
      </x:c>
      <x:c r="AJ139" s="5" t="str">
        <x:v>Verified against deposited metadata; publisher citation check pending</x:v>
      </x:c>
      <x:c r="AK139" s="5" t="str">
        <x:v>journal-article</x:v>
      </x:c>
      <x:c r="AL139" s="5" t="str">
        <x:v>Title-scope candidate</x:v>
      </x:c>
      <x:c r="AM139" s="5" t="str">
        <x:v>review-paper/search-strategy/runs/PILOT-20261013-01/S10.json</x:v>
      </x:c>
      <x:c r="AN139" s="8" t="d">
        <x:v>2026-10-13T00:00:00.000Z</x:v>
      </x:c>
    </x:row>
    <x:row r="140" ht="83" customHeight="1">
      <x:c r="A140" s="5" t="str">
        <x:v>C0182</x:v>
      </x:c>
      <x:c r="B140" s="5" t="str">
        <x:v>Unassigned</x:v>
      </x:c>
      <x:c r="C140" s="5" t="str">
        <x:v>Unassigned</x:v>
      </x:c>
      <x:c r="D140" s="5" t="str">
        <x:v>Unassigned</x:v>
      </x:c>
      <x:c r="E140" s="5" t="str">
        <x:v>Unassigned</x:v>
      </x:c>
      <x:c r="F140" s="5" t="str">
        <x:v>Layth Hussein; Ramesh Babu N; Bhanu Sekhar Guttikonda; K. Valarmathi; Devara Vasavi</x:v>
      </x:c>
      <x:c r="G140" s="5" t="str">
        <x:v>Layth Hussein</x:v>
      </x:c>
      <x:c r="H140" s="5" t="n">
        <x:v>2025</x:v>
      </x:c>
      <x:c r="I140" s="5" t="str">
        <x:v>Anomaly Detection in Industrial Inspection Visual Systems using Swin Transformer with Bayesian Optimization</x:v>
      </x:c>
      <x:c r="J140" s="5" t="str">
        <x:v>2025 4th International Conference on Distributed Computing and Electrical Circuits and Electronics (ICDCECE)</x:v>
      </x:c>
      <x:c r="K140" s="5" t="str">
        <x:v>10.1109/icdcece65353.2025.11035252</x:v>
      </x:c>
      <x:c r="L140" s="5" t="str"/>
      <x:c r="M140" s="5" t="str">
        <x:v>https://ieeexplore.ieee.org/document/11035252/</x:v>
      </x:c>
      <x:c r="N140" s="5" t="str">
        <x:v>https://doi.org/10.1109/icdcece65353.2025.11035252</x:v>
      </x:c>
      <x:c r="O140" s="5" t="str">
        <x:v>Not extracted</x:v>
      </x:c>
      <x:c r="P140" s="5" t="str">
        <x:v>Not extracted</x:v>
      </x:c>
      <x:c r="Q140" s="5" t="str">
        <x:v>Not extracted</x:v>
      </x:c>
      <x:c r="R140" s="5" t="str">
        <x:v>Not extracted</x:v>
      </x:c>
      <x:c r="S140" s="5" t="str">
        <x:v>Unassigned</x:v>
      </x:c>
      <x:c r="T140" s="5" t="str">
        <x:v>Unassigned</x:v>
      </x:c>
      <x:c r="U140" s="5" t="str"/>
      <x:c r="V140" s="5" t="str"/>
      <x:c r="W140" s="5" t="str">
        <x:v>Not extracted</x:v>
      </x:c>
      <x:c r="X140" s="5" t="str">
        <x:v>Pending eligibility screening</x:v>
      </x:c>
      <x:c r="Y140" s="5" t="str">
        <x:v>hussein2025_C0182</x:v>
      </x:c>
      <x:c r="Z140" s="5" t="str">
        <x:v>Generated; needs verification</x:v>
      </x:c>
      <x:c r="AA140" s="5" t="str">
        <x:v>No manuscript yet</x:v>
      </x:c>
      <x:c r="AB140" s="5" t="str">
        <x:v>No</x:v>
      </x:c>
      <x:c r="AC140" s="5" t="str">
        <x:v>Not checked</x:v>
      </x:c>
      <x:c r="AD140" s="5" t="str">
        <x:v>Unscreened</x:v>
      </x:c>
      <x:c r="AE140" s="5" t="str">
        <x:v>Not linked</x:v>
      </x:c>
      <x:c r="AF140" s="5" t="str">
        <x:v>S10</x:v>
      </x:c>
      <x:c r="AG140" s="5" t="str">
        <x:v>Crossref REST API</x:v>
      </x:c>
      <x:c r="AH140" s="5" t="str">
        <x:v>Journal / conference record; peer review not audited</x:v>
      </x:c>
      <x:c r="AI140" s="5" t="str">
        <x:v>Metadata only</x:v>
      </x:c>
      <x:c r="AJ140" s="5" t="str">
        <x:v>Verified against deposited metadata; publisher citation check pending</x:v>
      </x:c>
      <x:c r="AK140" s="5" t="str">
        <x:v>proceedings-article</x:v>
      </x:c>
      <x:c r="AL140" s="5" t="str">
        <x:v>Title-scope candidate</x:v>
      </x:c>
      <x:c r="AM140" s="5" t="str">
        <x:v>review-paper/search-strategy/runs/PILOT-20261013-01/S10.json</x:v>
      </x:c>
      <x:c r="AN140" s="8" t="d">
        <x:v>2026-10-13T00:00:00.000Z</x:v>
      </x:c>
    </x:row>
    <x:row r="141" ht="53" customHeight="1">
      <x:c r="A141" s="5" t="str">
        <x:v>C0183</x:v>
      </x:c>
      <x:c r="B141" s="5" t="str">
        <x:v>Unassigned</x:v>
      </x:c>
      <x:c r="C141" s="5" t="str">
        <x:v>Unassigned</x:v>
      </x:c>
      <x:c r="D141" s="5" t="str">
        <x:v>Unassigned</x:v>
      </x:c>
      <x:c r="E141" s="5" t="str">
        <x:v>Unassigned</x:v>
      </x:c>
      <x:c r="F141" s="5" t="str">
        <x:v>M.S. Benmoussat; M. Guillaume; Y. Caulier; K. Spinnler</x:v>
      </x:c>
      <x:c r="G141" s="5" t="str">
        <x:v>M.S. Benmoussat</x:v>
      </x:c>
      <x:c r="H141" s="5" t="n">
        <x:v>2013</x:v>
      </x:c>
      <x:c r="I141" s="5" t="str">
        <x:v>Automatic metal parts inspection: Use of thermographic images and anomaly detection algorithms</x:v>
      </x:c>
      <x:c r="J141" s="5" t="str">
        <x:v>Infrared Physics &amp;amp; Technology</x:v>
      </x:c>
      <x:c r="K141" s="5" t="str">
        <x:v>10.1016/j.infrared.2013.07.007</x:v>
      </x:c>
      <x:c r="L141" s="5" t="str"/>
      <x:c r="M141" s="5" t="str">
        <x:v>https://linkinghub.elsevier.com/retrieve/pii/S1350449513001357</x:v>
      </x:c>
      <x:c r="N141" s="5" t="str">
        <x:v>https://doi.org/10.1016/j.infrared.2013.07.007</x:v>
      </x:c>
      <x:c r="O141" s="5" t="str">
        <x:v>Not extracted</x:v>
      </x:c>
      <x:c r="P141" s="5" t="str">
        <x:v>Not extracted</x:v>
      </x:c>
      <x:c r="Q141" s="5" t="str">
        <x:v>Not extracted</x:v>
      </x:c>
      <x:c r="R141" s="5" t="str">
        <x:v>Not extracted</x:v>
      </x:c>
      <x:c r="S141" s="5" t="str">
        <x:v>Unassigned</x:v>
      </x:c>
      <x:c r="T141" s="5" t="str">
        <x:v>Unassigned</x:v>
      </x:c>
      <x:c r="U141" s="5" t="str"/>
      <x:c r="V141" s="5" t="str"/>
      <x:c r="W141" s="5" t="str">
        <x:v>Not extracted</x:v>
      </x:c>
      <x:c r="X141" s="5" t="str">
        <x:v>Pending eligibility screening</x:v>
      </x:c>
      <x:c r="Y141" s="5" t="str">
        <x:v>benmoussat2013_C0183</x:v>
      </x:c>
      <x:c r="Z141" s="5" t="str">
        <x:v>Generated; needs verification</x:v>
      </x:c>
      <x:c r="AA141" s="5" t="str">
        <x:v>No manuscript yet</x:v>
      </x:c>
      <x:c r="AB141" s="5" t="str">
        <x:v>No</x:v>
      </x:c>
      <x:c r="AC141" s="5" t="str">
        <x:v>Not checked</x:v>
      </x:c>
      <x:c r="AD141" s="5" t="str">
        <x:v>Unscreened</x:v>
      </x:c>
      <x:c r="AE141" s="5" t="str">
        <x:v>Not linked</x:v>
      </x:c>
      <x:c r="AF141" s="5" t="str">
        <x:v>S10</x:v>
      </x:c>
      <x:c r="AG141" s="5" t="str">
        <x:v>Crossref REST API</x:v>
      </x:c>
      <x:c r="AH141" s="5" t="str">
        <x:v>Journal / conference record; peer review not audited</x:v>
      </x:c>
      <x:c r="AI141" s="5" t="str">
        <x:v>Metadata only</x:v>
      </x:c>
      <x:c r="AJ141" s="5" t="str">
        <x:v>Verified against deposited metadata; publisher citation check pending</x:v>
      </x:c>
      <x:c r="AK141" s="5" t="str">
        <x:v>journal-article</x:v>
      </x:c>
      <x:c r="AL141" s="5" t="str">
        <x:v>Title-scope candidate</x:v>
      </x:c>
      <x:c r="AM141" s="5" t="str">
        <x:v>review-paper/search-strategy/runs/PILOT-20261013-01/S10.json</x:v>
      </x:c>
      <x:c r="AN141" s="8" t="d">
        <x:v>2026-10-13T00:00:00.000Z</x:v>
      </x:c>
    </x:row>
    <x:row r="142" ht="53" customHeight="1">
      <x:c r="A142" s="5" t="str">
        <x:v>C0184</x:v>
      </x:c>
      <x:c r="B142" s="5" t="str">
        <x:v>Unassigned</x:v>
      </x:c>
      <x:c r="C142" s="5" t="str">
        <x:v>Unassigned</x:v>
      </x:c>
      <x:c r="D142" s="5" t="str">
        <x:v>Unassigned</x:v>
      </x:c>
      <x:c r="E142" s="5" t="str">
        <x:v>Unassigned</x:v>
      </x:c>
      <x:c r="F142" s="5" t="str">
        <x:v>Nejc Kozamernik; Drago Bračun</x:v>
      </x:c>
      <x:c r="G142" s="5" t="str">
        <x:v>Nejc Kozamernik</x:v>
      </x:c>
      <x:c r="H142" s="5" t="n">
        <x:v>2020</x:v>
      </x:c>
      <x:c r="I142" s="5" t="str">
        <x:v>Visual Inspection System for Anomaly Detection on KTL Coatings Using Variational Autoencoders</x:v>
      </x:c>
      <x:c r="J142" s="5" t="str">
        <x:v>Procedia CIRP</x:v>
      </x:c>
      <x:c r="K142" s="5" t="str">
        <x:v>10.1016/j.procir.2020.04.114</x:v>
      </x:c>
      <x:c r="L142" s="5" t="str"/>
      <x:c r="M142" s="5" t="str">
        <x:v>https://linkinghub.elsevier.com/retrieve/pii/S2212827120307496</x:v>
      </x:c>
      <x:c r="N142" s="5" t="str">
        <x:v>https://doi.org/10.1016/j.procir.2020.04.114</x:v>
      </x:c>
      <x:c r="O142" s="5" t="str">
        <x:v>Not extracted</x:v>
      </x:c>
      <x:c r="P142" s="5" t="str">
        <x:v>Not extracted</x:v>
      </x:c>
      <x:c r="Q142" s="5" t="str">
        <x:v>Not extracted</x:v>
      </x:c>
      <x:c r="R142" s="5" t="str">
        <x:v>Not extracted</x:v>
      </x:c>
      <x:c r="S142" s="5" t="str">
        <x:v>Unassigned</x:v>
      </x:c>
      <x:c r="T142" s="5" t="str">
        <x:v>Unassigned</x:v>
      </x:c>
      <x:c r="U142" s="5" t="str"/>
      <x:c r="V142" s="5" t="str"/>
      <x:c r="W142" s="5" t="str">
        <x:v>Not extracted</x:v>
      </x:c>
      <x:c r="X142" s="5" t="str">
        <x:v>Pending eligibility screening</x:v>
      </x:c>
      <x:c r="Y142" s="5" t="str">
        <x:v>kozamernik2020_C0184</x:v>
      </x:c>
      <x:c r="Z142" s="5" t="str">
        <x:v>Generated; needs verification</x:v>
      </x:c>
      <x:c r="AA142" s="5" t="str">
        <x:v>No manuscript yet</x:v>
      </x:c>
      <x:c r="AB142" s="5" t="str">
        <x:v>No</x:v>
      </x:c>
      <x:c r="AC142" s="5" t="str">
        <x:v>Not checked</x:v>
      </x:c>
      <x:c r="AD142" s="5" t="str">
        <x:v>Unscreened</x:v>
      </x:c>
      <x:c r="AE142" s="5" t="str">
        <x:v>Not linked</x:v>
      </x:c>
      <x:c r="AF142" s="5" t="str">
        <x:v>S10</x:v>
      </x:c>
      <x:c r="AG142" s="5" t="str">
        <x:v>Crossref REST API</x:v>
      </x:c>
      <x:c r="AH142" s="5" t="str">
        <x:v>Journal / conference record; peer review not audited</x:v>
      </x:c>
      <x:c r="AI142" s="5" t="str">
        <x:v>Metadata only</x:v>
      </x:c>
      <x:c r="AJ142" s="5" t="str">
        <x:v>Verified against deposited metadata; publisher citation check pending</x:v>
      </x:c>
      <x:c r="AK142" s="5" t="str">
        <x:v>journal-article</x:v>
      </x:c>
      <x:c r="AL142" s="5" t="str">
        <x:v>Title-scope candidate</x:v>
      </x:c>
      <x:c r="AM142" s="5" t="str">
        <x:v>review-paper/search-strategy/runs/PILOT-20261013-01/S10.json</x:v>
      </x:c>
      <x:c r="AN142" s="8" t="d">
        <x:v>2026-10-13T00:00:00.000Z</x:v>
      </x:c>
    </x:row>
    <x:row r="143" ht="53" customHeight="1">
      <x:c r="A143" s="5" t="str">
        <x:v>C0185</x:v>
      </x:c>
      <x:c r="B143" s="5" t="str">
        <x:v>Unassigned</x:v>
      </x:c>
      <x:c r="C143" s="5" t="str">
        <x:v>Unassigned</x:v>
      </x:c>
      <x:c r="D143" s="5" t="str">
        <x:v>Unassigned</x:v>
      </x:c>
      <x:c r="E143" s="5" t="str">
        <x:v>Unassigned</x:v>
      </x:c>
      <x:c r="F143" s="5" t="str">
        <x:v>Paolo Napoletano; Flavio Piccoli; Raimondo Schettini</x:v>
      </x:c>
      <x:c r="G143" s="5" t="str">
        <x:v>Paolo Napoletano</x:v>
      </x:c>
      <x:c r="H143" s="5" t="n">
        <x:v>2021</x:v>
      </x:c>
      <x:c r="I143" s="5" t="str">
        <x:v>Semi-supervised anomaly detection for visual quality inspection</x:v>
      </x:c>
      <x:c r="J143" s="5" t="str">
        <x:v>Expert Systems with Applications</x:v>
      </x:c>
      <x:c r="K143" s="5" t="str">
        <x:v>10.1016/j.eswa.2021.115275</x:v>
      </x:c>
      <x:c r="L143" s="5" t="str"/>
      <x:c r="M143" s="5" t="str">
        <x:v>https://linkinghub.elsevier.com/retrieve/pii/S0957417421007065</x:v>
      </x:c>
      <x:c r="N143" s="5" t="str">
        <x:v>https://doi.org/10.1016/j.eswa.2021.115275</x:v>
      </x:c>
      <x:c r="O143" s="5" t="str">
        <x:v>Not extracted</x:v>
      </x:c>
      <x:c r="P143" s="5" t="str">
        <x:v>Not extracted</x:v>
      </x:c>
      <x:c r="Q143" s="5" t="str">
        <x:v>Not extracted</x:v>
      </x:c>
      <x:c r="R143" s="5" t="str">
        <x:v>Not extracted</x:v>
      </x:c>
      <x:c r="S143" s="5" t="str">
        <x:v>Unassigned</x:v>
      </x:c>
      <x:c r="T143" s="5" t="str">
        <x:v>Unassigned</x:v>
      </x:c>
      <x:c r="U143" s="5" t="str"/>
      <x:c r="V143" s="5" t="str"/>
      <x:c r="W143" s="5" t="str">
        <x:v>Not extracted</x:v>
      </x:c>
      <x:c r="X143" s="5" t="str">
        <x:v>Pending eligibility screening</x:v>
      </x:c>
      <x:c r="Y143" s="5" t="str">
        <x:v>napoletano2021_C0185</x:v>
      </x:c>
      <x:c r="Z143" s="5" t="str">
        <x:v>Generated; needs verification</x:v>
      </x:c>
      <x:c r="AA143" s="5" t="str">
        <x:v>No manuscript yet</x:v>
      </x:c>
      <x:c r="AB143" s="5" t="str">
        <x:v>No</x:v>
      </x:c>
      <x:c r="AC143" s="5" t="str">
        <x:v>Not checked</x:v>
      </x:c>
      <x:c r="AD143" s="5" t="str">
        <x:v>Unscreened</x:v>
      </x:c>
      <x:c r="AE143" s="5" t="str">
        <x:v>Not linked</x:v>
      </x:c>
      <x:c r="AF143" s="5" t="str">
        <x:v>S10</x:v>
      </x:c>
      <x:c r="AG143" s="5" t="str">
        <x:v>Crossref REST API</x:v>
      </x:c>
      <x:c r="AH143" s="5" t="str">
        <x:v>Journal / conference record; peer review not audited</x:v>
      </x:c>
      <x:c r="AI143" s="5" t="str">
        <x:v>Metadata only</x:v>
      </x:c>
      <x:c r="AJ143" s="5" t="str">
        <x:v>Verified against deposited metadata; publisher citation check pending</x:v>
      </x:c>
      <x:c r="AK143" s="5" t="str">
        <x:v>journal-article</x:v>
      </x:c>
      <x:c r="AL143" s="5" t="str">
        <x:v>Title-scope candidate</x:v>
      </x:c>
      <x:c r="AM143" s="5" t="str">
        <x:v>review-paper/search-strategy/runs/PILOT-20261013-01/S10.json</x:v>
      </x:c>
      <x:c r="AN143" s="8" t="d">
        <x:v>2026-10-13T00:00:00.000Z</x:v>
      </x:c>
    </x:row>
    <x:row r="144" ht="53" customHeight="1">
      <x:c r="A144" s="5" t="str">
        <x:v>C0186</x:v>
      </x:c>
      <x:c r="B144" s="5" t="str">
        <x:v>Unassigned</x:v>
      </x:c>
      <x:c r="C144" s="5" t="str">
        <x:v>Unassigned</x:v>
      </x:c>
      <x:c r="D144" s="5" t="str">
        <x:v>Unassigned</x:v>
      </x:c>
      <x:c r="E144" s="5" t="str">
        <x:v>Unassigned</x:v>
      </x:c>
      <x:c r="F144" s="5" t="str">
        <x:v>Feiran Xu; Ramin Moghaddass</x:v>
      </x:c>
      <x:c r="G144" s="5" t="str">
        <x:v>Feiran Xu</x:v>
      </x:c>
      <x:c r="H144" s="5" t="n">
        <x:v>2024</x:v>
      </x:c>
      <x:c r="I144" s="5" t="str">
        <x:v>Enhancing anomaly detection with adaptive node inspection in large-scale networks with binary sensors</x:v>
      </x:c>
      <x:c r="J144" s="5" t="str">
        <x:v>Computers &amp;amp; Industrial Engineering</x:v>
      </x:c>
      <x:c r="K144" s="5" t="str">
        <x:v>10.1016/j.cie.2024.109928</x:v>
      </x:c>
      <x:c r="L144" s="5" t="str"/>
      <x:c r="M144" s="5" t="str">
        <x:v>https://linkinghub.elsevier.com/retrieve/pii/S0360835224000494</x:v>
      </x:c>
      <x:c r="N144" s="5" t="str">
        <x:v>https://doi.org/10.1016/j.cie.2024.109928</x:v>
      </x:c>
      <x:c r="O144" s="5" t="str">
        <x:v>Not extracted</x:v>
      </x:c>
      <x:c r="P144" s="5" t="str">
        <x:v>Not extracted</x:v>
      </x:c>
      <x:c r="Q144" s="5" t="str">
        <x:v>Not extracted</x:v>
      </x:c>
      <x:c r="R144" s="5" t="str">
        <x:v>Not extracted</x:v>
      </x:c>
      <x:c r="S144" s="5" t="str">
        <x:v>Unassigned</x:v>
      </x:c>
      <x:c r="T144" s="5" t="str">
        <x:v>Unassigned</x:v>
      </x:c>
      <x:c r="U144" s="5" t="str"/>
      <x:c r="V144" s="5" t="str"/>
      <x:c r="W144" s="5" t="str">
        <x:v>Not extracted</x:v>
      </x:c>
      <x:c r="X144" s="5" t="str">
        <x:v>Pending eligibility screening</x:v>
      </x:c>
      <x:c r="Y144" s="5" t="str">
        <x:v>xu2024_C0186</x:v>
      </x:c>
      <x:c r="Z144" s="5" t="str">
        <x:v>Generated; needs verification</x:v>
      </x:c>
      <x:c r="AA144" s="5" t="str">
        <x:v>No manuscript yet</x:v>
      </x:c>
      <x:c r="AB144" s="5" t="str">
        <x:v>No</x:v>
      </x:c>
      <x:c r="AC144" s="5" t="str">
        <x:v>Not checked</x:v>
      </x:c>
      <x:c r="AD144" s="5" t="str">
        <x:v>Unscreened</x:v>
      </x:c>
      <x:c r="AE144" s="5" t="str">
        <x:v>Not linked</x:v>
      </x:c>
      <x:c r="AF144" s="5" t="str">
        <x:v>S10</x:v>
      </x:c>
      <x:c r="AG144" s="5" t="str">
        <x:v>Crossref REST API</x:v>
      </x:c>
      <x:c r="AH144" s="5" t="str">
        <x:v>Journal / conference record; peer review not audited</x:v>
      </x:c>
      <x:c r="AI144" s="5" t="str">
        <x:v>Metadata only</x:v>
      </x:c>
      <x:c r="AJ144" s="5" t="str">
        <x:v>Verified against deposited metadata; publisher citation check pending</x:v>
      </x:c>
      <x:c r="AK144" s="5" t="str">
        <x:v>journal-article</x:v>
      </x:c>
      <x:c r="AL144" s="5" t="str">
        <x:v>Title-scope candidate</x:v>
      </x:c>
      <x:c r="AM144" s="5" t="str">
        <x:v>review-paper/search-strategy/runs/PILOT-20261013-01/S10.json</x:v>
      </x:c>
      <x:c r="AN144" s="8" t="d">
        <x:v>2026-10-13T00:00:00.000Z</x:v>
      </x:c>
    </x:row>
    <x:row r="145" ht="68" customHeight="1">
      <x:c r="A145" s="5" t="str">
        <x:v>C0187</x:v>
      </x:c>
      <x:c r="B145" s="5" t="str">
        <x:v>Unassigned</x:v>
      </x:c>
      <x:c r="C145" s="5" t="str">
        <x:v>Unassigned</x:v>
      </x:c>
      <x:c r="D145" s="5" t="str">
        <x:v>Unassigned</x:v>
      </x:c>
      <x:c r="E145" s="5" t="str">
        <x:v>Unassigned</x:v>
      </x:c>
      <x:c r="F145" s="5" t="str">
        <x:v>Chien Wei-Chin; Wang Sheng-De</x:v>
      </x:c>
      <x:c r="G145" s="5" t="str">
        <x:v>Chien Wei-Chin</x:v>
      </x:c>
      <x:c r="H145" s="5" t="n">
        <x:v>2023</x:v>
      </x:c>
      <x:c r="I145" s="5" t="str">
        <x:v>Anomaly Detection for Multivariate Industrial Sensor Data via Decoupled Generative Adversarial Network</x:v>
      </x:c>
      <x:c r="J145" s="5" t="str">
        <x:v>Proceedings of the 15th International Conference on Agents and Artificial Intelligence</x:v>
      </x:c>
      <x:c r="K145" s="5" t="str">
        <x:v>10.5220/0011894100003393</x:v>
      </x:c>
      <x:c r="L145" s="5" t="str"/>
      <x:c r="M145" s="5" t="str">
        <x:v>https://www.scitepress.org/DigitalLibrary/Link.aspx?doi=10.5220/0011894100003393</x:v>
      </x:c>
      <x:c r="N145" s="5" t="str">
        <x:v>https://doi.org/10.5220/0011894100003393</x:v>
      </x:c>
      <x:c r="O145" s="5" t="str">
        <x:v>Not extracted</x:v>
      </x:c>
      <x:c r="P145" s="5" t="str">
        <x:v>Not extracted</x:v>
      </x:c>
      <x:c r="Q145" s="5" t="str">
        <x:v>Not extracted</x:v>
      </x:c>
      <x:c r="R145" s="5" t="str">
        <x:v>Not extracted</x:v>
      </x:c>
      <x:c r="S145" s="5" t="str">
        <x:v>Unassigned</x:v>
      </x:c>
      <x:c r="T145" s="5" t="str">
        <x:v>Unassigned</x:v>
      </x:c>
      <x:c r="U145" s="5" t="str"/>
      <x:c r="V145" s="5" t="str"/>
      <x:c r="W145" s="5" t="str">
        <x:v>Not extracted</x:v>
      </x:c>
      <x:c r="X145" s="5" t="str">
        <x:v>Pending eligibility screening</x:v>
      </x:c>
      <x:c r="Y145" s="5" t="str">
        <x:v>weichin2023_C0187</x:v>
      </x:c>
      <x:c r="Z145" s="5" t="str">
        <x:v>Generated; needs verification</x:v>
      </x:c>
      <x:c r="AA145" s="5" t="str">
        <x:v>No manuscript yet</x:v>
      </x:c>
      <x:c r="AB145" s="5" t="str">
        <x:v>No</x:v>
      </x:c>
      <x:c r="AC145" s="5" t="str">
        <x:v>Not checked</x:v>
      </x:c>
      <x:c r="AD145" s="5" t="str">
        <x:v>Unscreened</x:v>
      </x:c>
      <x:c r="AE145" s="5" t="str">
        <x:v>Not linked</x:v>
      </x:c>
      <x:c r="AF145" s="5" t="str">
        <x:v>S12</x:v>
      </x:c>
      <x:c r="AG145" s="5" t="str">
        <x:v>Crossref REST API</x:v>
      </x:c>
      <x:c r="AH145" s="5" t="str">
        <x:v>Journal / conference record; peer review not audited</x:v>
      </x:c>
      <x:c r="AI145" s="5" t="str">
        <x:v>Metadata only</x:v>
      </x:c>
      <x:c r="AJ145" s="5" t="str">
        <x:v>Verified against deposited metadata; publisher citation check pending</x:v>
      </x:c>
      <x:c r="AK145" s="5" t="str">
        <x:v>proceedings-article</x:v>
      </x:c>
      <x:c r="AL145" s="5" t="str">
        <x:v>Title-scope candidate</x:v>
      </x:c>
      <x:c r="AM145" s="5" t="str">
        <x:v>review-paper/search-strategy/runs/PILOT-20261013-01/S12.json</x:v>
      </x:c>
      <x:c r="AN145" s="8" t="d">
        <x:v>2026-10-13T00:00:00.000Z</x:v>
      </x:c>
    </x:row>
    <x:row r="146" ht="53" customHeight="1">
      <x:c r="A146" s="5" t="str">
        <x:v>C0190</x:v>
      </x:c>
      <x:c r="B146" s="5" t="str">
        <x:v>Unassigned</x:v>
      </x:c>
      <x:c r="C146" s="5" t="str">
        <x:v>Unassigned</x:v>
      </x:c>
      <x:c r="D146" s="5" t="str">
        <x:v>Unassigned</x:v>
      </x:c>
      <x:c r="E146" s="5" t="str">
        <x:v>Unassigned</x:v>
      </x:c>
      <x:c r="F146" s="5" t="str">
        <x:v>Tianyi Xu; Ziqi Gan; Xiaobo Zhou; Fengbiao Zan; Tie Qiu</x:v>
      </x:c>
      <x:c r="G146" s="5" t="str">
        <x:v>Tianyi Xu</x:v>
      </x:c>
      <x:c r="H146" s="5" t="n">
        <x:v>2025</x:v>
      </x:c>
      <x:c r="I146" s="5" t="str">
        <x:v>MissingClip: An Industrial Anomaly Detection Method Under Modality Missing</x:v>
      </x:c>
      <x:c r="J146" s="5" t="str">
        <x:v>Lecture Notes in Computer Science</x:v>
      </x:c>
      <x:c r="K146" s="5" t="str">
        <x:v>10.1007/978-981-96-8728-2_18</x:v>
      </x:c>
      <x:c r="L146" s="5" t="str"/>
      <x:c r="M146" s="5" t="str">
        <x:v>https://link.springer.com/10.1007/978-981-96-8728-2_18</x:v>
      </x:c>
      <x:c r="N146" s="5" t="str">
        <x:v>https://doi.org/10.1007/978-981-96-8728-2_18</x:v>
      </x:c>
      <x:c r="O146" s="5" t="str">
        <x:v>Not extracted</x:v>
      </x:c>
      <x:c r="P146" s="5" t="str">
        <x:v>Not extracted</x:v>
      </x:c>
      <x:c r="Q146" s="5" t="str">
        <x:v>Not extracted</x:v>
      </x:c>
      <x:c r="R146" s="5" t="str">
        <x:v>Not extracted</x:v>
      </x:c>
      <x:c r="S146" s="5" t="str">
        <x:v>Unassigned</x:v>
      </x:c>
      <x:c r="T146" s="5" t="str">
        <x:v>Unassigned</x:v>
      </x:c>
      <x:c r="U146" s="5" t="str"/>
      <x:c r="V146" s="5" t="str"/>
      <x:c r="W146" s="5" t="str">
        <x:v>Not extracted</x:v>
      </x:c>
      <x:c r="X146" s="5" t="str">
        <x:v>Pending eligibility screening</x:v>
      </x:c>
      <x:c r="Y146" s="5" t="str">
        <x:v>xu2025_C0190</x:v>
      </x:c>
      <x:c r="Z146" s="5" t="str">
        <x:v>Generated; needs verification</x:v>
      </x:c>
      <x:c r="AA146" s="5" t="str">
        <x:v>No manuscript yet</x:v>
      </x:c>
      <x:c r="AB146" s="5" t="str">
        <x:v>No</x:v>
      </x:c>
      <x:c r="AC146" s="5" t="str">
        <x:v>Not checked</x:v>
      </x:c>
      <x:c r="AD146" s="5" t="str">
        <x:v>Unscreened</x:v>
      </x:c>
      <x:c r="AE146" s="5" t="str">
        <x:v>Not linked</x:v>
      </x:c>
      <x:c r="AF146" s="5" t="str">
        <x:v>S12</x:v>
      </x:c>
      <x:c r="AG146" s="5" t="str">
        <x:v>Crossref REST API</x:v>
      </x:c>
      <x:c r="AH146" s="5" t="str">
        <x:v>Publication status unverified</x:v>
      </x:c>
      <x:c r="AI146" s="5" t="str">
        <x:v>Metadata only</x:v>
      </x:c>
      <x:c r="AJ146" s="5" t="str">
        <x:v>Verified against deposited metadata; publisher citation check pending</x:v>
      </x:c>
      <x:c r="AK146" s="5" t="str">
        <x:v>book-chapter</x:v>
      </x:c>
      <x:c r="AL146" s="5" t="str">
        <x:v>Title-scope candidate</x:v>
      </x:c>
      <x:c r="AM146" s="5" t="str">
        <x:v>review-paper/search-strategy/runs/PILOT-20261013-01/S12.json</x:v>
      </x:c>
      <x:c r="AN146" s="8" t="d">
        <x:v>2026-10-13T00:00:00.000Z</x:v>
      </x:c>
    </x:row>
    <x:row r="147" ht="53" customHeight="1">
      <x:c r="A147" s="5" t="str">
        <x:v>C0191</x:v>
      </x:c>
      <x:c r="B147" s="5" t="str">
        <x:v>Unassigned</x:v>
      </x:c>
      <x:c r="C147" s="5" t="str">
        <x:v>Unassigned</x:v>
      </x:c>
      <x:c r="D147" s="5" t="str">
        <x:v>Unassigned</x:v>
      </x:c>
      <x:c r="E147" s="5" t="str">
        <x:v>Unassigned</x:v>
      </x:c>
      <x:c r="F147" s="5" t="str">
        <x:v>Jiahui Xu; Jian Yuan; Mingrui Yang; Weishu Yan</x:v>
      </x:c>
      <x:c r="G147" s="5" t="str">
        <x:v>Jiahui Xu</x:v>
      </x:c>
      <x:c r="H147" s="5" t="n">
        <x:v>2025</x:v>
      </x:c>
      <x:c r="I147" s="5" t="str">
        <x:v>Modality-Resilient Multimodal Industrial Anomaly Detection via Cross-Modal Knowledge Transfer and Dynamic Edge-Preserving Voxelization</x:v>
      </x:c>
      <x:c r="J147" s="5" t="str">
        <x:v>Sensors</x:v>
      </x:c>
      <x:c r="K147" s="5" t="str">
        <x:v>10.3390/s25216529</x:v>
      </x:c>
      <x:c r="L147" s="5" t="str"/>
      <x:c r="M147" s="5" t="str">
        <x:v>https://www.mdpi.com/1424-8220/25/21/6529</x:v>
      </x:c>
      <x:c r="N147" s="5" t="str">
        <x:v>https://doi.org/10.3390/s25216529</x:v>
      </x:c>
      <x:c r="O147" s="5" t="str">
        <x:v>Not extracted</x:v>
      </x:c>
      <x:c r="P147" s="5" t="str">
        <x:v>Not extracted</x:v>
      </x:c>
      <x:c r="Q147" s="5" t="str">
        <x:v>Not extracted</x:v>
      </x:c>
      <x:c r="R147" s="5" t="str">
        <x:v>Not extracted</x:v>
      </x:c>
      <x:c r="S147" s="5" t="str">
        <x:v>Unassigned</x:v>
      </x:c>
      <x:c r="T147" s="5" t="str">
        <x:v>Unassigned</x:v>
      </x:c>
      <x:c r="U147" s="5" t="str"/>
      <x:c r="V147" s="5" t="str"/>
      <x:c r="W147" s="5" t="str">
        <x:v>Not extracted</x:v>
      </x:c>
      <x:c r="X147" s="5" t="str">
        <x:v>Pending eligibility screening</x:v>
      </x:c>
      <x:c r="Y147" s="5" t="str">
        <x:v>xu2025_C0191</x:v>
      </x:c>
      <x:c r="Z147" s="5" t="str">
        <x:v>Generated; needs verification</x:v>
      </x:c>
      <x:c r="AA147" s="5" t="str">
        <x:v>No manuscript yet</x:v>
      </x:c>
      <x:c r="AB147" s="5" t="str">
        <x:v>No</x:v>
      </x:c>
      <x:c r="AC147" s="5" t="str">
        <x:v>Not checked</x:v>
      </x:c>
      <x:c r="AD147" s="5" t="str">
        <x:v>Unscreened</x:v>
      </x:c>
      <x:c r="AE147" s="5" t="str">
        <x:v>Not linked</x:v>
      </x:c>
      <x:c r="AF147" s="5" t="str">
        <x:v>S12</x:v>
      </x:c>
      <x:c r="AG147" s="5" t="str">
        <x:v>Crossref REST API</x:v>
      </x:c>
      <x:c r="AH147" s="5" t="str">
        <x:v>Journal / conference record; peer review not audited</x:v>
      </x:c>
      <x:c r="AI147" s="5" t="str">
        <x:v>Metadata only</x:v>
      </x:c>
      <x:c r="AJ147" s="5" t="str">
        <x:v>Verified against deposited metadata; publisher citation check pending</x:v>
      </x:c>
      <x:c r="AK147" s="5" t="str">
        <x:v>journal-article</x:v>
      </x:c>
      <x:c r="AL147" s="5" t="str">
        <x:v>Title-scope candidate</x:v>
      </x:c>
      <x:c r="AM147" s="5" t="str">
        <x:v>review-paper/search-strategy/runs/PILOT-20261013-01/S12.json</x:v>
      </x:c>
      <x:c r="AN147" s="8" t="d">
        <x:v>2026-10-13T00:00:00.000Z</x:v>
      </x:c>
    </x:row>
    <x:row r="148" ht="53" customHeight="1">
      <x:c r="A148" s="5" t="str">
        <x:v>C0193</x:v>
      </x:c>
      <x:c r="B148" s="5" t="str">
        <x:v>Unassigned</x:v>
      </x:c>
      <x:c r="C148" s="5" t="str">
        <x:v>Unassigned</x:v>
      </x:c>
      <x:c r="D148" s="5" t="str">
        <x:v>Unassigned</x:v>
      </x:c>
      <x:c r="E148" s="5" t="str">
        <x:v>Unassigned</x:v>
      </x:c>
      <x:c r="F148" s="5" t="str">
        <x:v>Shunyao Teng; Xiang Gao</x:v>
      </x:c>
      <x:c r="G148" s="5" t="str">
        <x:v>Shunyao Teng</x:v>
      </x:c>
      <x:c r="H148" s="5" t="n">
        <x:v>2026</x:v>
      </x:c>
      <x:c r="I148" s="5" t="str">
        <x:v>Causal Wavelet Residual Learning with Observation-Support Gating for Industrial Sensor Anomaly Detection</x:v>
      </x:c>
      <x:c r="J148" s="5" t="str">
        <x:v>Sensors</x:v>
      </x:c>
      <x:c r="K148" s="5" t="str">
        <x:v>10.3390/s26185751</x:v>
      </x:c>
      <x:c r="L148" s="5" t="str"/>
      <x:c r="M148" s="5" t="str">
        <x:v>https://www.mdpi.com/1424-8220/26/18/5751</x:v>
      </x:c>
      <x:c r="N148" s="5" t="str">
        <x:v>https://doi.org/10.3390/s26185751</x:v>
      </x:c>
      <x:c r="O148" s="5" t="str">
        <x:v>Not extracted</x:v>
      </x:c>
      <x:c r="P148" s="5" t="str">
        <x:v>Not extracted</x:v>
      </x:c>
      <x:c r="Q148" s="5" t="str">
        <x:v>Not extracted</x:v>
      </x:c>
      <x:c r="R148" s="5" t="str">
        <x:v>Not extracted</x:v>
      </x:c>
      <x:c r="S148" s="5" t="str">
        <x:v>Unassigned</x:v>
      </x:c>
      <x:c r="T148" s="5" t="str">
        <x:v>Unassigned</x:v>
      </x:c>
      <x:c r="U148" s="5" t="str"/>
      <x:c r="V148" s="5" t="str"/>
      <x:c r="W148" s="5" t="str">
        <x:v>Not extracted</x:v>
      </x:c>
      <x:c r="X148" s="5" t="str">
        <x:v>Pending eligibility screening</x:v>
      </x:c>
      <x:c r="Y148" s="5" t="str">
        <x:v>teng2026_C0193</x:v>
      </x:c>
      <x:c r="Z148" s="5" t="str">
        <x:v>Generated; needs verification</x:v>
      </x:c>
      <x:c r="AA148" s="5" t="str">
        <x:v>No manuscript yet</x:v>
      </x:c>
      <x:c r="AB148" s="5" t="str">
        <x:v>No</x:v>
      </x:c>
      <x:c r="AC148" s="5" t="str">
        <x:v>Not checked</x:v>
      </x:c>
      <x:c r="AD148" s="5" t="str">
        <x:v>Unscreened</x:v>
      </x:c>
      <x:c r="AE148" s="5" t="str">
        <x:v>Not linked</x:v>
      </x:c>
      <x:c r="AF148" s="5" t="str">
        <x:v>S12</x:v>
      </x:c>
      <x:c r="AG148" s="5" t="str">
        <x:v>Crossref REST API</x:v>
      </x:c>
      <x:c r="AH148" s="5" t="str">
        <x:v>Journal / conference record; peer review not audited</x:v>
      </x:c>
      <x:c r="AI148" s="5" t="str">
        <x:v>Metadata only</x:v>
      </x:c>
      <x:c r="AJ148" s="5" t="str">
        <x:v>Verified against deposited metadata; publisher citation check pending</x:v>
      </x:c>
      <x:c r="AK148" s="5" t="str">
        <x:v>journal-article</x:v>
      </x:c>
      <x:c r="AL148" s="5" t="str">
        <x:v>Title-scope candidate</x:v>
      </x:c>
      <x:c r="AM148" s="5" t="str">
        <x:v>review-paper/search-strategy/runs/PILOT-20261013-01/S12.json</x:v>
      </x:c>
      <x:c r="AN148" s="8" t="d">
        <x:v>2026-10-13T00:00:00.000Z</x:v>
      </x:c>
    </x:row>
    <x:row r="149" ht="53" customHeight="1">
      <x:c r="A149" s="5" t="str">
        <x:v>C0194</x:v>
      </x:c>
      <x:c r="B149" s="5" t="str">
        <x:v>Unassigned</x:v>
      </x:c>
      <x:c r="C149" s="5" t="str">
        <x:v>Unassigned</x:v>
      </x:c>
      <x:c r="D149" s="5" t="str">
        <x:v>Unassigned</x:v>
      </x:c>
      <x:c r="E149" s="5" t="str">
        <x:v>Unassigned</x:v>
      </x:c>
      <x:c r="F149" s="5" t="str">
        <x:v>Bowen Wang</x:v>
      </x:c>
      <x:c r="G149" s="5" t="str">
        <x:v>Bowen Wang</x:v>
      </x:c>
      <x:c r="H149" s="5" t="n">
        <x:v>2025</x:v>
      </x:c>
      <x:c r="I149" s="5" t="str">
        <x:v>Improving Multivariate Time-Series Anomaly Detection in Industrial Sensor Networks Using Entropy-Based Feature Aggregation</x:v>
      </x:c>
      <x:c r="J149" s="5" t="str">
        <x:v>Entropy</x:v>
      </x:c>
      <x:c r="K149" s="5" t="str">
        <x:v>10.3390/e28010014</x:v>
      </x:c>
      <x:c r="L149" s="5" t="str"/>
      <x:c r="M149" s="5" t="str">
        <x:v>https://www.mdpi.com/1099-4300/28/1/14</x:v>
      </x:c>
      <x:c r="N149" s="5" t="str">
        <x:v>https://doi.org/10.3390/e28010014</x:v>
      </x:c>
      <x:c r="O149" s="5" t="str">
        <x:v>Not extracted</x:v>
      </x:c>
      <x:c r="P149" s="5" t="str">
        <x:v>Not extracted</x:v>
      </x:c>
      <x:c r="Q149" s="5" t="str">
        <x:v>Not extracted</x:v>
      </x:c>
      <x:c r="R149" s="5" t="str">
        <x:v>Not extracted</x:v>
      </x:c>
      <x:c r="S149" s="5" t="str">
        <x:v>Unassigned</x:v>
      </x:c>
      <x:c r="T149" s="5" t="str">
        <x:v>Unassigned</x:v>
      </x:c>
      <x:c r="U149" s="5" t="str"/>
      <x:c r="V149" s="5" t="str"/>
      <x:c r="W149" s="5" t="str">
        <x:v>Not extracted</x:v>
      </x:c>
      <x:c r="X149" s="5" t="str">
        <x:v>Pending eligibility screening</x:v>
      </x:c>
      <x:c r="Y149" s="5" t="str">
        <x:v>wang2025_C0194</x:v>
      </x:c>
      <x:c r="Z149" s="5" t="str">
        <x:v>Generated; needs verification</x:v>
      </x:c>
      <x:c r="AA149" s="5" t="str">
        <x:v>No manuscript yet</x:v>
      </x:c>
      <x:c r="AB149" s="5" t="str">
        <x:v>No</x:v>
      </x:c>
      <x:c r="AC149" s="5" t="str">
        <x:v>Not checked</x:v>
      </x:c>
      <x:c r="AD149" s="5" t="str">
        <x:v>Unscreened</x:v>
      </x:c>
      <x:c r="AE149" s="5" t="str">
        <x:v>Not linked</x:v>
      </x:c>
      <x:c r="AF149" s="5" t="str">
        <x:v>S12</x:v>
      </x:c>
      <x:c r="AG149" s="5" t="str">
        <x:v>Crossref REST API</x:v>
      </x:c>
      <x:c r="AH149" s="5" t="str">
        <x:v>Journal / conference record; peer review not audited</x:v>
      </x:c>
      <x:c r="AI149" s="5" t="str">
        <x:v>Metadata only</x:v>
      </x:c>
      <x:c r="AJ149" s="5" t="str">
        <x:v>Verified against deposited metadata; publisher citation check pending</x:v>
      </x:c>
      <x:c r="AK149" s="5" t="str">
        <x:v>journal-article</x:v>
      </x:c>
      <x:c r="AL149" s="5" t="str">
        <x:v>Title-scope candidate</x:v>
      </x:c>
      <x:c r="AM149" s="5" t="str">
        <x:v>review-paper/search-strategy/runs/PILOT-20261013-01/S12.json</x:v>
      </x:c>
      <x:c r="AN149" s="8" t="d">
        <x:v>2026-10-13T00:00:00.000Z</x:v>
      </x:c>
    </x:row>
    <x:row r="150" ht="53" customHeight="1">
      <x:c r="A150" s="5" t="str">
        <x:v>C0195</x:v>
      </x:c>
      <x:c r="B150" s="5" t="str">
        <x:v>Unassigned</x:v>
      </x:c>
      <x:c r="C150" s="5" t="str">
        <x:v>Unassigned</x:v>
      </x:c>
      <x:c r="D150" s="5" t="str">
        <x:v>Unassigned</x:v>
      </x:c>
      <x:c r="E150" s="5" t="str">
        <x:v>Unassigned</x:v>
      </x:c>
      <x:c r="F150" s="5" t="str">
        <x:v>Takao Tomono; Kazuya Tsujimura</x:v>
      </x:c>
      <x:c r="G150" s="5" t="str">
        <x:v>Takao Tomono</x:v>
      </x:c>
      <x:c r="H150" s="5" t="n">
        <x:v>2026</x:v>
      </x:c>
      <x:c r="I150" s="5" t="str">
        <x:v>Hybrid quantum-classical machine learning for industrial multi-anomaly detection via single acoustic sensor</x:v>
      </x:c>
      <x:c r="J150" s="5" t="str">
        <x:v>Scientific Reports</x:v>
      </x:c>
      <x:c r="K150" s="5" t="str">
        <x:v>10.1038/s41598-026-61786-y</x:v>
      </x:c>
      <x:c r="L150" s="5" t="str"/>
      <x:c r="M150" s="5" t="str">
        <x:v>https://www.nature.com/articles/s41598-026-61786-y</x:v>
      </x:c>
      <x:c r="N150" s="5" t="str">
        <x:v>https://doi.org/10.1038/s41598-026-61786-y</x:v>
      </x:c>
      <x:c r="O150" s="5" t="str">
        <x:v>Not extracted</x:v>
      </x:c>
      <x:c r="P150" s="5" t="str">
        <x:v>Not extracted</x:v>
      </x:c>
      <x:c r="Q150" s="5" t="str">
        <x:v>Not extracted</x:v>
      </x:c>
      <x:c r="R150" s="5" t="str">
        <x:v>Not extracted</x:v>
      </x:c>
      <x:c r="S150" s="5" t="str">
        <x:v>Unassigned</x:v>
      </x:c>
      <x:c r="T150" s="5" t="str">
        <x:v>Unassigned</x:v>
      </x:c>
      <x:c r="U150" s="5" t="str"/>
      <x:c r="V150" s="5" t="str"/>
      <x:c r="W150" s="5" t="str">
        <x:v>Not extracted</x:v>
      </x:c>
      <x:c r="X150" s="5" t="str">
        <x:v>Pending eligibility screening</x:v>
      </x:c>
      <x:c r="Y150" s="5" t="str">
        <x:v>tomono2026_C0195</x:v>
      </x:c>
      <x:c r="Z150" s="5" t="str">
        <x:v>Generated; needs verification</x:v>
      </x:c>
      <x:c r="AA150" s="5" t="str">
        <x:v>No manuscript yet</x:v>
      </x:c>
      <x:c r="AB150" s="5" t="str">
        <x:v>No</x:v>
      </x:c>
      <x:c r="AC150" s="5" t="str">
        <x:v>Not checked</x:v>
      </x:c>
      <x:c r="AD150" s="5" t="str">
        <x:v>Unscreened</x:v>
      </x:c>
      <x:c r="AE150" s="5" t="str">
        <x:v>Not linked</x:v>
      </x:c>
      <x:c r="AF150" s="5" t="str">
        <x:v>S12</x:v>
      </x:c>
      <x:c r="AG150" s="5" t="str">
        <x:v>Crossref REST API</x:v>
      </x:c>
      <x:c r="AH150" s="5" t="str">
        <x:v>Journal / conference record; peer review not audited</x:v>
      </x:c>
      <x:c r="AI150" s="5" t="str">
        <x:v>Metadata only</x:v>
      </x:c>
      <x:c r="AJ150" s="5" t="str">
        <x:v>Verified against deposited metadata; publisher citation check pending</x:v>
      </x:c>
      <x:c r="AK150" s="5" t="str">
        <x:v>journal-article</x:v>
      </x:c>
      <x:c r="AL150" s="5" t="str">
        <x:v>Title-scope candidate</x:v>
      </x:c>
      <x:c r="AM150" s="5" t="str">
        <x:v>review-paper/search-strategy/runs/PILOT-20261013-01/S12.json</x:v>
      </x:c>
      <x:c r="AN150" s="8" t="d">
        <x:v>2026-10-13T00:00:00.000Z</x:v>
      </x:c>
    </x:row>
    <x:row r="151" ht="68" customHeight="1">
      <x:c r="A151" s="5" t="str">
        <x:v>C0197</x:v>
      </x:c>
      <x:c r="B151" s="5" t="str">
        <x:v>Unassigned</x:v>
      </x:c>
      <x:c r="C151" s="5" t="str">
        <x:v>Unassigned</x:v>
      </x:c>
      <x:c r="D151" s="5" t="str">
        <x:v>Unassigned</x:v>
      </x:c>
      <x:c r="E151" s="5" t="str">
        <x:v>Unassigned</x:v>
      </x:c>
      <x:c r="F151" s="5" t="str">
        <x:v>Johannes Meyer; Matthias Hartrumpf; Thomas Längle; Jürgen Beyerer</x:v>
      </x:c>
      <x:c r="G151" s="5" t="str">
        <x:v>Johannes Meyer</x:v>
      </x:c>
      <x:c r="H151" s="5" t="n">
        <x:v>2022</x:v>
      </x:c>
      <x:c r="I151" s="5" t="str">
        <x:v>Visual inspection via anomaly detection by automated uncertainty propagation</x:v>
      </x:c>
      <x:c r="J151" s="5" t="str">
        <x:v>Unconventional Optical Imaging III</x:v>
      </x:c>
      <x:c r="K151" s="5" t="str">
        <x:v>10.1117/12.2621146</x:v>
      </x:c>
      <x:c r="L151" s="5" t="str"/>
      <x:c r="M151" s="5" t="str">
        <x:v>https://www.spiedigitallibrary.org/conference-proceedings-of-spie/12136/2621146/Visual-inspection-via-anomaly-detection-by-automated-uncertainty-propagation/10.1117/12.2621146.full</x:v>
      </x:c>
      <x:c r="N151" s="5" t="str">
        <x:v>https://doi.org/10.1117/12.2621146</x:v>
      </x:c>
      <x:c r="O151" s="5" t="str">
        <x:v>Not extracted</x:v>
      </x:c>
      <x:c r="P151" s="5" t="str">
        <x:v>Not extracted</x:v>
      </x:c>
      <x:c r="Q151" s="5" t="str">
        <x:v>Not extracted</x:v>
      </x:c>
      <x:c r="R151" s="5" t="str">
        <x:v>Not extracted</x:v>
      </x:c>
      <x:c r="S151" s="5" t="str">
        <x:v>Unassigned</x:v>
      </x:c>
      <x:c r="T151" s="5" t="str">
        <x:v>Unassigned</x:v>
      </x:c>
      <x:c r="U151" s="5" t="str"/>
      <x:c r="V151" s="5" t="str"/>
      <x:c r="W151" s="5" t="str">
        <x:v>Not extracted</x:v>
      </x:c>
      <x:c r="X151" s="5" t="str">
        <x:v>Pending eligibility screening</x:v>
      </x:c>
      <x:c r="Y151" s="5" t="str">
        <x:v>meyer2022_C0197</x:v>
      </x:c>
      <x:c r="Z151" s="5" t="str">
        <x:v>Generated; needs verification</x:v>
      </x:c>
      <x:c r="AA151" s="5" t="str">
        <x:v>No manuscript yet</x:v>
      </x:c>
      <x:c r="AB151" s="5" t="str">
        <x:v>No</x:v>
      </x:c>
      <x:c r="AC151" s="5" t="str">
        <x:v>Not checked</x:v>
      </x:c>
      <x:c r="AD151" s="5" t="str">
        <x:v>Unscreened</x:v>
      </x:c>
      <x:c r="AE151" s="5" t="str">
        <x:v>Not linked</x:v>
      </x:c>
      <x:c r="AF151" s="5" t="str">
        <x:v>S12</x:v>
      </x:c>
      <x:c r="AG151" s="5" t="str">
        <x:v>Crossref REST API</x:v>
      </x:c>
      <x:c r="AH151" s="5" t="str">
        <x:v>Journal / conference record; peer review not audited</x:v>
      </x:c>
      <x:c r="AI151" s="5" t="str">
        <x:v>Metadata only</x:v>
      </x:c>
      <x:c r="AJ151" s="5" t="str">
        <x:v>Verified against deposited metadata; publisher citation check pending</x:v>
      </x:c>
      <x:c r="AK151" s="5" t="str">
        <x:v>proceedings-article</x:v>
      </x:c>
      <x:c r="AL151" s="5" t="str">
        <x:v>Title-scope candidate</x:v>
      </x:c>
      <x:c r="AM151" s="5" t="str">
        <x:v>review-paper/search-strategy/runs/PILOT-20261013-01/S12.json</x:v>
      </x:c>
      <x:c r="AN151" s="8" t="d">
        <x:v>2026-10-13T00:00:00.000Z</x:v>
      </x:c>
    </x:row>
    <x:row r="152" ht="53" customHeight="1">
      <x:c r="A152" s="5" t="str">
        <x:v>C0200</x:v>
      </x:c>
      <x:c r="B152" s="5" t="str">
        <x:v>Unassigned</x:v>
      </x:c>
      <x:c r="C152" s="5" t="str">
        <x:v>Unassigned</x:v>
      </x:c>
      <x:c r="D152" s="5" t="str">
        <x:v>Unassigned</x:v>
      </x:c>
      <x:c r="E152" s="5" t="str">
        <x:v>Unassigned</x:v>
      </x:c>
      <x:c r="F152" s="5" t="str">
        <x:v>Yu-Hang Huang; Sio-Long Lo</x:v>
      </x:c>
      <x:c r="G152" s="5" t="str">
        <x:v>Yu-Hang Huang</x:v>
      </x:c>
      <x:c r="H152" s="5" t="n">
        <x:v>2026</x:v>
      </x:c>
      <x:c r="I152" s="5" t="str">
        <x:v>Beyond Heuristic Thresholds: Uncertainty-Aware Industrial Anomaly Detection With Last-Layer Laplace Approximation</x:v>
      </x:c>
      <x:c r="J152" s="5" t="str">
        <x:v>IEEE Access</x:v>
      </x:c>
      <x:c r="K152" s="5" t="str">
        <x:v>10.1109/access.2026.3702052</x:v>
      </x:c>
      <x:c r="L152" s="5" t="str"/>
      <x:c r="M152" s="5" t="str">
        <x:v>https://ieeexplore.ieee.org/document/11557117/</x:v>
      </x:c>
      <x:c r="N152" s="5" t="str">
        <x:v>https://doi.org/10.1109/access.2026.3702052</x:v>
      </x:c>
      <x:c r="O152" s="5" t="str">
        <x:v>Not extracted</x:v>
      </x:c>
      <x:c r="P152" s="5" t="str">
        <x:v>Not extracted</x:v>
      </x:c>
      <x:c r="Q152" s="5" t="str">
        <x:v>Not extracted</x:v>
      </x:c>
      <x:c r="R152" s="5" t="str">
        <x:v>Not extracted</x:v>
      </x:c>
      <x:c r="S152" s="5" t="str">
        <x:v>Unassigned</x:v>
      </x:c>
      <x:c r="T152" s="5" t="str">
        <x:v>Unassigned</x:v>
      </x:c>
      <x:c r="U152" s="5" t="str"/>
      <x:c r="V152" s="5" t="str"/>
      <x:c r="W152" s="5" t="str">
        <x:v>Not extracted</x:v>
      </x:c>
      <x:c r="X152" s="5" t="str">
        <x:v>Pending eligibility screening</x:v>
      </x:c>
      <x:c r="Y152" s="5" t="str">
        <x:v>huang2026_C0200</x:v>
      </x:c>
      <x:c r="Z152" s="5" t="str">
        <x:v>Generated; needs verification</x:v>
      </x:c>
      <x:c r="AA152" s="5" t="str">
        <x:v>No manuscript yet</x:v>
      </x:c>
      <x:c r="AB152" s="5" t="str">
        <x:v>No</x:v>
      </x:c>
      <x:c r="AC152" s="5" t="str">
        <x:v>Not checked</x:v>
      </x:c>
      <x:c r="AD152" s="5" t="str">
        <x:v>Unscreened</x:v>
      </x:c>
      <x:c r="AE152" s="5" t="str">
        <x:v>Not linked</x:v>
      </x:c>
      <x:c r="AF152" s="5" t="str">
        <x:v>S12</x:v>
      </x:c>
      <x:c r="AG152" s="5" t="str">
        <x:v>Crossref REST API</x:v>
      </x:c>
      <x:c r="AH152" s="5" t="str">
        <x:v>Journal / conference record; peer review not audited</x:v>
      </x:c>
      <x:c r="AI152" s="5" t="str">
        <x:v>Metadata only</x:v>
      </x:c>
      <x:c r="AJ152" s="5" t="str">
        <x:v>Verified against deposited metadata; publisher citation check pending</x:v>
      </x:c>
      <x:c r="AK152" s="5" t="str">
        <x:v>journal-article</x:v>
      </x:c>
      <x:c r="AL152" s="5" t="str">
        <x:v>Title-scope candidate</x:v>
      </x:c>
      <x:c r="AM152" s="5" t="str">
        <x:v>review-paper/search-strategy/runs/PILOT-20261013-01/S12.json</x:v>
      </x:c>
      <x:c r="AN152" s="8" t="d">
        <x:v>2026-10-13T00:00:00.000Z</x:v>
      </x:c>
    </x:row>
    <x:row r="153" ht="53" customHeight="1">
      <x:c r="A153" s="5" t="str">
        <x:v>C0201</x:v>
      </x:c>
      <x:c r="B153" s="5" t="str">
        <x:v>Unassigned</x:v>
      </x:c>
      <x:c r="C153" s="5" t="str">
        <x:v>Unassigned</x:v>
      </x:c>
      <x:c r="D153" s="5" t="str">
        <x:v>Unassigned</x:v>
      </x:c>
      <x:c r="E153" s="5" t="str">
        <x:v>Unassigned</x:v>
      </x:c>
      <x:c r="F153" s="5" t="str">
        <x:v>Sriharsha Gudi,</x:v>
      </x:c>
      <x:c r="G153" s="5" t="str">
        <x:v>Sriharsha Gudi,</x:v>
      </x:c>
      <x:c r="H153" s="5" t="n">
        <x:v>2026</x:v>
      </x:c>
      <x:c r="I153" s="5" t="str">
        <x:v>Anomaly Detection in Industrial IoT Sensor Streams: A Systematic Review of Data Engineering Pipelines and Detection Mechanisms</x:v>
      </x:c>
      <x:c r="J153" s="5" t="str">
        <x:v>Journal of Emerging Technologies and Innovative Research</x:v>
      </x:c>
      <x:c r="K153" s="5" t="str">
        <x:v>10.56975/jetir.v13i9.585694</x:v>
      </x:c>
      <x:c r="L153" s="5" t="str"/>
      <x:c r="M153" s="5" t="str">
        <x:v>https://jetir.org/view.php?paper=JETIR2609032</x:v>
      </x:c>
      <x:c r="N153" s="5" t="str">
        <x:v>https://doi.org/10.56975/jetir.v13i9.585694</x:v>
      </x:c>
      <x:c r="O153" s="5" t="str">
        <x:v>Not extracted</x:v>
      </x:c>
      <x:c r="P153" s="5" t="str">
        <x:v>Not extracted</x:v>
      </x:c>
      <x:c r="Q153" s="5" t="str">
        <x:v>Not extracted</x:v>
      </x:c>
      <x:c r="R153" s="5" t="str">
        <x:v>Not extracted</x:v>
      </x:c>
      <x:c r="S153" s="5" t="str">
        <x:v>Unassigned</x:v>
      </x:c>
      <x:c r="T153" s="5" t="str">
        <x:v>Unassigned</x:v>
      </x:c>
      <x:c r="U153" s="5" t="str"/>
      <x:c r="V153" s="5" t="str"/>
      <x:c r="W153" s="5" t="str">
        <x:v>Not extracted</x:v>
      </x:c>
      <x:c r="X153" s="5" t="str">
        <x:v>Pending eligibility screening</x:v>
      </x:c>
      <x:c r="Y153" s="5" t="str">
        <x:v>gudi2026_C0201</x:v>
      </x:c>
      <x:c r="Z153" s="5" t="str">
        <x:v>Generated; needs verification</x:v>
      </x:c>
      <x:c r="AA153" s="5" t="str">
        <x:v>No manuscript yet</x:v>
      </x:c>
      <x:c r="AB153" s="5" t="str">
        <x:v>No</x:v>
      </x:c>
      <x:c r="AC153" s="5" t="str">
        <x:v>Not checked</x:v>
      </x:c>
      <x:c r="AD153" s="5" t="str">
        <x:v>Unscreened</x:v>
      </x:c>
      <x:c r="AE153" s="5" t="str">
        <x:v>Not linked</x:v>
      </x:c>
      <x:c r="AF153" s="5" t="str">
        <x:v>S12</x:v>
      </x:c>
      <x:c r="AG153" s="5" t="str">
        <x:v>Crossref REST API</x:v>
      </x:c>
      <x:c r="AH153" s="5" t="str">
        <x:v>Journal / conference record; peer review not audited</x:v>
      </x:c>
      <x:c r="AI153" s="5" t="str">
        <x:v>Metadata only</x:v>
      </x:c>
      <x:c r="AJ153" s="5" t="str">
        <x:v>Verified against deposited metadata; publisher citation check pending</x:v>
      </x:c>
      <x:c r="AK153" s="5" t="str">
        <x:v>journal-article</x:v>
      </x:c>
      <x:c r="AL153" s="5" t="str">
        <x:v>Title-scope candidate</x:v>
      </x:c>
      <x:c r="AM153" s="5" t="str">
        <x:v>review-paper/search-strategy/runs/PILOT-20261013-01/S12.json</x:v>
      </x:c>
      <x:c r="AN153" s="8" t="d">
        <x:v>2026-10-13T00:00:00.000Z</x:v>
      </x:c>
    </x:row>
    <x:row r="154" ht="53" customHeight="1">
      <x:c r="A154" s="5" t="str">
        <x:v>C0202</x:v>
      </x:c>
      <x:c r="B154" s="5" t="str">
        <x:v>Unassigned</x:v>
      </x:c>
      <x:c r="C154" s="5" t="str">
        <x:v>Unassigned</x:v>
      </x:c>
      <x:c r="D154" s="5" t="str">
        <x:v>Unassigned</x:v>
      </x:c>
      <x:c r="E154" s="5" t="str">
        <x:v>Unassigned</x:v>
      </x:c>
      <x:c r="F154" s="5" t="str">
        <x:v>Junaid  Abdul Wahid; Xiaoheng Jiang; Lei Shi; Siyuan Ma; Asma  Abdul Wahid</x:v>
      </x:c>
      <x:c r="G154" s="5" t="str">
        <x:v>Junaid  Abdul Wahid</x:v>
      </x:c>
      <x:c r="H154" s="5" t="n">
        <x:v>2025</x:v>
      </x:c>
      <x:c r="I154" s="5" t="str">
        <x:v>Language Meets Vision: A Vision–Language Guided Multimodal Framework for Explainable Industrial Anomaly Segmentation</x:v>
      </x:c>
      <x:c r="J154" s="5" t="str"/>
      <x:c r="K154" s="5" t="str">
        <x:v>10.2139/ssrn.5745634</x:v>
      </x:c>
      <x:c r="L154" s="5" t="str"/>
      <x:c r="M154" s="5" t="str">
        <x:v>https://www.ssrn.com/abstract=5745634</x:v>
      </x:c>
      <x:c r="N154" s="5" t="str">
        <x:v>https://doi.org/10.2139/ssrn.5745634</x:v>
      </x:c>
      <x:c r="O154" s="5" t="str">
        <x:v>Not extracted</x:v>
      </x:c>
      <x:c r="P154" s="5" t="str">
        <x:v>Not extracted</x:v>
      </x:c>
      <x:c r="Q154" s="5" t="str">
        <x:v>Not extracted</x:v>
      </x:c>
      <x:c r="R154" s="5" t="str">
        <x:v>Not extracted</x:v>
      </x:c>
      <x:c r="S154" s="5" t="str">
        <x:v>Unassigned</x:v>
      </x:c>
      <x:c r="T154" s="5" t="str">
        <x:v>Unassigned</x:v>
      </x:c>
      <x:c r="U154" s="5" t="str"/>
      <x:c r="V154" s="5" t="str"/>
      <x:c r="W154" s="5" t="str">
        <x:v>Not extracted</x:v>
      </x:c>
      <x:c r="X154" s="5" t="str">
        <x:v>Pending eligibility screening</x:v>
      </x:c>
      <x:c r="Y154" s="5" t="str">
        <x:v>wahid2025_C0202</x:v>
      </x:c>
      <x:c r="Z154" s="5" t="str">
        <x:v>Generated; needs verification</x:v>
      </x:c>
      <x:c r="AA154" s="5" t="str">
        <x:v>No manuscript yet</x:v>
      </x:c>
      <x:c r="AB154" s="5" t="str">
        <x:v>No</x:v>
      </x:c>
      <x:c r="AC154" s="5" t="str">
        <x:v>Not checked</x:v>
      </x:c>
      <x:c r="AD154" s="5" t="str">
        <x:v>Unscreened</x:v>
      </x:c>
      <x:c r="AE154" s="5" t="str">
        <x:v>Not linked</x:v>
      </x:c>
      <x:c r="AF154" s="5" t="str">
        <x:v>S13</x:v>
      </x:c>
      <x:c r="AG154" s="5" t="str">
        <x:v>Crossref REST API</x:v>
      </x:c>
      <x:c r="AH154" s="5" t="str">
        <x:v>Preprint / repository record</x:v>
      </x:c>
      <x:c r="AI154" s="5" t="str">
        <x:v>Metadata only</x:v>
      </x:c>
      <x:c r="AJ154" s="5" t="str">
        <x:v>Verified against deposited metadata; publisher citation check pending</x:v>
      </x:c>
      <x:c r="AK154" s="5" t="str">
        <x:v>posted-content</x:v>
      </x:c>
      <x:c r="AL154" s="5" t="str">
        <x:v>Title-scope candidate</x:v>
      </x:c>
      <x:c r="AM154" s="5" t="str">
        <x:v>review-paper/search-strategy/runs/PILOT-20261013-01/S13.json</x:v>
      </x:c>
      <x:c r="AN154" s="8" t="d">
        <x:v>2026-10-13T00:00:00.000Z</x:v>
      </x:c>
    </x:row>
    <x:row r="155" ht="53" customHeight="1">
      <x:c r="A155" s="5" t="str">
        <x:v>C0203</x:v>
      </x:c>
      <x:c r="B155" s="5" t="str">
        <x:v>Unassigned</x:v>
      </x:c>
      <x:c r="C155" s="5" t="str">
        <x:v>Unassigned</x:v>
      </x:c>
      <x:c r="D155" s="5" t="str">
        <x:v>Unassigned</x:v>
      </x:c>
      <x:c r="E155" s="5" t="str">
        <x:v>Unassigned</x:v>
      </x:c>
      <x:c r="F155" s="5" t="str">
        <x:v>Muhammad Bilal; Muhammad Shehzad Hanif</x:v>
      </x:c>
      <x:c r="G155" s="5" t="str">
        <x:v>Muhammad Bilal</x:v>
      </x:c>
      <x:c r="H155" s="5" t="n">
        <x:v>2025</x:v>
      </x:c>
      <x:c r="I155" s="5" t="str">
        <x:v>Fast Anomaly Detection for Vision-Based Industrial Inspection Using Cascades of Null Subspace PCA Detectors</x:v>
      </x:c>
      <x:c r="J155" s="5" t="str">
        <x:v>Sensors</x:v>
      </x:c>
      <x:c r="K155" s="5" t="str">
        <x:v>10.3390/s25154853</x:v>
      </x:c>
      <x:c r="L155" s="5" t="str"/>
      <x:c r="M155" s="5" t="str">
        <x:v>https://www.mdpi.com/1424-8220/25/15/4853</x:v>
      </x:c>
      <x:c r="N155" s="5" t="str">
        <x:v>https://doi.org/10.3390/s25154853</x:v>
      </x:c>
      <x:c r="O155" s="5" t="str">
        <x:v>Not extracted</x:v>
      </x:c>
      <x:c r="P155" s="5" t="str">
        <x:v>Not extracted</x:v>
      </x:c>
      <x:c r="Q155" s="5" t="str">
        <x:v>Not extracted</x:v>
      </x:c>
      <x:c r="R155" s="5" t="str">
        <x:v>Not extracted</x:v>
      </x:c>
      <x:c r="S155" s="5" t="str">
        <x:v>Unassigned</x:v>
      </x:c>
      <x:c r="T155" s="5" t="str">
        <x:v>Unassigned</x:v>
      </x:c>
      <x:c r="U155" s="5" t="str"/>
      <x:c r="V155" s="5" t="str"/>
      <x:c r="W155" s="5" t="str">
        <x:v>Not extracted</x:v>
      </x:c>
      <x:c r="X155" s="5" t="str">
        <x:v>Pending eligibility screening</x:v>
      </x:c>
      <x:c r="Y155" s="5" t="str">
        <x:v>bilal2025_C0203</x:v>
      </x:c>
      <x:c r="Z155" s="5" t="str">
        <x:v>Generated; needs verification</x:v>
      </x:c>
      <x:c r="AA155" s="5" t="str">
        <x:v>No manuscript yet</x:v>
      </x:c>
      <x:c r="AB155" s="5" t="str">
        <x:v>No</x:v>
      </x:c>
      <x:c r="AC155" s="5" t="str">
        <x:v>Not checked</x:v>
      </x:c>
      <x:c r="AD155" s="5" t="str">
        <x:v>Unscreened</x:v>
      </x:c>
      <x:c r="AE155" s="5" t="str">
        <x:v>Not linked</x:v>
      </x:c>
      <x:c r="AF155" s="5" t="str">
        <x:v>S13</x:v>
      </x:c>
      <x:c r="AG155" s="5" t="str">
        <x:v>Crossref REST API</x:v>
      </x:c>
      <x:c r="AH155" s="5" t="str">
        <x:v>Journal / conference record; peer review not audited</x:v>
      </x:c>
      <x:c r="AI155" s="5" t="str">
        <x:v>Metadata only</x:v>
      </x:c>
      <x:c r="AJ155" s="5" t="str">
        <x:v>Verified against deposited metadata; publisher citation check pending</x:v>
      </x:c>
      <x:c r="AK155" s="5" t="str">
        <x:v>journal-article</x:v>
      </x:c>
      <x:c r="AL155" s="5" t="str">
        <x:v>Title-scope candidate</x:v>
      </x:c>
      <x:c r="AM155" s="5" t="str">
        <x:v>review-paper/search-strategy/runs/PILOT-20261013-01/S13.json</x:v>
      </x:c>
      <x:c r="AN155" s="8" t="d">
        <x:v>2026-10-13T00:00:00.000Z</x:v>
      </x:c>
    </x:row>
    <x:row r="156" ht="53" customHeight="1">
      <x:c r="A156" s="5" t="str">
        <x:v>C0205</x:v>
      </x:c>
      <x:c r="B156" s="5" t="str">
        <x:v>Unassigned</x:v>
      </x:c>
      <x:c r="C156" s="5" t="str">
        <x:v>Unassigned</x:v>
      </x:c>
      <x:c r="D156" s="5" t="str">
        <x:v>Unassigned</x:v>
      </x:c>
      <x:c r="E156" s="5" t="str">
        <x:v>Unassigned</x:v>
      </x:c>
      <x:c r="F156" s="5" t="str">
        <x:v>Jiaqi Li; Shuhuan Wen; Hamid Reza Karimi</x:v>
      </x:c>
      <x:c r="G156" s="5" t="str">
        <x:v>Jiaqi Li</x:v>
      </x:c>
      <x:c r="H156" s="5" t="n">
        <x:v>2026</x:v>
      </x:c>
      <x:c r="I156" s="5" t="str">
        <x:v>Zoom-Anomaly: Multimodal vision-Language fusion industrial anomaly detection with synthetic data</x:v>
      </x:c>
      <x:c r="J156" s="5" t="str">
        <x:v>Information Fusion</x:v>
      </x:c>
      <x:c r="K156" s="5" t="str">
        <x:v>10.1016/j.inffus.2025.103910</x:v>
      </x:c>
      <x:c r="L156" s="5" t="str"/>
      <x:c r="M156" s="5" t="str">
        <x:v>https://linkinghub.elsevier.com/retrieve/pii/S1566253525009728</x:v>
      </x:c>
      <x:c r="N156" s="5" t="str">
        <x:v>https://doi.org/10.1016/j.inffus.2025.103910</x:v>
      </x:c>
      <x:c r="O156" s="5" t="str">
        <x:v>Not extracted</x:v>
      </x:c>
      <x:c r="P156" s="5" t="str">
        <x:v>Not extracted</x:v>
      </x:c>
      <x:c r="Q156" s="5" t="str">
        <x:v>Not extracted</x:v>
      </x:c>
      <x:c r="R156" s="5" t="str">
        <x:v>Not extracted</x:v>
      </x:c>
      <x:c r="S156" s="5" t="str">
        <x:v>Unassigned</x:v>
      </x:c>
      <x:c r="T156" s="5" t="str">
        <x:v>Unassigned</x:v>
      </x:c>
      <x:c r="U156" s="5" t="str"/>
      <x:c r="V156" s="5" t="str"/>
      <x:c r="W156" s="5" t="str">
        <x:v>Not extracted</x:v>
      </x:c>
      <x:c r="X156" s="5" t="str">
        <x:v>Pending eligibility screening</x:v>
      </x:c>
      <x:c r="Y156" s="5" t="str">
        <x:v>li2026_C0205</x:v>
      </x:c>
      <x:c r="Z156" s="5" t="str">
        <x:v>Generated; needs verification</x:v>
      </x:c>
      <x:c r="AA156" s="5" t="str">
        <x:v>No manuscript yet</x:v>
      </x:c>
      <x:c r="AB156" s="5" t="str">
        <x:v>No</x:v>
      </x:c>
      <x:c r="AC156" s="5" t="str">
        <x:v>Not checked</x:v>
      </x:c>
      <x:c r="AD156" s="5" t="str">
        <x:v>Unscreened</x:v>
      </x:c>
      <x:c r="AE156" s="5" t="str">
        <x:v>Not linked</x:v>
      </x:c>
      <x:c r="AF156" s="5" t="str">
        <x:v>S13</x:v>
      </x:c>
      <x:c r="AG156" s="5" t="str">
        <x:v>Crossref REST API</x:v>
      </x:c>
      <x:c r="AH156" s="5" t="str">
        <x:v>Journal / conference record; peer review not audited</x:v>
      </x:c>
      <x:c r="AI156" s="5" t="str">
        <x:v>Metadata only</x:v>
      </x:c>
      <x:c r="AJ156" s="5" t="str">
        <x:v>Verified against deposited metadata; publisher citation check pending</x:v>
      </x:c>
      <x:c r="AK156" s="5" t="str">
        <x:v>journal-article</x:v>
      </x:c>
      <x:c r="AL156" s="5" t="str">
        <x:v>Title-scope candidate</x:v>
      </x:c>
      <x:c r="AM156" s="5" t="str">
        <x:v>review-paper/search-strategy/runs/PILOT-20261013-01/S13.json</x:v>
      </x:c>
      <x:c r="AN156" s="8" t="d">
        <x:v>2026-10-13T00:00:00.000Z</x:v>
      </x:c>
    </x:row>
    <x:row r="157" ht="53" customHeight="1">
      <x:c r="A157" s="5" t="str">
        <x:v>C0206</x:v>
      </x:c>
      <x:c r="B157" s="5" t="str">
        <x:v>Unassigned</x:v>
      </x:c>
      <x:c r="C157" s="5" t="str">
        <x:v>Unassigned</x:v>
      </x:c>
      <x:c r="D157" s="5" t="str">
        <x:v>Unassigned</x:v>
      </x:c>
      <x:c r="E157" s="5" t="str">
        <x:v>Unassigned</x:v>
      </x:c>
      <x:c r="F157" s="5" t="str">
        <x:v>Seongjun Ha; Damon Lercel; Gaurav Nanda</x:v>
      </x:c>
      <x:c r="G157" s="5" t="str">
        <x:v>Seongjun Ha</x:v>
      </x:c>
      <x:c r="H157" s="5" t="n">
        <x:v>2025</x:v>
      </x:c>
      <x:c r="I157" s="5" t="str">
        <x:v>Large Vision Language Models for Anomaly Detection in Aircraft Inspection with Inspectors in the Loop</x:v>
      </x:c>
      <x:c r="J157" s="5" t="str">
        <x:v>AIAA AVIATION FORUM AND ASCEND 2025</x:v>
      </x:c>
      <x:c r="K157" s="5" t="str">
        <x:v>10.2514/6.2025-3793</x:v>
      </x:c>
      <x:c r="L157" s="5" t="str"/>
      <x:c r="M157" s="5" t="str">
        <x:v>https://arc.aiaa.org/doi/10.2514/6.2025-3793</x:v>
      </x:c>
      <x:c r="N157" s="5" t="str">
        <x:v>https://doi.org/10.2514/6.2025-3793</x:v>
      </x:c>
      <x:c r="O157" s="5" t="str">
        <x:v>Not extracted</x:v>
      </x:c>
      <x:c r="P157" s="5" t="str">
        <x:v>Not extracted</x:v>
      </x:c>
      <x:c r="Q157" s="5" t="str">
        <x:v>Not extracted</x:v>
      </x:c>
      <x:c r="R157" s="5" t="str">
        <x:v>Not extracted</x:v>
      </x:c>
      <x:c r="S157" s="5" t="str">
        <x:v>Unassigned</x:v>
      </x:c>
      <x:c r="T157" s="5" t="str">
        <x:v>Unassigned</x:v>
      </x:c>
      <x:c r="U157" s="5" t="str"/>
      <x:c r="V157" s="5" t="str"/>
      <x:c r="W157" s="5" t="str">
        <x:v>Not extracted</x:v>
      </x:c>
      <x:c r="X157" s="5" t="str">
        <x:v>Pending eligibility screening</x:v>
      </x:c>
      <x:c r="Y157" s="5" t="str">
        <x:v>ha2025_C0206</x:v>
      </x:c>
      <x:c r="Z157" s="5" t="str">
        <x:v>Generated; needs verification</x:v>
      </x:c>
      <x:c r="AA157" s="5" t="str">
        <x:v>No manuscript yet</x:v>
      </x:c>
      <x:c r="AB157" s="5" t="str">
        <x:v>No</x:v>
      </x:c>
      <x:c r="AC157" s="5" t="str">
        <x:v>Not checked</x:v>
      </x:c>
      <x:c r="AD157" s="5" t="str">
        <x:v>Unscreened</x:v>
      </x:c>
      <x:c r="AE157" s="5" t="str">
        <x:v>Not linked</x:v>
      </x:c>
      <x:c r="AF157" s="5" t="str">
        <x:v>S13</x:v>
      </x:c>
      <x:c r="AG157" s="5" t="str">
        <x:v>Crossref REST API</x:v>
      </x:c>
      <x:c r="AH157" s="5" t="str">
        <x:v>Journal / conference record; peer review not audited</x:v>
      </x:c>
      <x:c r="AI157" s="5" t="str">
        <x:v>Metadata only</x:v>
      </x:c>
      <x:c r="AJ157" s="5" t="str">
        <x:v>Verified against deposited metadata; publisher citation check pending</x:v>
      </x:c>
      <x:c r="AK157" s="5" t="str">
        <x:v>proceedings-article</x:v>
      </x:c>
      <x:c r="AL157" s="5" t="str">
        <x:v>Title-scope candidate</x:v>
      </x:c>
      <x:c r="AM157" s="5" t="str">
        <x:v>review-paper/search-strategy/runs/PILOT-20261013-01/S13.json</x:v>
      </x:c>
      <x:c r="AN157" s="8" t="d">
        <x:v>2026-10-13T00:00:00.000Z</x:v>
      </x:c>
    </x:row>
    <x:row r="158" ht="53" customHeight="1">
      <x:c r="A158" s="5" t="str">
        <x:v>C0208</x:v>
      </x:c>
      <x:c r="B158" s="5" t="str">
        <x:v>Unassigned</x:v>
      </x:c>
      <x:c r="C158" s="5" t="str">
        <x:v>Unassigned</x:v>
      </x:c>
      <x:c r="D158" s="5" t="str">
        <x:v>Unassigned</x:v>
      </x:c>
      <x:c r="E158" s="5" t="str">
        <x:v>Unassigned</x:v>
      </x:c>
      <x:c r="F158" s="5" t="str">
        <x:v>Xiangyu Zhu; Wenhua Cui; Ye Tao; Xilong Wang</x:v>
      </x:c>
      <x:c r="G158" s="5" t="str">
        <x:v>Xiangyu Zhu</x:v>
      </x:c>
      <x:c r="H158" s="5" t="n">
        <x:v>2026</x:v>
      </x:c>
      <x:c r="I158" s="5" t="str">
        <x:v>Vision expert guided inspection for industrial anomaly detection</x:v>
      </x:c>
      <x:c r="J158" s="5" t="str">
        <x:v>PLOS One</x:v>
      </x:c>
      <x:c r="K158" s="5" t="str">
        <x:v>10.1371/journal.pone.0353291</x:v>
      </x:c>
      <x:c r="L158" s="5" t="str"/>
      <x:c r="M158" s="5" t="str">
        <x:v>https://dx.plos.org/10.1371/journal.pone.0353291</x:v>
      </x:c>
      <x:c r="N158" s="5" t="str">
        <x:v>https://doi.org/10.1371/journal.pone.0353291</x:v>
      </x:c>
      <x:c r="O158" s="5" t="str">
        <x:v>Not extracted</x:v>
      </x:c>
      <x:c r="P158" s="5" t="str">
        <x:v>Not extracted</x:v>
      </x:c>
      <x:c r="Q158" s="5" t="str">
        <x:v>Not extracted</x:v>
      </x:c>
      <x:c r="R158" s="5" t="str">
        <x:v>Not extracted</x:v>
      </x:c>
      <x:c r="S158" s="5" t="str">
        <x:v>Unassigned</x:v>
      </x:c>
      <x:c r="T158" s="5" t="str">
        <x:v>Unassigned</x:v>
      </x:c>
      <x:c r="U158" s="5" t="str"/>
      <x:c r="V158" s="5" t="str"/>
      <x:c r="W158" s="5" t="str">
        <x:v>Not extracted</x:v>
      </x:c>
      <x:c r="X158" s="5" t="str">
        <x:v>Pending eligibility screening</x:v>
      </x:c>
      <x:c r="Y158" s="5" t="str">
        <x:v>zhu2026_C0208</x:v>
      </x:c>
      <x:c r="Z158" s="5" t="str">
        <x:v>Generated; needs verification</x:v>
      </x:c>
      <x:c r="AA158" s="5" t="str">
        <x:v>No manuscript yet</x:v>
      </x:c>
      <x:c r="AB158" s="5" t="str">
        <x:v>No</x:v>
      </x:c>
      <x:c r="AC158" s="5" t="str">
        <x:v>Not checked</x:v>
      </x:c>
      <x:c r="AD158" s="5" t="str">
        <x:v>Unscreened</x:v>
      </x:c>
      <x:c r="AE158" s="5" t="str">
        <x:v>Not linked</x:v>
      </x:c>
      <x:c r="AF158" s="5" t="str">
        <x:v>S13</x:v>
      </x:c>
      <x:c r="AG158" s="5" t="str">
        <x:v>Crossref REST API</x:v>
      </x:c>
      <x:c r="AH158" s="5" t="str">
        <x:v>Journal / conference record; peer review not audited</x:v>
      </x:c>
      <x:c r="AI158" s="5" t="str">
        <x:v>Metadata only</x:v>
      </x:c>
      <x:c r="AJ158" s="5" t="str">
        <x:v>Verified against deposited metadata; publisher citation check pending</x:v>
      </x:c>
      <x:c r="AK158" s="5" t="str">
        <x:v>journal-article</x:v>
      </x:c>
      <x:c r="AL158" s="5" t="str">
        <x:v>Title-scope candidate</x:v>
      </x:c>
      <x:c r="AM158" s="5" t="str">
        <x:v>review-paper/search-strategy/runs/PILOT-20261013-01/S13.json</x:v>
      </x:c>
      <x:c r="AN158" s="8" t="d">
        <x:v>2026-10-13T00:00:00.000Z</x:v>
      </x:c>
    </x:row>
    <x:row r="159" ht="68" customHeight="1">
      <x:c r="A159" s="5" t="str">
        <x:v>C0210</x:v>
      </x:c>
      <x:c r="B159" s="5" t="str">
        <x:v>Unassigned</x:v>
      </x:c>
      <x:c r="C159" s="5" t="str">
        <x:v>Unassigned</x:v>
      </x:c>
      <x:c r="D159" s="5" t="str">
        <x:v>Unassigned</x:v>
      </x:c>
      <x:c r="E159" s="5" t="str">
        <x:v>Unassigned</x:v>
      </x:c>
      <x:c r="F159" s="5" t="str">
        <x:v>Ho-Weng Lee; Shang-Hong Lai</x:v>
      </x:c>
      <x:c r="G159" s="5" t="str">
        <x:v>Ho-Weng Lee</x:v>
      </x:c>
      <x:c r="H159" s="5" t="n">
        <x:v>2024</x:v>
      </x:c>
      <x:c r="I159" s="5" t="str">
        <x:v>TAB: Text-Align Anomaly Backbone Model for Industrial Inspection Tasks</x:v>
      </x:c>
      <x:c r="J159" s="5" t="str">
        <x:v>2024 IEEE/CVF Conference on Computer Vision and Pattern Recognition Workshops (CVPRW)</x:v>
      </x:c>
      <x:c r="K159" s="5" t="str">
        <x:v>10.1109/cvprw63382.2024.00396</x:v>
      </x:c>
      <x:c r="L159" s="5" t="str"/>
      <x:c r="M159" s="5" t="str">
        <x:v>https://ieeexplore.ieee.org/document/10678539/</x:v>
      </x:c>
      <x:c r="N159" s="5" t="str">
        <x:v>https://doi.org/10.1109/cvprw63382.2024.00396</x:v>
      </x:c>
      <x:c r="O159" s="5" t="str">
        <x:v>Not extracted</x:v>
      </x:c>
      <x:c r="P159" s="5" t="str">
        <x:v>Not extracted</x:v>
      </x:c>
      <x:c r="Q159" s="5" t="str">
        <x:v>Not extracted</x:v>
      </x:c>
      <x:c r="R159" s="5" t="str">
        <x:v>Not extracted</x:v>
      </x:c>
      <x:c r="S159" s="5" t="str">
        <x:v>Unassigned</x:v>
      </x:c>
      <x:c r="T159" s="5" t="str">
        <x:v>Unassigned</x:v>
      </x:c>
      <x:c r="U159" s="5" t="str"/>
      <x:c r="V159" s="5" t="str"/>
      <x:c r="W159" s="5" t="str">
        <x:v>Not extracted</x:v>
      </x:c>
      <x:c r="X159" s="5" t="str">
        <x:v>Pending eligibility screening</x:v>
      </x:c>
      <x:c r="Y159" s="5" t="str">
        <x:v>lee2024_C0210</x:v>
      </x:c>
      <x:c r="Z159" s="5" t="str">
        <x:v>Generated; needs verification</x:v>
      </x:c>
      <x:c r="AA159" s="5" t="str">
        <x:v>No manuscript yet</x:v>
      </x:c>
      <x:c r="AB159" s="5" t="str">
        <x:v>No</x:v>
      </x:c>
      <x:c r="AC159" s="5" t="str">
        <x:v>Not checked</x:v>
      </x:c>
      <x:c r="AD159" s="5" t="str">
        <x:v>Unscreened</x:v>
      </x:c>
      <x:c r="AE159" s="5" t="str">
        <x:v>Not linked</x:v>
      </x:c>
      <x:c r="AF159" s="5" t="str">
        <x:v>S13</x:v>
      </x:c>
      <x:c r="AG159" s="5" t="str">
        <x:v>Crossref REST API</x:v>
      </x:c>
      <x:c r="AH159" s="5" t="str">
        <x:v>Journal / conference record; peer review not audited</x:v>
      </x:c>
      <x:c r="AI159" s="5" t="str">
        <x:v>Metadata only</x:v>
      </x:c>
      <x:c r="AJ159" s="5" t="str">
        <x:v>Verified against deposited metadata; publisher citation check pending</x:v>
      </x:c>
      <x:c r="AK159" s="5" t="str">
        <x:v>proceedings-article</x:v>
      </x:c>
      <x:c r="AL159" s="5" t="str">
        <x:v>Title-scope candidate</x:v>
      </x:c>
      <x:c r="AM159" s="5" t="str">
        <x:v>review-paper/search-strategy/runs/PILOT-20261013-01/S13.json</x:v>
      </x:c>
      <x:c r="AN159" s="8" t="d">
        <x:v>2026-10-13T00:00:00.000Z</x:v>
      </x:c>
    </x:row>
    <x:row r="160" ht="53" customHeight="1">
      <x:c r="A160" s="5" t="str">
        <x:v>C0211</x:v>
      </x:c>
      <x:c r="B160" s="5" t="str">
        <x:v>Unassigned</x:v>
      </x:c>
      <x:c r="C160" s="5" t="str">
        <x:v>Unassigned</x:v>
      </x:c>
      <x:c r="D160" s="5" t="str">
        <x:v>Unassigned</x:v>
      </x:c>
      <x:c r="E160" s="5" t="str">
        <x:v>Unassigned</x:v>
      </x:c>
      <x:c r="F160" s="5" t="str">
        <x:v>Haibin Jia</x:v>
      </x:c>
      <x:c r="G160" s="5" t="str">
        <x:v>Haibin Jia</x:v>
      </x:c>
      <x:c r="H160" s="5" t="n">
        <x:v>2021</x:v>
      </x:c>
      <x:c r="I160" s="5" t="str">
        <x:v>Studies on industrial vision inspection methods</x:v>
      </x:c>
      <x:c r="J160" s="5" t="str"/>
      <x:c r="K160" s="5" t="str">
        <x:v>10.32920/ryerson.14665326.v1</x:v>
      </x:c>
      <x:c r="L160" s="5" t="str"/>
      <x:c r="M160" s="5" t="str">
        <x:v>https://rshare.library.torontomu.ca/articles/thesis/Studies_on_industrial_vision_inspection_methods/14665326/1</x:v>
      </x:c>
      <x:c r="N160" s="5" t="str">
        <x:v>https://doi.org/10.32920/ryerson.14665326.v1</x:v>
      </x:c>
      <x:c r="O160" s="5" t="str">
        <x:v>Not extracted</x:v>
      </x:c>
      <x:c r="P160" s="5" t="str">
        <x:v>Not extracted</x:v>
      </x:c>
      <x:c r="Q160" s="5" t="str">
        <x:v>Not extracted</x:v>
      </x:c>
      <x:c r="R160" s="5" t="str">
        <x:v>Not extracted</x:v>
      </x:c>
      <x:c r="S160" s="5" t="str">
        <x:v>Unassigned</x:v>
      </x:c>
      <x:c r="T160" s="5" t="str">
        <x:v>Unassigned</x:v>
      </x:c>
      <x:c r="U160" s="5" t="str"/>
      <x:c r="V160" s="5" t="str"/>
      <x:c r="W160" s="5" t="str">
        <x:v>Not extracted</x:v>
      </x:c>
      <x:c r="X160" s="5" t="str">
        <x:v>Pending eligibility screening</x:v>
      </x:c>
      <x:c r="Y160" s="5" t="str">
        <x:v>jia2021_C0211</x:v>
      </x:c>
      <x:c r="Z160" s="5" t="str">
        <x:v>Generated; needs verification</x:v>
      </x:c>
      <x:c r="AA160" s="5" t="str">
        <x:v>No manuscript yet</x:v>
      </x:c>
      <x:c r="AB160" s="5" t="str">
        <x:v>No</x:v>
      </x:c>
      <x:c r="AC160" s="5" t="str">
        <x:v>Not checked</x:v>
      </x:c>
      <x:c r="AD160" s="5" t="str">
        <x:v>Unscreened</x:v>
      </x:c>
      <x:c r="AE160" s="5" t="str">
        <x:v>Not linked</x:v>
      </x:c>
      <x:c r="AF160" s="5" t="str">
        <x:v>S13</x:v>
      </x:c>
      <x:c r="AG160" s="5" t="str">
        <x:v>Crossref REST API</x:v>
      </x:c>
      <x:c r="AH160" s="5" t="str">
        <x:v>Preprint / repository record</x:v>
      </x:c>
      <x:c r="AI160" s="5" t="str">
        <x:v>Metadata only</x:v>
      </x:c>
      <x:c r="AJ160" s="5" t="str">
        <x:v>Verified against deposited metadata; publisher citation check pending</x:v>
      </x:c>
      <x:c r="AK160" s="5" t="str">
        <x:v>posted-content</x:v>
      </x:c>
      <x:c r="AL160" s="5" t="str">
        <x:v>Title-scope candidate</x:v>
      </x:c>
      <x:c r="AM160" s="5" t="str">
        <x:v>review-paper/search-strategy/runs/PILOT-20261013-01/S13.json</x:v>
      </x:c>
      <x:c r="AN160" s="8" t="d">
        <x:v>2026-10-13T00:00:00.000Z</x:v>
      </x:c>
    </x:row>
    <x:row r="161" ht="53" customHeight="1">
      <x:c r="A161" s="5" t="str">
        <x:v>C0213</x:v>
      </x:c>
      <x:c r="B161" s="5" t="str">
        <x:v>Unassigned</x:v>
      </x:c>
      <x:c r="C161" s="5" t="str">
        <x:v>Unassigned</x:v>
      </x:c>
      <x:c r="D161" s="5" t="str">
        <x:v>Unassigned</x:v>
      </x:c>
      <x:c r="E161" s="5" t="str">
        <x:v>Unassigned</x:v>
      </x:c>
      <x:c r="F161" s="5" t="str">
        <x:v>Haibin Jia</x:v>
      </x:c>
      <x:c r="G161" s="5" t="str">
        <x:v>Haibin Jia</x:v>
      </x:c>
      <x:c r="H161" s="5" t="n">
        <x:v>2021</x:v>
      </x:c>
      <x:c r="I161" s="5" t="str">
        <x:v>Studies on industrial vision inspection methods</x:v>
      </x:c>
      <x:c r="J161" s="5" t="str"/>
      <x:c r="K161" s="5" t="str">
        <x:v>10.32920/ryerson.14665326</x:v>
      </x:c>
      <x:c r="L161" s="5" t="str"/>
      <x:c r="M161" s="5" t="str">
        <x:v>https://rshare.library.torontomu.ca/articles/thesis/Studies_on_industrial_vision_inspection_methods/14665326</x:v>
      </x:c>
      <x:c r="N161" s="5" t="str">
        <x:v>https://doi.org/10.32920/ryerson.14665326</x:v>
      </x:c>
      <x:c r="O161" s="5" t="str">
        <x:v>Not extracted</x:v>
      </x:c>
      <x:c r="P161" s="5" t="str">
        <x:v>Not extracted</x:v>
      </x:c>
      <x:c r="Q161" s="5" t="str">
        <x:v>Not extracted</x:v>
      </x:c>
      <x:c r="R161" s="5" t="str">
        <x:v>Not extracted</x:v>
      </x:c>
      <x:c r="S161" s="5" t="str">
        <x:v>Unassigned</x:v>
      </x:c>
      <x:c r="T161" s="5" t="str">
        <x:v>Unassigned</x:v>
      </x:c>
      <x:c r="U161" s="5" t="str"/>
      <x:c r="V161" s="5" t="str"/>
      <x:c r="W161" s="5" t="str">
        <x:v>Not extracted</x:v>
      </x:c>
      <x:c r="X161" s="5" t="str">
        <x:v>Pending eligibility screening</x:v>
      </x:c>
      <x:c r="Y161" s="5" t="str">
        <x:v>jia2021_C0213</x:v>
      </x:c>
      <x:c r="Z161" s="5" t="str">
        <x:v>Generated; needs verification</x:v>
      </x:c>
      <x:c r="AA161" s="5" t="str">
        <x:v>No manuscript yet</x:v>
      </x:c>
      <x:c r="AB161" s="5" t="str">
        <x:v>No</x:v>
      </x:c>
      <x:c r="AC161" s="5" t="str">
        <x:v>Not checked</x:v>
      </x:c>
      <x:c r="AD161" s="5" t="str">
        <x:v>Unscreened</x:v>
      </x:c>
      <x:c r="AE161" s="5" t="str">
        <x:v>Not linked</x:v>
      </x:c>
      <x:c r="AF161" s="5" t="str">
        <x:v>S13</x:v>
      </x:c>
      <x:c r="AG161" s="5" t="str">
        <x:v>Crossref REST API</x:v>
      </x:c>
      <x:c r="AH161" s="5" t="str">
        <x:v>Preprint / repository record</x:v>
      </x:c>
      <x:c r="AI161" s="5" t="str">
        <x:v>Metadata only</x:v>
      </x:c>
      <x:c r="AJ161" s="5" t="str">
        <x:v>Verified against deposited metadata; publisher citation check pending</x:v>
      </x:c>
      <x:c r="AK161" s="5" t="str">
        <x:v>posted-content</x:v>
      </x:c>
      <x:c r="AL161" s="5" t="str">
        <x:v>Title-scope candidate</x:v>
      </x:c>
      <x:c r="AM161" s="5" t="str">
        <x:v>review-paper/search-strategy/runs/PILOT-20261013-01/S13.json</x:v>
      </x:c>
      <x:c r="AN161" s="8" t="d">
        <x:v>2026-10-13T00:00:00.000Z</x:v>
      </x:c>
    </x:row>
    <x:row r="162" ht="53" customHeight="1">
      <x:c r="A162" s="5" t="str">
        <x:v>C0215</x:v>
      </x:c>
      <x:c r="B162" s="5" t="str">
        <x:v>Unassigned</x:v>
      </x:c>
      <x:c r="C162" s="5" t="str">
        <x:v>Unassigned</x:v>
      </x:c>
      <x:c r="D162" s="5" t="str">
        <x:v>Unassigned</x:v>
      </x:c>
      <x:c r="E162" s="5" t="str">
        <x:v>Unassigned</x:v>
      </x:c>
      <x:c r="F162" s="5" t="str">
        <x:v>Phat Huynh; Robert Ross; Andrew Martchenko; John Devlin</x:v>
      </x:c>
      <x:c r="G162" s="5" t="str">
        <x:v>Phat Huynh</x:v>
      </x:c>
      <x:c r="H162" s="5" t="n">
        <x:v>2016</x:v>
      </x:c>
      <x:c r="I162" s="5" t="str">
        <x:v>3D anomaly inspection system for sewer pipes using stereo vision and novel image processing</x:v>
      </x:c>
      <x:c r="J162" s="5" t="str">
        <x:v>2016 IEEE 11th Conference on Industrial Electronics and Applications (ICIEA)</x:v>
      </x:c>
      <x:c r="K162" s="5" t="str">
        <x:v>10.1109/iciea.2016.7603726</x:v>
      </x:c>
      <x:c r="L162" s="5" t="str"/>
      <x:c r="M162" s="5" t="str">
        <x:v>http://ieeexplore.ieee.org/document/7603726/</x:v>
      </x:c>
      <x:c r="N162" s="5" t="str">
        <x:v>https://doi.org/10.1109/iciea.2016.7603726</x:v>
      </x:c>
      <x:c r="O162" s="5" t="str">
        <x:v>Not extracted</x:v>
      </x:c>
      <x:c r="P162" s="5" t="str">
        <x:v>Not extracted</x:v>
      </x:c>
      <x:c r="Q162" s="5" t="str">
        <x:v>Not extracted</x:v>
      </x:c>
      <x:c r="R162" s="5" t="str">
        <x:v>Not extracted</x:v>
      </x:c>
      <x:c r="S162" s="5" t="str">
        <x:v>Unassigned</x:v>
      </x:c>
      <x:c r="T162" s="5" t="str">
        <x:v>Unassigned</x:v>
      </x:c>
      <x:c r="U162" s="5" t="str"/>
      <x:c r="V162" s="5" t="str"/>
      <x:c r="W162" s="5" t="str">
        <x:v>Not extracted</x:v>
      </x:c>
      <x:c r="X162" s="5" t="str">
        <x:v>Pending eligibility screening</x:v>
      </x:c>
      <x:c r="Y162" s="5" t="str">
        <x:v>huynh2016_C0215</x:v>
      </x:c>
      <x:c r="Z162" s="5" t="str">
        <x:v>Generated; needs verification</x:v>
      </x:c>
      <x:c r="AA162" s="5" t="str">
        <x:v>No manuscript yet</x:v>
      </x:c>
      <x:c r="AB162" s="5" t="str">
        <x:v>No</x:v>
      </x:c>
      <x:c r="AC162" s="5" t="str">
        <x:v>Not checked</x:v>
      </x:c>
      <x:c r="AD162" s="5" t="str">
        <x:v>Unscreened</x:v>
      </x:c>
      <x:c r="AE162" s="5" t="str">
        <x:v>Not linked</x:v>
      </x:c>
      <x:c r="AF162" s="5" t="str">
        <x:v>S13</x:v>
      </x:c>
      <x:c r="AG162" s="5" t="str">
        <x:v>Crossref REST API</x:v>
      </x:c>
      <x:c r="AH162" s="5" t="str">
        <x:v>Journal / conference record; peer review not audited</x:v>
      </x:c>
      <x:c r="AI162" s="5" t="str">
        <x:v>Metadata only</x:v>
      </x:c>
      <x:c r="AJ162" s="5" t="str">
        <x:v>Verified against deposited metadata; publisher citation check pending</x:v>
      </x:c>
      <x:c r="AK162" s="5" t="str">
        <x:v>proceedings-article</x:v>
      </x:c>
      <x:c r="AL162" s="5" t="str">
        <x:v>Title-scope candidate</x:v>
      </x:c>
      <x:c r="AM162" s="5" t="str">
        <x:v>review-paper/search-strategy/runs/PILOT-20261013-01/S13.json</x:v>
      </x:c>
      <x:c r="AN162" s="8" t="d">
        <x:v>2026-10-13T00:00:00.000Z</x:v>
      </x:c>
    </x:row>
    <x:row r="163" ht="53" customHeight="1">
      <x:c r="A163" s="5" t="str">
        <x:v>C0218</x:v>
      </x:c>
      <x:c r="B163" s="5" t="str">
        <x:v>Unassigned</x:v>
      </x:c>
      <x:c r="C163" s="5" t="str">
        <x:v>Unassigned</x:v>
      </x:c>
      <x:c r="D163" s="5" t="str">
        <x:v>Unassigned</x:v>
      </x:c>
      <x:c r="E163" s="5" t="str">
        <x:v>Unassigned</x:v>
      </x:c>
      <x:c r="F163" s="5" t="str">
        <x:v>Birger Neldam</x:v>
      </x:c>
      <x:c r="G163" s="5" t="str">
        <x:v>Birger Neldam</x:v>
      </x:c>
      <x:c r="H163" s="5" t="n">
        <x:v>1989</x:v>
      </x:c>
      <x:c r="I163" s="5" t="str">
        <x:v>Vision Based Inspection And Quality Control For Use In Industrial Laundries</x:v>
      </x:c>
      <x:c r="J163" s="5" t="str">
        <x:v>SPIE Proceedings</x:v>
      </x:c>
      <x:c r="K163" s="5" t="str">
        <x:v>10.1117/12.949229</x:v>
      </x:c>
      <x:c r="L163" s="5" t="str"/>
      <x:c r="M163" s="5" t="str">
        <x:v>http://proceedings.spiedigitallibrary.org/proceeding.aspx?doi=10.1117/12.949229</x:v>
      </x:c>
      <x:c r="N163" s="5" t="str">
        <x:v>https://doi.org/10.1117/12.949229</x:v>
      </x:c>
      <x:c r="O163" s="5" t="str">
        <x:v>Not extracted</x:v>
      </x:c>
      <x:c r="P163" s="5" t="str">
        <x:v>Not extracted</x:v>
      </x:c>
      <x:c r="Q163" s="5" t="str">
        <x:v>Not extracted</x:v>
      </x:c>
      <x:c r="R163" s="5" t="str">
        <x:v>Not extracted</x:v>
      </x:c>
      <x:c r="S163" s="5" t="str">
        <x:v>Unassigned</x:v>
      </x:c>
      <x:c r="T163" s="5" t="str">
        <x:v>Unassigned</x:v>
      </x:c>
      <x:c r="U163" s="5" t="str"/>
      <x:c r="V163" s="5" t="str"/>
      <x:c r="W163" s="5" t="str">
        <x:v>Not extracted</x:v>
      </x:c>
      <x:c r="X163" s="5" t="str">
        <x:v>Pending eligibility screening</x:v>
      </x:c>
      <x:c r="Y163" s="5" t="str">
        <x:v>neldam1989_C0218</x:v>
      </x:c>
      <x:c r="Z163" s="5" t="str">
        <x:v>Generated; needs verification</x:v>
      </x:c>
      <x:c r="AA163" s="5" t="str">
        <x:v>No manuscript yet</x:v>
      </x:c>
      <x:c r="AB163" s="5" t="str">
        <x:v>No</x:v>
      </x:c>
      <x:c r="AC163" s="5" t="str">
        <x:v>Not checked</x:v>
      </x:c>
      <x:c r="AD163" s="5" t="str">
        <x:v>Unscreened</x:v>
      </x:c>
      <x:c r="AE163" s="5" t="str">
        <x:v>Not linked</x:v>
      </x:c>
      <x:c r="AF163" s="5" t="str">
        <x:v>S13</x:v>
      </x:c>
      <x:c r="AG163" s="5" t="str">
        <x:v>Crossref REST API</x:v>
      </x:c>
      <x:c r="AH163" s="5" t="str">
        <x:v>Journal / conference record; peer review not audited</x:v>
      </x:c>
      <x:c r="AI163" s="5" t="str">
        <x:v>Metadata only</x:v>
      </x:c>
      <x:c r="AJ163" s="5" t="str">
        <x:v>Verified against deposited metadata; publisher citation check pending</x:v>
      </x:c>
      <x:c r="AK163" s="5" t="str">
        <x:v>proceedings-article</x:v>
      </x:c>
      <x:c r="AL163" s="5" t="str">
        <x:v>Title-scope candidate</x:v>
      </x:c>
      <x:c r="AM163" s="5" t="str">
        <x:v>review-paper/search-strategy/runs/PILOT-20261013-01/S13.json</x:v>
      </x:c>
      <x:c r="AN163" s="8" t="d">
        <x:v>2026-10-13T00:00:00.000Z</x:v>
      </x:c>
    </x:row>
    <x:row r="164" ht="53" customHeight="1">
      <x:c r="A164" s="5" t="str">
        <x:v>C0220</x:v>
      </x:c>
      <x:c r="B164" s="5" t="str">
        <x:v>Unassigned</x:v>
      </x:c>
      <x:c r="C164" s="5" t="str">
        <x:v>Unassigned</x:v>
      </x:c>
      <x:c r="D164" s="5" t="str">
        <x:v>Unassigned</x:v>
      </x:c>
      <x:c r="E164" s="5" t="str">
        <x:v>Unassigned</x:v>
      </x:c>
      <x:c r="F164" s="5" t="str">
        <x:v>Li Tao</x:v>
      </x:c>
      <x:c r="G164" s="5" t="str">
        <x:v>Li Tao</x:v>
      </x:c>
      <x:c r="H164" s="5" t="n">
        <x:v>1997</x:v>
      </x:c>
      <x:c r="I164" s="5" t="str">
        <x:v>Machine vision in the inspection of patterned textile webs</x:v>
      </x:c>
      <x:c r="J164" s="5" t="str">
        <x:v>IEE Colloquium on Industrial Inspection</x:v>
      </x:c>
      <x:c r="K164" s="5" t="str">
        <x:v>10.1049/ic:19970266</x:v>
      </x:c>
      <x:c r="L164" s="5" t="str"/>
      <x:c r="M164" s="5" t="str">
        <x:v>https://digital-library.theiet.org/content/conferences/10.1049/ic_19970266</x:v>
      </x:c>
      <x:c r="N164" s="5" t="str">
        <x:v>https://doi.org/10.1049/ic:19970266</x:v>
      </x:c>
      <x:c r="O164" s="5" t="str">
        <x:v>Not extracted</x:v>
      </x:c>
      <x:c r="P164" s="5" t="str">
        <x:v>Not extracted</x:v>
      </x:c>
      <x:c r="Q164" s="5" t="str">
        <x:v>Not extracted</x:v>
      </x:c>
      <x:c r="R164" s="5" t="str">
        <x:v>Not extracted</x:v>
      </x:c>
      <x:c r="S164" s="5" t="str">
        <x:v>Unassigned</x:v>
      </x:c>
      <x:c r="T164" s="5" t="str">
        <x:v>Unassigned</x:v>
      </x:c>
      <x:c r="U164" s="5" t="str"/>
      <x:c r="V164" s="5" t="str"/>
      <x:c r="W164" s="5" t="str">
        <x:v>Not extracted</x:v>
      </x:c>
      <x:c r="X164" s="5" t="str">
        <x:v>Pending eligibility screening</x:v>
      </x:c>
      <x:c r="Y164" s="5" t="str">
        <x:v>tao1997_C0220</x:v>
      </x:c>
      <x:c r="Z164" s="5" t="str">
        <x:v>Generated; needs verification</x:v>
      </x:c>
      <x:c r="AA164" s="5" t="str">
        <x:v>No manuscript yet</x:v>
      </x:c>
      <x:c r="AB164" s="5" t="str">
        <x:v>No</x:v>
      </x:c>
      <x:c r="AC164" s="5" t="str">
        <x:v>Not checked</x:v>
      </x:c>
      <x:c r="AD164" s="5" t="str">
        <x:v>Unscreened</x:v>
      </x:c>
      <x:c r="AE164" s="5" t="str">
        <x:v>Not linked</x:v>
      </x:c>
      <x:c r="AF164" s="5" t="str">
        <x:v>S13</x:v>
      </x:c>
      <x:c r="AG164" s="5" t="str">
        <x:v>Crossref REST API</x:v>
      </x:c>
      <x:c r="AH164" s="5" t="str">
        <x:v>Journal / conference record; peer review not audited</x:v>
      </x:c>
      <x:c r="AI164" s="5" t="str">
        <x:v>Metadata only</x:v>
      </x:c>
      <x:c r="AJ164" s="5" t="str">
        <x:v>Verified against deposited metadata; publisher citation check pending</x:v>
      </x:c>
      <x:c r="AK164" s="5" t="str">
        <x:v>proceedings-article</x:v>
      </x:c>
      <x:c r="AL164" s="5" t="str">
        <x:v>Title-scope candidate</x:v>
      </x:c>
      <x:c r="AM164" s="5" t="str">
        <x:v>review-paper/search-strategy/runs/PILOT-20261013-01/S13.json</x:v>
      </x:c>
      <x:c r="AN164" s="8" t="d">
        <x:v>2026-10-13T00:00:00.000Z</x:v>
      </x:c>
    </x:row>
    <x:row r="165" ht="53" customHeight="1">
      <x:c r="A165" s="5" t="str">
        <x:v>C0221</x:v>
      </x:c>
      <x:c r="B165" s="5" t="str">
        <x:v>Unassigned</x:v>
      </x:c>
      <x:c r="C165" s="5" t="str">
        <x:v>Unassigned</x:v>
      </x:c>
      <x:c r="D165" s="5" t="str">
        <x:v>Unassigned</x:v>
      </x:c>
      <x:c r="E165" s="5" t="str">
        <x:v>Unassigned</x:v>
      </x:c>
      <x:c r="F165" s="5" t="str">
        <x:v>Nicolas Bonnot; Ralph Seulin; Frederic Merienne</x:v>
      </x:c>
      <x:c r="G165" s="5" t="str">
        <x:v>Nicolas Bonnot</x:v>
      </x:c>
      <x:c r="H165" s="5" t="n">
        <x:v>2004</x:v>
      </x:c>
      <x:c r="I165" s="5" t="str">
        <x:v>Machine vision system for surface inspection on brushed industrial parts</x:v>
      </x:c>
      <x:c r="J165" s="5" t="str">
        <x:v>SPIE Proceedings</x:v>
      </x:c>
      <x:c r="K165" s="5" t="str">
        <x:v>10.1117/12.530683</x:v>
      </x:c>
      <x:c r="L165" s="5" t="str"/>
      <x:c r="M165" s="5" t="str">
        <x:v>http://proceedings.spiedigitallibrary.org/proceeding.aspx?doi=10.1117/12.530683</x:v>
      </x:c>
      <x:c r="N165" s="5" t="str">
        <x:v>https://doi.org/10.1117/12.530683</x:v>
      </x:c>
      <x:c r="O165" s="5" t="str">
        <x:v>Not extracted</x:v>
      </x:c>
      <x:c r="P165" s="5" t="str">
        <x:v>Not extracted</x:v>
      </x:c>
      <x:c r="Q165" s="5" t="str">
        <x:v>Not extracted</x:v>
      </x:c>
      <x:c r="R165" s="5" t="str">
        <x:v>Not extracted</x:v>
      </x:c>
      <x:c r="S165" s="5" t="str">
        <x:v>Unassigned</x:v>
      </x:c>
      <x:c r="T165" s="5" t="str">
        <x:v>Unassigned</x:v>
      </x:c>
      <x:c r="U165" s="5" t="str"/>
      <x:c r="V165" s="5" t="str"/>
      <x:c r="W165" s="5" t="str">
        <x:v>Not extracted</x:v>
      </x:c>
      <x:c r="X165" s="5" t="str">
        <x:v>Pending eligibility screening</x:v>
      </x:c>
      <x:c r="Y165" s="5" t="str">
        <x:v>bonnot2004_C0221</x:v>
      </x:c>
      <x:c r="Z165" s="5" t="str">
        <x:v>Generated; needs verification</x:v>
      </x:c>
      <x:c r="AA165" s="5" t="str">
        <x:v>No manuscript yet</x:v>
      </x:c>
      <x:c r="AB165" s="5" t="str">
        <x:v>No</x:v>
      </x:c>
      <x:c r="AC165" s="5" t="str">
        <x:v>Not checked</x:v>
      </x:c>
      <x:c r="AD165" s="5" t="str">
        <x:v>Unscreened</x:v>
      </x:c>
      <x:c r="AE165" s="5" t="str">
        <x:v>Not linked</x:v>
      </x:c>
      <x:c r="AF165" s="5" t="str">
        <x:v>S13</x:v>
      </x:c>
      <x:c r="AG165" s="5" t="str">
        <x:v>Crossref REST API</x:v>
      </x:c>
      <x:c r="AH165" s="5" t="str">
        <x:v>Journal / conference record; peer review not audited</x:v>
      </x:c>
      <x:c r="AI165" s="5" t="str">
        <x:v>Metadata only</x:v>
      </x:c>
      <x:c r="AJ165" s="5" t="str">
        <x:v>Verified against deposited metadata; publisher citation check pending</x:v>
      </x:c>
      <x:c r="AK165" s="5" t="str">
        <x:v>proceedings-article</x:v>
      </x:c>
      <x:c r="AL165" s="5" t="str">
        <x:v>Title-scope candidate</x:v>
      </x:c>
      <x:c r="AM165" s="5" t="str">
        <x:v>review-paper/search-strategy/runs/PILOT-20261013-01/S13.json</x:v>
      </x:c>
      <x:c r="AN165" s="8" t="d">
        <x:v>2026-10-13T00:00:00.000Z</x:v>
      </x:c>
    </x:row>
    <x:row r="166" ht="53" customHeight="1">
      <x:c r="A166" s="5" t="str">
        <x:v>C0222</x:v>
      </x:c>
      <x:c r="B166" s="5" t="str">
        <x:v>Unassigned</x:v>
      </x:c>
      <x:c r="C166" s="5" t="str">
        <x:v>Unassigned</x:v>
      </x:c>
      <x:c r="D166" s="5" t="str">
        <x:v>Unassigned</x:v>
      </x:c>
      <x:c r="E166" s="5" t="str">
        <x:v>Unassigned</x:v>
      </x:c>
      <x:c r="F166" s="5" t="str">
        <x:v>Nicola Carlon; Nicolò Boscolo; Stefano Tonello; Emanuele Menegatti</x:v>
      </x:c>
      <x:c r="G166" s="5" t="str">
        <x:v>Nicola Carlon</x:v>
      </x:c>
      <x:c r="H166" s="5" t="n">
        <x:v>2015</x:v>
      </x:c>
      <x:c r="I166" s="5" t="str">
        <x:v>Smart Check 3D: An Industrial Inspection System Combining 3D Vision with Automatic Planning of Inspection Viewpoints</x:v>
      </x:c>
      <x:c r="J166" s="5" t="str">
        <x:v>Advances in Computer Vision and Pattern Recognition</x:v>
      </x:c>
      <x:c r="K166" s="5" t="str">
        <x:v>10.1007/978-1-4471-6741-9_12</x:v>
      </x:c>
      <x:c r="L166" s="5" t="str"/>
      <x:c r="M166" s="5" t="str">
        <x:v>http://link.springer.com/10.1007/978-1-4471-6741-9_12</x:v>
      </x:c>
      <x:c r="N166" s="5" t="str">
        <x:v>https://doi.org/10.1007/978-1-4471-6741-9_12</x:v>
      </x:c>
      <x:c r="O166" s="5" t="str">
        <x:v>Not extracted</x:v>
      </x:c>
      <x:c r="P166" s="5" t="str">
        <x:v>Not extracted</x:v>
      </x:c>
      <x:c r="Q166" s="5" t="str">
        <x:v>Not extracted</x:v>
      </x:c>
      <x:c r="R166" s="5" t="str">
        <x:v>Not extracted</x:v>
      </x:c>
      <x:c r="S166" s="5" t="str">
        <x:v>Unassigned</x:v>
      </x:c>
      <x:c r="T166" s="5" t="str">
        <x:v>Unassigned</x:v>
      </x:c>
      <x:c r="U166" s="5" t="str"/>
      <x:c r="V166" s="5" t="str"/>
      <x:c r="W166" s="5" t="str">
        <x:v>Not extracted</x:v>
      </x:c>
      <x:c r="X166" s="5" t="str">
        <x:v>Pending eligibility screening</x:v>
      </x:c>
      <x:c r="Y166" s="5" t="str">
        <x:v>carlon2015_C0222</x:v>
      </x:c>
      <x:c r="Z166" s="5" t="str">
        <x:v>Generated; needs verification</x:v>
      </x:c>
      <x:c r="AA166" s="5" t="str">
        <x:v>No manuscript yet</x:v>
      </x:c>
      <x:c r="AB166" s="5" t="str">
        <x:v>No</x:v>
      </x:c>
      <x:c r="AC166" s="5" t="str">
        <x:v>Not checked</x:v>
      </x:c>
      <x:c r="AD166" s="5" t="str">
        <x:v>Unscreened</x:v>
      </x:c>
      <x:c r="AE166" s="5" t="str">
        <x:v>Not linked</x:v>
      </x:c>
      <x:c r="AF166" s="5" t="str">
        <x:v>S13</x:v>
      </x:c>
      <x:c r="AG166" s="5" t="str">
        <x:v>Crossref REST API</x:v>
      </x:c>
      <x:c r="AH166" s="5" t="str">
        <x:v>Publication status unverified</x:v>
      </x:c>
      <x:c r="AI166" s="5" t="str">
        <x:v>Metadata only</x:v>
      </x:c>
      <x:c r="AJ166" s="5" t="str">
        <x:v>Verified against deposited metadata; publisher citation check pending</x:v>
      </x:c>
      <x:c r="AK166" s="5" t="str">
        <x:v>book-chapter</x:v>
      </x:c>
      <x:c r="AL166" s="5" t="str">
        <x:v>Title-scope candidate</x:v>
      </x:c>
      <x:c r="AM166" s="5" t="str">
        <x:v>review-paper/search-strategy/runs/PILOT-20261013-01/S13.json</x:v>
      </x:c>
      <x:c r="AN166" s="8" t="d">
        <x:v>2026-10-13T00:00:00.000Z</x:v>
      </x:c>
    </x:row>
    <x:row r="167" ht="53" customHeight="1">
      <x:c r="A167" s="5" t="str">
        <x:v>C0223</x:v>
      </x:c>
      <x:c r="B167" s="5" t="str">
        <x:v>Unassigned</x:v>
      </x:c>
      <x:c r="C167" s="5" t="str">
        <x:v>Unassigned</x:v>
      </x:c>
      <x:c r="D167" s="5" t="str">
        <x:v>Unassigned</x:v>
      </x:c>
      <x:c r="E167" s="5" t="str">
        <x:v>Unassigned</x:v>
      </x:c>
      <x:c r="F167" s="5" t="str">
        <x:v>P. Sundaravadivel; U. Kumaran; E. S. Vinoth Kumar; T. Aravind</x:v>
      </x:c>
      <x:c r="G167" s="5" t="str">
        <x:v>P. Sundaravadivel</x:v>
      </x:c>
      <x:c r="H167" s="5" t="n">
        <x:v>2026</x:v>
      </x:c>
      <x:c r="I167" s="5" t="str">
        <x:v>Adaptive multimodal large language model with hierarchical cross modal grounding for real time industrial visual anomaly detection on edge devices</x:v>
      </x:c>
      <x:c r="J167" s="5" t="str">
        <x:v>Discover Artificial Intelligence</x:v>
      </x:c>
      <x:c r="K167" s="5" t="str">
        <x:v>10.1007/s44163-026-02008-2</x:v>
      </x:c>
      <x:c r="L167" s="5" t="str"/>
      <x:c r="M167" s="5" t="str">
        <x:v>https://link.springer.com/10.1007/s44163-026-02008-2</x:v>
      </x:c>
      <x:c r="N167" s="5" t="str">
        <x:v>https://doi.org/10.1007/s44163-026-02008-2</x:v>
      </x:c>
      <x:c r="O167" s="5" t="str">
        <x:v>Not extracted</x:v>
      </x:c>
      <x:c r="P167" s="5" t="str">
        <x:v>Not extracted</x:v>
      </x:c>
      <x:c r="Q167" s="5" t="str">
        <x:v>Not extracted</x:v>
      </x:c>
      <x:c r="R167" s="5" t="str">
        <x:v>Not extracted</x:v>
      </x:c>
      <x:c r="S167" s="5" t="str">
        <x:v>Unassigned</x:v>
      </x:c>
      <x:c r="T167" s="5" t="str">
        <x:v>Unassigned</x:v>
      </x:c>
      <x:c r="U167" s="5" t="str"/>
      <x:c r="V167" s="5" t="str"/>
      <x:c r="W167" s="5" t="str">
        <x:v>Not extracted</x:v>
      </x:c>
      <x:c r="X167" s="5" t="str">
        <x:v>Pending eligibility screening</x:v>
      </x:c>
      <x:c r="Y167" s="5" t="str">
        <x:v>sundaravadivel2026_C0223</x:v>
      </x:c>
      <x:c r="Z167" s="5" t="str">
        <x:v>Generated; needs verification</x:v>
      </x:c>
      <x:c r="AA167" s="5" t="str">
        <x:v>No manuscript yet</x:v>
      </x:c>
      <x:c r="AB167" s="5" t="str">
        <x:v>No</x:v>
      </x:c>
      <x:c r="AC167" s="5" t="str">
        <x:v>Not checked</x:v>
      </x:c>
      <x:c r="AD167" s="5" t="str">
        <x:v>Unscreened</x:v>
      </x:c>
      <x:c r="AE167" s="5" t="str">
        <x:v>Not linked</x:v>
      </x:c>
      <x:c r="AF167" s="5" t="str">
        <x:v>S13</x:v>
      </x:c>
      <x:c r="AG167" s="5" t="str">
        <x:v>Crossref REST API</x:v>
      </x:c>
      <x:c r="AH167" s="5" t="str">
        <x:v>Journal / conference record; peer review not audited</x:v>
      </x:c>
      <x:c r="AI167" s="5" t="str">
        <x:v>Metadata only</x:v>
      </x:c>
      <x:c r="AJ167" s="5" t="str">
        <x:v>Verified against deposited metadata; publisher citation check pending</x:v>
      </x:c>
      <x:c r="AK167" s="5" t="str">
        <x:v>journal-article</x:v>
      </x:c>
      <x:c r="AL167" s="5" t="str">
        <x:v>Title-scope candidate</x:v>
      </x:c>
      <x:c r="AM167" s="5" t="str">
        <x:v>review-paper/search-strategy/runs/PILOT-20261013-01/S13.json</x:v>
      </x:c>
      <x:c r="AN167" s="8" t="d">
        <x:v>2026-10-13T00:00:00.000Z</x:v>
      </x:c>
    </x:row>
    <x:row r="168" ht="53" customHeight="1">
      <x:c r="A168" s="5" t="str">
        <x:v>C0225</x:v>
      </x:c>
      <x:c r="B168" s="5" t="str">
        <x:v>Unassigned</x:v>
      </x:c>
      <x:c r="C168" s="5" t="str">
        <x:v>Unassigned</x:v>
      </x:c>
      <x:c r="D168" s="5" t="str">
        <x:v>Unassigned</x:v>
      </x:c>
      <x:c r="E168" s="5" t="str">
        <x:v>Unassigned</x:v>
      </x:c>
      <x:c r="F168" s="5" t="str">
        <x:v>Mohamed Kamel; Jorge Padilha</x:v>
      </x:c>
      <x:c r="G168" s="5" t="str">
        <x:v>Mohamed Kamel</x:v>
      </x:c>
      <x:c r="H168" s="5" t="n">
        <x:v>2000</x:v>
      </x:c>
      <x:c r="I168" s="5" t="str">
        <x:v>High performance computing for industrial visual inspection</x:v>
      </x:c>
      <x:c r="J168" s="5" t="str">
        <x:v>Machine Vision and Applications</x:v>
      </x:c>
      <x:c r="K168" s="5" t="str">
        <x:v>10.1007/s001380050134</x:v>
      </x:c>
      <x:c r="L168" s="5" t="str"/>
      <x:c r="M168" s="5" t="str">
        <x:v>http://link.springer.com/10.1007/s001380050134</x:v>
      </x:c>
      <x:c r="N168" s="5" t="str">
        <x:v>https://doi.org/10.1007/s001380050134</x:v>
      </x:c>
      <x:c r="O168" s="5" t="str">
        <x:v>Not extracted</x:v>
      </x:c>
      <x:c r="P168" s="5" t="str">
        <x:v>Not extracted</x:v>
      </x:c>
      <x:c r="Q168" s="5" t="str">
        <x:v>Not extracted</x:v>
      </x:c>
      <x:c r="R168" s="5" t="str">
        <x:v>Not extracted</x:v>
      </x:c>
      <x:c r="S168" s="5" t="str">
        <x:v>Unassigned</x:v>
      </x:c>
      <x:c r="T168" s="5" t="str">
        <x:v>Unassigned</x:v>
      </x:c>
      <x:c r="U168" s="5" t="str"/>
      <x:c r="V168" s="5" t="str"/>
      <x:c r="W168" s="5" t="str">
        <x:v>Not extracted</x:v>
      </x:c>
      <x:c r="X168" s="5" t="str">
        <x:v>Pending eligibility screening</x:v>
      </x:c>
      <x:c r="Y168" s="5" t="str">
        <x:v>kamel2000_C0225</x:v>
      </x:c>
      <x:c r="Z168" s="5" t="str">
        <x:v>Generated; needs verification</x:v>
      </x:c>
      <x:c r="AA168" s="5" t="str">
        <x:v>No manuscript yet</x:v>
      </x:c>
      <x:c r="AB168" s="5" t="str">
        <x:v>No</x:v>
      </x:c>
      <x:c r="AC168" s="5" t="str">
        <x:v>Not checked</x:v>
      </x:c>
      <x:c r="AD168" s="5" t="str">
        <x:v>Unscreened</x:v>
      </x:c>
      <x:c r="AE168" s="5" t="str">
        <x:v>Not linked</x:v>
      </x:c>
      <x:c r="AF168" s="5" t="str">
        <x:v>S14</x:v>
      </x:c>
      <x:c r="AG168" s="5" t="str">
        <x:v>Crossref REST API</x:v>
      </x:c>
      <x:c r="AH168" s="5" t="str">
        <x:v>Journal / conference record; peer review not audited</x:v>
      </x:c>
      <x:c r="AI168" s="5" t="str">
        <x:v>Metadata only</x:v>
      </x:c>
      <x:c r="AJ168" s="5" t="str">
        <x:v>Verified against deposited metadata; publisher citation check pending</x:v>
      </x:c>
      <x:c r="AK168" s="5" t="str">
        <x:v>journal-article</x:v>
      </x:c>
      <x:c r="AL168" s="5" t="str">
        <x:v>Title-scope candidate</x:v>
      </x:c>
      <x:c r="AM168" s="5" t="str">
        <x:v>review-paper/search-strategy/runs/PILOT-20261013-01/S14.json</x:v>
      </x:c>
      <x:c r="AN168" s="8" t="d">
        <x:v>2026-10-13T00:00:00.000Z</x:v>
      </x:c>
    </x:row>
    <x:row r="169" ht="53" customHeight="1">
      <x:c r="A169" s="5" t="str">
        <x:v>C0226</x:v>
      </x:c>
      <x:c r="B169" s="5" t="str">
        <x:v>Unassigned</x:v>
      </x:c>
      <x:c r="C169" s="5" t="str">
        <x:v>Unassigned</x:v>
      </x:c>
      <x:c r="D169" s="5" t="str">
        <x:v>Unassigned</x:v>
      </x:c>
      <x:c r="E169" s="5" t="str">
        <x:v>Unassigned</x:v>
      </x:c>
      <x:c r="F169" s="5" t="str"/>
      <x:c r="G169" s="5" t="str"/>
      <x:c r="H169" s="5" t="n">
        <x:v>1988</x:v>
      </x:c>
      <x:c r="I169" s="5" t="str">
        <x:v>Illumination for visual photomask inspection</x:v>
      </x:c>
      <x:c r="J169" s="5" t="str">
        <x:v>Microelectronics Reliability</x:v>
      </x:c>
      <x:c r="K169" s="5" t="str">
        <x:v>10.1016/0026-2714(88)90203-x</x:v>
      </x:c>
      <x:c r="L169" s="5" t="str"/>
      <x:c r="M169" s="5" t="str">
        <x:v>https://linkinghub.elsevier.com/retrieve/pii/002627148890203X</x:v>
      </x:c>
      <x:c r="N169" s="5" t="str">
        <x:v>https://doi.org/10.1016/0026-2714(88)90203-x</x:v>
      </x:c>
      <x:c r="O169" s="5" t="str">
        <x:v>Not extracted</x:v>
      </x:c>
      <x:c r="P169" s="5" t="str">
        <x:v>Not extracted</x:v>
      </x:c>
      <x:c r="Q169" s="5" t="str">
        <x:v>Not extracted</x:v>
      </x:c>
      <x:c r="R169" s="5" t="str">
        <x:v>Not extracted</x:v>
      </x:c>
      <x:c r="S169" s="5" t="str">
        <x:v>Unassigned</x:v>
      </x:c>
      <x:c r="T169" s="5" t="str">
        <x:v>Unassigned</x:v>
      </x:c>
      <x:c r="U169" s="5" t="str"/>
      <x:c r="V169" s="5" t="str"/>
      <x:c r="W169" s="5" t="str">
        <x:v>Not extracted</x:v>
      </x:c>
      <x:c r="X169" s="5" t="str">
        <x:v>Pending eligibility screening</x:v>
      </x:c>
      <x:c r="Y169" s="5" t="str">
        <x:v>unknown1988_C0226</x:v>
      </x:c>
      <x:c r="Z169" s="5" t="str">
        <x:v>Incomplete metadata</x:v>
      </x:c>
      <x:c r="AA169" s="5" t="str">
        <x:v>No manuscript yet</x:v>
      </x:c>
      <x:c r="AB169" s="5" t="str">
        <x:v>No</x:v>
      </x:c>
      <x:c r="AC169" s="5" t="str">
        <x:v>Not checked</x:v>
      </x:c>
      <x:c r="AD169" s="5" t="str">
        <x:v>Unscreened</x:v>
      </x:c>
      <x:c r="AE169" s="5" t="str">
        <x:v>Not linked</x:v>
      </x:c>
      <x:c r="AF169" s="5" t="str">
        <x:v>S14</x:v>
      </x:c>
      <x:c r="AG169" s="5" t="str">
        <x:v>Crossref REST API</x:v>
      </x:c>
      <x:c r="AH169" s="5" t="str">
        <x:v>Journal / conference record; peer review not audited</x:v>
      </x:c>
      <x:c r="AI169" s="5" t="str">
        <x:v>Metadata only</x:v>
      </x:c>
      <x:c r="AJ169" s="5" t="str">
        <x:v>Verified against deposited metadata; publisher citation check pending</x:v>
      </x:c>
      <x:c r="AK169" s="5" t="str">
        <x:v>journal-article</x:v>
      </x:c>
      <x:c r="AL169" s="5" t="str">
        <x:v>Title-scope candidate</x:v>
      </x:c>
      <x:c r="AM169" s="5" t="str">
        <x:v>review-paper/search-strategy/runs/PILOT-20261013-01/S14.json</x:v>
      </x:c>
      <x:c r="AN169" s="8" t="d">
        <x:v>2026-10-13T00:00:00.000Z</x:v>
      </x:c>
    </x:row>
    <x:row r="170" ht="53" customHeight="1">
      <x:c r="A170" s="5" t="str">
        <x:v>C0227</x:v>
      </x:c>
      <x:c r="B170" s="5" t="str">
        <x:v>Unassigned</x:v>
      </x:c>
      <x:c r="C170" s="5" t="str">
        <x:v>Unassigned</x:v>
      </x:c>
      <x:c r="D170" s="5" t="str">
        <x:v>Unassigned</x:v>
      </x:c>
      <x:c r="E170" s="5" t="str">
        <x:v>Unassigned</x:v>
      </x:c>
      <x:c r="F170" s="5" t="str">
        <x:v>Melvyn L. Smith; Lyndon N. Smith</x:v>
      </x:c>
      <x:c r="G170" s="5" t="str">
        <x:v>Melvyn L. Smith</x:v>
      </x:c>
      <x:c r="H170" s="5" t="n">
        <x:v>2003</x:v>
      </x:c>
      <x:c r="I170" s="5" t="str">
        <x:v>Automated visual inspection for polished stone manufacture</x:v>
      </x:c>
      <x:c r="J170" s="5" t="str">
        <x:v>SPIE Proceedings</x:v>
      </x:c>
      <x:c r="K170" s="5" t="str">
        <x:v>10.1117/12.477511</x:v>
      </x:c>
      <x:c r="L170" s="5" t="str"/>
      <x:c r="M170" s="5" t="str">
        <x:v>http://proceedings.spiedigitallibrary.org/proceeding.aspx?doi=10.1117/12.477511</x:v>
      </x:c>
      <x:c r="N170" s="5" t="str">
        <x:v>https://doi.org/10.1117/12.477511</x:v>
      </x:c>
      <x:c r="O170" s="5" t="str">
        <x:v>Not extracted</x:v>
      </x:c>
      <x:c r="P170" s="5" t="str">
        <x:v>Not extracted</x:v>
      </x:c>
      <x:c r="Q170" s="5" t="str">
        <x:v>Not extracted</x:v>
      </x:c>
      <x:c r="R170" s="5" t="str">
        <x:v>Not extracted</x:v>
      </x:c>
      <x:c r="S170" s="5" t="str">
        <x:v>Unassigned</x:v>
      </x:c>
      <x:c r="T170" s="5" t="str">
        <x:v>Unassigned</x:v>
      </x:c>
      <x:c r="U170" s="5" t="str"/>
      <x:c r="V170" s="5" t="str"/>
      <x:c r="W170" s="5" t="str">
        <x:v>Not extracted</x:v>
      </x:c>
      <x:c r="X170" s="5" t="str">
        <x:v>Pending eligibility screening</x:v>
      </x:c>
      <x:c r="Y170" s="5" t="str">
        <x:v>smith2003_C0227</x:v>
      </x:c>
      <x:c r="Z170" s="5" t="str">
        <x:v>Generated; needs verification</x:v>
      </x:c>
      <x:c r="AA170" s="5" t="str">
        <x:v>No manuscript yet</x:v>
      </x:c>
      <x:c r="AB170" s="5" t="str">
        <x:v>No</x:v>
      </x:c>
      <x:c r="AC170" s="5" t="str">
        <x:v>Not checked</x:v>
      </x:c>
      <x:c r="AD170" s="5" t="str">
        <x:v>Unscreened</x:v>
      </x:c>
      <x:c r="AE170" s="5" t="str">
        <x:v>Not linked</x:v>
      </x:c>
      <x:c r="AF170" s="5" t="str">
        <x:v>S14</x:v>
      </x:c>
      <x:c r="AG170" s="5" t="str">
        <x:v>Crossref REST API</x:v>
      </x:c>
      <x:c r="AH170" s="5" t="str">
        <x:v>Journal / conference record; peer review not audited</x:v>
      </x:c>
      <x:c r="AI170" s="5" t="str">
        <x:v>Metadata only</x:v>
      </x:c>
      <x:c r="AJ170" s="5" t="str">
        <x:v>Verified against deposited metadata; publisher citation check pending</x:v>
      </x:c>
      <x:c r="AK170" s="5" t="str">
        <x:v>proceedings-article</x:v>
      </x:c>
      <x:c r="AL170" s="5" t="str">
        <x:v>Title-scope candidate</x:v>
      </x:c>
      <x:c r="AM170" s="5" t="str">
        <x:v>review-paper/search-strategy/runs/PILOT-20261013-01/S14.json</x:v>
      </x:c>
      <x:c r="AN170" s="8" t="d">
        <x:v>2026-10-13T00:00:00.000Z</x:v>
      </x:c>
    </x:row>
    <x:row r="171" ht="53" customHeight="1">
      <x:c r="A171" s="5" t="str">
        <x:v>C0228</x:v>
      </x:c>
      <x:c r="B171" s="5" t="str">
        <x:v>Unassigned</x:v>
      </x:c>
      <x:c r="C171" s="5" t="str">
        <x:v>Unassigned</x:v>
      </x:c>
      <x:c r="D171" s="5" t="str">
        <x:v>Unassigned</x:v>
      </x:c>
      <x:c r="E171" s="5" t="str">
        <x:v>Unassigned</x:v>
      </x:c>
      <x:c r="F171" s="5" t="str">
        <x:v>Yongjun Zhang; Zuxun Zhang; Jianqing Zhang</x:v>
      </x:c>
      <x:c r="G171" s="5" t="str">
        <x:v>Yongjun Zhang</x:v>
      </x:c>
      <x:c r="H171" s="5" t="n">
        <x:v>2004</x:v>
      </x:c>
      <x:c r="I171" s="5" t="str">
        <x:v>Deformation visual inspection of industrial parts with image sequence</x:v>
      </x:c>
      <x:c r="J171" s="5" t="str">
        <x:v>Machine Vision and Applications</x:v>
      </x:c>
      <x:c r="K171" s="5" t="str">
        <x:v>10.1007/s00138-004-0136-7</x:v>
      </x:c>
      <x:c r="L171" s="5" t="str"/>
      <x:c r="M171" s="5" t="str">
        <x:v>http://link.springer.com/10.1007/s00138-004-0136-7</x:v>
      </x:c>
      <x:c r="N171" s="5" t="str">
        <x:v>https://doi.org/10.1007/s00138-004-0136-7</x:v>
      </x:c>
      <x:c r="O171" s="5" t="str">
        <x:v>Not extracted</x:v>
      </x:c>
      <x:c r="P171" s="5" t="str">
        <x:v>Not extracted</x:v>
      </x:c>
      <x:c r="Q171" s="5" t="str">
        <x:v>Not extracted</x:v>
      </x:c>
      <x:c r="R171" s="5" t="str">
        <x:v>Not extracted</x:v>
      </x:c>
      <x:c r="S171" s="5" t="str">
        <x:v>Unassigned</x:v>
      </x:c>
      <x:c r="T171" s="5" t="str">
        <x:v>Unassigned</x:v>
      </x:c>
      <x:c r="U171" s="5" t="str"/>
      <x:c r="V171" s="5" t="str"/>
      <x:c r="W171" s="5" t="str">
        <x:v>Not extracted</x:v>
      </x:c>
      <x:c r="X171" s="5" t="str">
        <x:v>Pending eligibility screening</x:v>
      </x:c>
      <x:c r="Y171" s="5" t="str">
        <x:v>zhang2004_C0228</x:v>
      </x:c>
      <x:c r="Z171" s="5" t="str">
        <x:v>Generated; needs verification</x:v>
      </x:c>
      <x:c r="AA171" s="5" t="str">
        <x:v>No manuscript yet</x:v>
      </x:c>
      <x:c r="AB171" s="5" t="str">
        <x:v>No</x:v>
      </x:c>
      <x:c r="AC171" s="5" t="str">
        <x:v>Not checked</x:v>
      </x:c>
      <x:c r="AD171" s="5" t="str">
        <x:v>Unscreened</x:v>
      </x:c>
      <x:c r="AE171" s="5" t="str">
        <x:v>Not linked</x:v>
      </x:c>
      <x:c r="AF171" s="5" t="str">
        <x:v>S14</x:v>
      </x:c>
      <x:c r="AG171" s="5" t="str">
        <x:v>Crossref REST API</x:v>
      </x:c>
      <x:c r="AH171" s="5" t="str">
        <x:v>Journal / conference record; peer review not audited</x:v>
      </x:c>
      <x:c r="AI171" s="5" t="str">
        <x:v>Metadata only</x:v>
      </x:c>
      <x:c r="AJ171" s="5" t="str">
        <x:v>Verified against deposited metadata; publisher citation check pending</x:v>
      </x:c>
      <x:c r="AK171" s="5" t="str">
        <x:v>journal-article</x:v>
      </x:c>
      <x:c r="AL171" s="5" t="str">
        <x:v>Title-scope candidate</x:v>
      </x:c>
      <x:c r="AM171" s="5" t="str">
        <x:v>review-paper/search-strategy/runs/PILOT-20261013-01/S14.json</x:v>
      </x:c>
      <x:c r="AN171" s="8" t="d">
        <x:v>2026-10-13T00:00:00.000Z</x:v>
      </x:c>
    </x:row>
    <x:row r="172" ht="53" customHeight="1">
      <x:c r="A172" s="5" t="str">
        <x:v>C0229</x:v>
      </x:c>
      <x:c r="B172" s="5" t="str">
        <x:v>Unassigned</x:v>
      </x:c>
      <x:c r="C172" s="5" t="str">
        <x:v>Unassigned</x:v>
      </x:c>
      <x:c r="D172" s="5" t="str">
        <x:v>Unassigned</x:v>
      </x:c>
      <x:c r="E172" s="5" t="str">
        <x:v>Unassigned</x:v>
      </x:c>
      <x:c r="F172" s="5" t="str"/>
      <x:c r="G172" s="5" t="str"/>
      <x:c r="H172" s="5" t="n">
        <x:v>1969</x:v>
      </x:c>
      <x:c r="I172" s="5" t="str">
        <x:v>Visual inspection of ICs boosts reliability at little cost</x:v>
      </x:c>
      <x:c r="J172" s="5" t="str">
        <x:v>Microelectronics Reliability</x:v>
      </x:c>
      <x:c r="K172" s="5" t="str">
        <x:v>10.1016/0026-2714(69)90121-8</x:v>
      </x:c>
      <x:c r="L172" s="5" t="str"/>
      <x:c r="M172" s="5" t="str">
        <x:v>https://linkinghub.elsevier.com/retrieve/pii/0026271469901218</x:v>
      </x:c>
      <x:c r="N172" s="5" t="str">
        <x:v>https://doi.org/10.1016/0026-2714(69)90121-8</x:v>
      </x:c>
      <x:c r="O172" s="5" t="str">
        <x:v>Not extracted</x:v>
      </x:c>
      <x:c r="P172" s="5" t="str">
        <x:v>Not extracted</x:v>
      </x:c>
      <x:c r="Q172" s="5" t="str">
        <x:v>Not extracted</x:v>
      </x:c>
      <x:c r="R172" s="5" t="str">
        <x:v>Not extracted</x:v>
      </x:c>
      <x:c r="S172" s="5" t="str">
        <x:v>Unassigned</x:v>
      </x:c>
      <x:c r="T172" s="5" t="str">
        <x:v>Unassigned</x:v>
      </x:c>
      <x:c r="U172" s="5" t="str"/>
      <x:c r="V172" s="5" t="str"/>
      <x:c r="W172" s="5" t="str">
        <x:v>Not extracted</x:v>
      </x:c>
      <x:c r="X172" s="5" t="str">
        <x:v>Pending eligibility screening</x:v>
      </x:c>
      <x:c r="Y172" s="5" t="str">
        <x:v>unknown1969_C0229</x:v>
      </x:c>
      <x:c r="Z172" s="5" t="str">
        <x:v>Incomplete metadata</x:v>
      </x:c>
      <x:c r="AA172" s="5" t="str">
        <x:v>No manuscript yet</x:v>
      </x:c>
      <x:c r="AB172" s="5" t="str">
        <x:v>No</x:v>
      </x:c>
      <x:c r="AC172" s="5" t="str">
        <x:v>Not checked</x:v>
      </x:c>
      <x:c r="AD172" s="5" t="str">
        <x:v>Unscreened</x:v>
      </x:c>
      <x:c r="AE172" s="5" t="str">
        <x:v>Not linked</x:v>
      </x:c>
      <x:c r="AF172" s="5" t="str">
        <x:v>S14</x:v>
      </x:c>
      <x:c r="AG172" s="5" t="str">
        <x:v>Crossref REST API</x:v>
      </x:c>
      <x:c r="AH172" s="5" t="str">
        <x:v>Journal / conference record; peer review not audited</x:v>
      </x:c>
      <x:c r="AI172" s="5" t="str">
        <x:v>Metadata only</x:v>
      </x:c>
      <x:c r="AJ172" s="5" t="str">
        <x:v>Verified against deposited metadata; publisher citation check pending</x:v>
      </x:c>
      <x:c r="AK172" s="5" t="str">
        <x:v>journal-article</x:v>
      </x:c>
      <x:c r="AL172" s="5" t="str">
        <x:v>Title-scope candidate</x:v>
      </x:c>
      <x:c r="AM172" s="5" t="str">
        <x:v>review-paper/search-strategy/runs/PILOT-20261013-01/S14.json</x:v>
      </x:c>
      <x:c r="AN172" s="8" t="d">
        <x:v>2026-10-13T00:00:00.000Z</x:v>
      </x:c>
    </x:row>
    <x:row r="173" ht="53" customHeight="1">
      <x:c r="A173" s="5" t="str">
        <x:v>C0230</x:v>
      </x:c>
      <x:c r="B173" s="5" t="str">
        <x:v>Unassigned</x:v>
      </x:c>
      <x:c r="C173" s="5" t="str">
        <x:v>Unassigned</x:v>
      </x:c>
      <x:c r="D173" s="5" t="str">
        <x:v>Unassigned</x:v>
      </x:c>
      <x:c r="E173" s="5" t="str">
        <x:v>Unassigned</x:v>
      </x:c>
      <x:c r="F173" s="5" t="str"/>
      <x:c r="G173" s="5" t="str"/>
      <x:c r="H173" s="5" t="n">
        <x:v>1994</x:v>
      </x:c>
      <x:c r="I173" s="5" t="str">
        <x:v>Reliability of multistage production systems controlled by automated visual inspection</x:v>
      </x:c>
      <x:c r="J173" s="5" t="str">
        <x:v>Microelectronics Reliability</x:v>
      </x:c>
      <x:c r="K173" s="5" t="str">
        <x:v>10.1016/0026-2714(94)90363-8</x:v>
      </x:c>
      <x:c r="L173" s="5" t="str"/>
      <x:c r="M173" s="5" t="str">
        <x:v>https://linkinghub.elsevier.com/retrieve/pii/0026271494903638</x:v>
      </x:c>
      <x:c r="N173" s="5" t="str">
        <x:v>https://doi.org/10.1016/0026-2714(94)90363-8</x:v>
      </x:c>
      <x:c r="O173" s="5" t="str">
        <x:v>Not extracted</x:v>
      </x:c>
      <x:c r="P173" s="5" t="str">
        <x:v>Not extracted</x:v>
      </x:c>
      <x:c r="Q173" s="5" t="str">
        <x:v>Not extracted</x:v>
      </x:c>
      <x:c r="R173" s="5" t="str">
        <x:v>Not extracted</x:v>
      </x:c>
      <x:c r="S173" s="5" t="str">
        <x:v>Unassigned</x:v>
      </x:c>
      <x:c r="T173" s="5" t="str">
        <x:v>Unassigned</x:v>
      </x:c>
      <x:c r="U173" s="5" t="str"/>
      <x:c r="V173" s="5" t="str"/>
      <x:c r="W173" s="5" t="str">
        <x:v>Not extracted</x:v>
      </x:c>
      <x:c r="X173" s="5" t="str">
        <x:v>Pending eligibility screening</x:v>
      </x:c>
      <x:c r="Y173" s="5" t="str">
        <x:v>unknown1994_C0230</x:v>
      </x:c>
      <x:c r="Z173" s="5" t="str">
        <x:v>Incomplete metadata</x:v>
      </x:c>
      <x:c r="AA173" s="5" t="str">
        <x:v>No manuscript yet</x:v>
      </x:c>
      <x:c r="AB173" s="5" t="str">
        <x:v>No</x:v>
      </x:c>
      <x:c r="AC173" s="5" t="str">
        <x:v>Not checked</x:v>
      </x:c>
      <x:c r="AD173" s="5" t="str">
        <x:v>Unscreened</x:v>
      </x:c>
      <x:c r="AE173" s="5" t="str">
        <x:v>Not linked</x:v>
      </x:c>
      <x:c r="AF173" s="5" t="str">
        <x:v>S14</x:v>
      </x:c>
      <x:c r="AG173" s="5" t="str">
        <x:v>Crossref REST API</x:v>
      </x:c>
      <x:c r="AH173" s="5" t="str">
        <x:v>Journal / conference record; peer review not audited</x:v>
      </x:c>
      <x:c r="AI173" s="5" t="str">
        <x:v>Metadata only</x:v>
      </x:c>
      <x:c r="AJ173" s="5" t="str">
        <x:v>Verified against deposited metadata; publisher citation check pending</x:v>
      </x:c>
      <x:c r="AK173" s="5" t="str">
        <x:v>journal-article</x:v>
      </x:c>
      <x:c r="AL173" s="5" t="str">
        <x:v>Title-scope candidate</x:v>
      </x:c>
      <x:c r="AM173" s="5" t="str">
        <x:v>review-paper/search-strategy/runs/PILOT-20261013-01/S14.json</x:v>
      </x:c>
      <x:c r="AN173" s="8" t="d">
        <x:v>2026-10-13T00:00:00.000Z</x:v>
      </x:c>
    </x:row>
    <x:row r="174" ht="53" customHeight="1">
      <x:c r="A174" s="5" t="str">
        <x:v>C0231</x:v>
      </x:c>
      <x:c r="B174" s="5" t="str">
        <x:v>Unassigned</x:v>
      </x:c>
      <x:c r="C174" s="5" t="str">
        <x:v>Unassigned</x:v>
      </x:c>
      <x:c r="D174" s="5" t="str">
        <x:v>Unassigned</x:v>
      </x:c>
      <x:c r="E174" s="5" t="str">
        <x:v>Unassigned</x:v>
      </x:c>
      <x:c r="F174" s="5" t="str"/>
      <x:c r="G174" s="5" t="str"/>
      <x:c r="H174" s="5" t="n">
        <x:v>1967</x:v>
      </x:c>
      <x:c r="I174" s="5" t="str">
        <x:v>Visual inspection standards for parallel-gap soldered joints</x:v>
      </x:c>
      <x:c r="J174" s="5" t="str">
        <x:v>Microelectronics Reliability</x:v>
      </x:c>
      <x:c r="K174" s="5" t="str">
        <x:v>10.1016/0026-2714(67)90102-3</x:v>
      </x:c>
      <x:c r="L174" s="5" t="str"/>
      <x:c r="M174" s="5" t="str">
        <x:v>https://linkinghub.elsevier.com/retrieve/pii/0026271467901023</x:v>
      </x:c>
      <x:c r="N174" s="5" t="str">
        <x:v>https://doi.org/10.1016/0026-2714(67)90102-3</x:v>
      </x:c>
      <x:c r="O174" s="5" t="str">
        <x:v>Not extracted</x:v>
      </x:c>
      <x:c r="P174" s="5" t="str">
        <x:v>Not extracted</x:v>
      </x:c>
      <x:c r="Q174" s="5" t="str">
        <x:v>Not extracted</x:v>
      </x:c>
      <x:c r="R174" s="5" t="str">
        <x:v>Not extracted</x:v>
      </x:c>
      <x:c r="S174" s="5" t="str">
        <x:v>Unassigned</x:v>
      </x:c>
      <x:c r="T174" s="5" t="str">
        <x:v>Unassigned</x:v>
      </x:c>
      <x:c r="U174" s="5" t="str"/>
      <x:c r="V174" s="5" t="str"/>
      <x:c r="W174" s="5" t="str">
        <x:v>Not extracted</x:v>
      </x:c>
      <x:c r="X174" s="5" t="str">
        <x:v>Pending eligibility screening</x:v>
      </x:c>
      <x:c r="Y174" s="5" t="str">
        <x:v>unknown1967_C0231</x:v>
      </x:c>
      <x:c r="Z174" s="5" t="str">
        <x:v>Incomplete metadata</x:v>
      </x:c>
      <x:c r="AA174" s="5" t="str">
        <x:v>No manuscript yet</x:v>
      </x:c>
      <x:c r="AB174" s="5" t="str">
        <x:v>No</x:v>
      </x:c>
      <x:c r="AC174" s="5" t="str">
        <x:v>Not checked</x:v>
      </x:c>
      <x:c r="AD174" s="5" t="str">
        <x:v>Unscreened</x:v>
      </x:c>
      <x:c r="AE174" s="5" t="str">
        <x:v>Not linked</x:v>
      </x:c>
      <x:c r="AF174" s="5" t="str">
        <x:v>S14</x:v>
      </x:c>
      <x:c r="AG174" s="5" t="str">
        <x:v>Crossref REST API</x:v>
      </x:c>
      <x:c r="AH174" s="5" t="str">
        <x:v>Journal / conference record; peer review not audited</x:v>
      </x:c>
      <x:c r="AI174" s="5" t="str">
        <x:v>Metadata only</x:v>
      </x:c>
      <x:c r="AJ174" s="5" t="str">
        <x:v>Verified against deposited metadata; publisher citation check pending</x:v>
      </x:c>
      <x:c r="AK174" s="5" t="str">
        <x:v>journal-article</x:v>
      </x:c>
      <x:c r="AL174" s="5" t="str">
        <x:v>Title-scope candidate</x:v>
      </x:c>
      <x:c r="AM174" s="5" t="str">
        <x:v>review-paper/search-strategy/runs/PILOT-20261013-01/S14.json</x:v>
      </x:c>
      <x:c r="AN174" s="8" t="d">
        <x:v>2026-10-13T00:00:00.000Z</x:v>
      </x:c>
    </x:row>
    <x:row r="175" ht="53" customHeight="1">
      <x:c r="A175" s="5" t="str">
        <x:v>C0232</x:v>
      </x:c>
      <x:c r="B175" s="5" t="str">
        <x:v>Unassigned</x:v>
      </x:c>
      <x:c r="C175" s="5" t="str">
        <x:v>Unassigned</x:v>
      </x:c>
      <x:c r="D175" s="5" t="str">
        <x:v>Unassigned</x:v>
      </x:c>
      <x:c r="E175" s="5" t="str">
        <x:v>Unassigned</x:v>
      </x:c>
      <x:c r="F175" s="5" t="str"/>
      <x:c r="G175" s="5" t="str"/>
      <x:c r="H175" s="5" t="n">
        <x:v>1994</x:v>
      </x:c>
      <x:c r="I175" s="5" t="str">
        <x:v>Automated visual inspection system for bonded IC wires</x:v>
      </x:c>
      <x:c r="J175" s="5" t="str">
        <x:v>Microelectronics Reliability</x:v>
      </x:c>
      <x:c r="K175" s="5" t="str">
        <x:v>10.1016/0026-2714(94)90325-5</x:v>
      </x:c>
      <x:c r="L175" s="5" t="str"/>
      <x:c r="M175" s="5" t="str">
        <x:v>https://linkinghub.elsevier.com/retrieve/pii/0026271494903255</x:v>
      </x:c>
      <x:c r="N175" s="5" t="str">
        <x:v>https://doi.org/10.1016/0026-2714(94)90325-5</x:v>
      </x:c>
      <x:c r="O175" s="5" t="str">
        <x:v>Not extracted</x:v>
      </x:c>
      <x:c r="P175" s="5" t="str">
        <x:v>Not extracted</x:v>
      </x:c>
      <x:c r="Q175" s="5" t="str">
        <x:v>Not extracted</x:v>
      </x:c>
      <x:c r="R175" s="5" t="str">
        <x:v>Not extracted</x:v>
      </x:c>
      <x:c r="S175" s="5" t="str">
        <x:v>Unassigned</x:v>
      </x:c>
      <x:c r="T175" s="5" t="str">
        <x:v>Unassigned</x:v>
      </x:c>
      <x:c r="U175" s="5" t="str"/>
      <x:c r="V175" s="5" t="str"/>
      <x:c r="W175" s="5" t="str">
        <x:v>Not extracted</x:v>
      </x:c>
      <x:c r="X175" s="5" t="str">
        <x:v>Pending eligibility screening</x:v>
      </x:c>
      <x:c r="Y175" s="5" t="str">
        <x:v>unknown1994_C0232</x:v>
      </x:c>
      <x:c r="Z175" s="5" t="str">
        <x:v>Incomplete metadata</x:v>
      </x:c>
      <x:c r="AA175" s="5" t="str">
        <x:v>No manuscript yet</x:v>
      </x:c>
      <x:c r="AB175" s="5" t="str">
        <x:v>No</x:v>
      </x:c>
      <x:c r="AC175" s="5" t="str">
        <x:v>Not checked</x:v>
      </x:c>
      <x:c r="AD175" s="5" t="str">
        <x:v>Unscreened</x:v>
      </x:c>
      <x:c r="AE175" s="5" t="str">
        <x:v>Not linked</x:v>
      </x:c>
      <x:c r="AF175" s="5" t="str">
        <x:v>S14</x:v>
      </x:c>
      <x:c r="AG175" s="5" t="str">
        <x:v>Crossref REST API</x:v>
      </x:c>
      <x:c r="AH175" s="5" t="str">
        <x:v>Journal / conference record; peer review not audited</x:v>
      </x:c>
      <x:c r="AI175" s="5" t="str">
        <x:v>Metadata only</x:v>
      </x:c>
      <x:c r="AJ175" s="5" t="str">
        <x:v>Verified against deposited metadata; publisher citation check pending</x:v>
      </x:c>
      <x:c r="AK175" s="5" t="str">
        <x:v>journal-article</x:v>
      </x:c>
      <x:c r="AL175" s="5" t="str">
        <x:v>Title-scope candidate</x:v>
      </x:c>
      <x:c r="AM175" s="5" t="str">
        <x:v>review-paper/search-strategy/runs/PILOT-20261013-01/S14.json</x:v>
      </x:c>
      <x:c r="AN175" s="8" t="d">
        <x:v>2026-10-13T00:00:00.000Z</x:v>
      </x:c>
    </x:row>
    <x:row r="176" ht="53" customHeight="1">
      <x:c r="A176" s="5" t="str">
        <x:v>C0233</x:v>
      </x:c>
      <x:c r="B176" s="5" t="str">
        <x:v>Unassigned</x:v>
      </x:c>
      <x:c r="C176" s="5" t="str">
        <x:v>Unassigned</x:v>
      </x:c>
      <x:c r="D176" s="5" t="str">
        <x:v>Unassigned</x:v>
      </x:c>
      <x:c r="E176" s="5" t="str">
        <x:v>Unassigned</x:v>
      </x:c>
      <x:c r="F176" s="5" t="str">
        <x:v>Jyrki Laitinen</x:v>
      </x:c>
      <x:c r="G176" s="5" t="str">
        <x:v>Jyrki Laitinen</x:v>
      </x:c>
      <x:c r="H176" s="5" t="n">
        <x:v>1997</x:v>
      </x:c>
      <x:c r="I176" s="5" t="str">
        <x:v>&lt;title&gt;Image quality in automated visual web inspection&lt;/title&gt;</x:v>
      </x:c>
      <x:c r="J176" s="5" t="str">
        <x:v>SPIE Proceedings</x:v>
      </x:c>
      <x:c r="K176" s="5" t="str">
        <x:v>10.1117/12.271250</x:v>
      </x:c>
      <x:c r="L176" s="5" t="str"/>
      <x:c r="M176" s="5" t="str">
        <x:v>http://proceedings.spiedigitallibrary.org/proceeding.aspx?articleid=920954</x:v>
      </x:c>
      <x:c r="N176" s="5" t="str">
        <x:v>https://doi.org/10.1117/12.271250</x:v>
      </x:c>
      <x:c r="O176" s="5" t="str">
        <x:v>Not extracted</x:v>
      </x:c>
      <x:c r="P176" s="5" t="str">
        <x:v>Not extracted</x:v>
      </x:c>
      <x:c r="Q176" s="5" t="str">
        <x:v>Not extracted</x:v>
      </x:c>
      <x:c r="R176" s="5" t="str">
        <x:v>Not extracted</x:v>
      </x:c>
      <x:c r="S176" s="5" t="str">
        <x:v>Unassigned</x:v>
      </x:c>
      <x:c r="T176" s="5" t="str">
        <x:v>Unassigned</x:v>
      </x:c>
      <x:c r="U176" s="5" t="str"/>
      <x:c r="V176" s="5" t="str"/>
      <x:c r="W176" s="5" t="str">
        <x:v>Not extracted</x:v>
      </x:c>
      <x:c r="X176" s="5" t="str">
        <x:v>Pending eligibility screening</x:v>
      </x:c>
      <x:c r="Y176" s="5" t="str">
        <x:v>laitinen1997_C0233</x:v>
      </x:c>
      <x:c r="Z176" s="5" t="str">
        <x:v>Generated; needs verification</x:v>
      </x:c>
      <x:c r="AA176" s="5" t="str">
        <x:v>No manuscript yet</x:v>
      </x:c>
      <x:c r="AB176" s="5" t="str">
        <x:v>No</x:v>
      </x:c>
      <x:c r="AC176" s="5" t="str">
        <x:v>Not checked</x:v>
      </x:c>
      <x:c r="AD176" s="5" t="str">
        <x:v>Unscreened</x:v>
      </x:c>
      <x:c r="AE176" s="5" t="str">
        <x:v>Not linked</x:v>
      </x:c>
      <x:c r="AF176" s="5" t="str">
        <x:v>S14</x:v>
      </x:c>
      <x:c r="AG176" s="5" t="str">
        <x:v>Crossref REST API</x:v>
      </x:c>
      <x:c r="AH176" s="5" t="str">
        <x:v>Journal / conference record; peer review not audited</x:v>
      </x:c>
      <x:c r="AI176" s="5" t="str">
        <x:v>Metadata only</x:v>
      </x:c>
      <x:c r="AJ176" s="5" t="str">
        <x:v>Verified against deposited metadata; publisher citation check pending</x:v>
      </x:c>
      <x:c r="AK176" s="5" t="str">
        <x:v>proceedings-article</x:v>
      </x:c>
      <x:c r="AL176" s="5" t="str">
        <x:v>Title-scope candidate</x:v>
      </x:c>
      <x:c r="AM176" s="5" t="str">
        <x:v>review-paper/search-strategy/runs/PILOT-20261013-01/S14.json</x:v>
      </x:c>
      <x:c r="AN176" s="8" t="d">
        <x:v>2026-10-13T00:00:00.000Z</x:v>
      </x:c>
    </x:row>
    <x:row r="177" ht="53" customHeight="1">
      <x:c r="A177" s="5" t="str">
        <x:v>C0234</x:v>
      </x:c>
      <x:c r="B177" s="5" t="str">
        <x:v>Unassigned</x:v>
      </x:c>
      <x:c r="C177" s="5" t="str">
        <x:v>Unassigned</x:v>
      </x:c>
      <x:c r="D177" s="5" t="str">
        <x:v>Unassigned</x:v>
      </x:c>
      <x:c r="E177" s="5" t="str">
        <x:v>Unassigned</x:v>
      </x:c>
      <x:c r="F177" s="5" t="str">
        <x:v>Ruoxin Xiong; Pengkun Liu; Pingbo Tang</x:v>
      </x:c>
      <x:c r="G177" s="5" t="str">
        <x:v>Ruoxin Xiong</x:v>
      </x:c>
      <x:c r="H177" s="5" t="n">
        <x:v>2022</x:v>
      </x:c>
      <x:c r="I177" s="5" t="str">
        <x:v>Human Reliability Analysis and Prediction for Visual Inspection in Bridge Maintenance</x:v>
      </x:c>
      <x:c r="J177" s="5" t="str">
        <x:v>Computing in Civil Engineering 2021</x:v>
      </x:c>
      <x:c r="K177" s="5" t="str">
        <x:v>10.1061/9780784483893.032</x:v>
      </x:c>
      <x:c r="L177" s="5" t="str"/>
      <x:c r="M177" s="5" t="str">
        <x:v>https://ascelibrary.org/doi/10.1061/9780784483893.032</x:v>
      </x:c>
      <x:c r="N177" s="5" t="str">
        <x:v>https://doi.org/10.1061/9780784483893.032</x:v>
      </x:c>
      <x:c r="O177" s="5" t="str">
        <x:v>Not extracted</x:v>
      </x:c>
      <x:c r="P177" s="5" t="str">
        <x:v>Not extracted</x:v>
      </x:c>
      <x:c r="Q177" s="5" t="str">
        <x:v>Not extracted</x:v>
      </x:c>
      <x:c r="R177" s="5" t="str">
        <x:v>Not extracted</x:v>
      </x:c>
      <x:c r="S177" s="5" t="str">
        <x:v>Unassigned</x:v>
      </x:c>
      <x:c r="T177" s="5" t="str">
        <x:v>Unassigned</x:v>
      </x:c>
      <x:c r="U177" s="5" t="str"/>
      <x:c r="V177" s="5" t="str"/>
      <x:c r="W177" s="5" t="str">
        <x:v>Not extracted</x:v>
      </x:c>
      <x:c r="X177" s="5" t="str">
        <x:v>Pending eligibility screening</x:v>
      </x:c>
      <x:c r="Y177" s="5" t="str">
        <x:v>xiong2022_C0234</x:v>
      </x:c>
      <x:c r="Z177" s="5" t="str">
        <x:v>Generated; needs verification</x:v>
      </x:c>
      <x:c r="AA177" s="5" t="str">
        <x:v>No manuscript yet</x:v>
      </x:c>
      <x:c r="AB177" s="5" t="str">
        <x:v>No</x:v>
      </x:c>
      <x:c r="AC177" s="5" t="str">
        <x:v>Not checked</x:v>
      </x:c>
      <x:c r="AD177" s="5" t="str">
        <x:v>Unscreened</x:v>
      </x:c>
      <x:c r="AE177" s="5" t="str">
        <x:v>Not linked</x:v>
      </x:c>
      <x:c r="AF177" s="5" t="str">
        <x:v>S14</x:v>
      </x:c>
      <x:c r="AG177" s="5" t="str">
        <x:v>Crossref REST API</x:v>
      </x:c>
      <x:c r="AH177" s="5" t="str">
        <x:v>Journal / conference record; peer review not audited</x:v>
      </x:c>
      <x:c r="AI177" s="5" t="str">
        <x:v>Metadata only</x:v>
      </x:c>
      <x:c r="AJ177" s="5" t="str">
        <x:v>Verified against deposited metadata; publisher citation check pending</x:v>
      </x:c>
      <x:c r="AK177" s="5" t="str">
        <x:v>proceedings-article</x:v>
      </x:c>
      <x:c r="AL177" s="5" t="str">
        <x:v>Title-scope candidate</x:v>
      </x:c>
      <x:c r="AM177" s="5" t="str">
        <x:v>review-paper/search-strategy/runs/PILOT-20261013-01/S14.json</x:v>
      </x:c>
      <x:c r="AN177" s="8" t="d">
        <x:v>2026-10-13T00:00:00.000Z</x:v>
      </x:c>
    </x:row>
    <x:row r="178" ht="53" customHeight="1">
      <x:c r="A178" s="5" t="str">
        <x:v>C0235</x:v>
      </x:c>
      <x:c r="B178" s="5" t="str">
        <x:v>Unassigned</x:v>
      </x:c>
      <x:c r="C178" s="5" t="str">
        <x:v>Unassigned</x:v>
      </x:c>
      <x:c r="D178" s="5" t="str">
        <x:v>Unassigned</x:v>
      </x:c>
      <x:c r="E178" s="5" t="str">
        <x:v>Unassigned</x:v>
      </x:c>
      <x:c r="F178" s="5" t="str"/>
      <x:c r="G178" s="5" t="str"/>
      <x:c r="H178" s="5" t="n">
        <x:v>1991</x:v>
      </x:c>
      <x:c r="I178" s="5" t="str">
        <x:v>Visual inspection of surface-mounted solder joints</x:v>
      </x:c>
      <x:c r="J178" s="5" t="str">
        <x:v>Microelectronics Reliability</x:v>
      </x:c>
      <x:c r="K178" s="5" t="str">
        <x:v>10.1016/0026-2714(91)90379-l</x:v>
      </x:c>
      <x:c r="L178" s="5" t="str"/>
      <x:c r="M178" s="5" t="str">
        <x:v>https://linkinghub.elsevier.com/retrieve/pii/002627149190379L</x:v>
      </x:c>
      <x:c r="N178" s="5" t="str">
        <x:v>https://doi.org/10.1016/0026-2714(91)90379-l</x:v>
      </x:c>
      <x:c r="O178" s="5" t="str">
        <x:v>Not extracted</x:v>
      </x:c>
      <x:c r="P178" s="5" t="str">
        <x:v>Not extracted</x:v>
      </x:c>
      <x:c r="Q178" s="5" t="str">
        <x:v>Not extracted</x:v>
      </x:c>
      <x:c r="R178" s="5" t="str">
        <x:v>Not extracted</x:v>
      </x:c>
      <x:c r="S178" s="5" t="str">
        <x:v>Unassigned</x:v>
      </x:c>
      <x:c r="T178" s="5" t="str">
        <x:v>Unassigned</x:v>
      </x:c>
      <x:c r="U178" s="5" t="str"/>
      <x:c r="V178" s="5" t="str"/>
      <x:c r="W178" s="5" t="str">
        <x:v>Not extracted</x:v>
      </x:c>
      <x:c r="X178" s="5" t="str">
        <x:v>Pending eligibility screening</x:v>
      </x:c>
      <x:c r="Y178" s="5" t="str">
        <x:v>unknown1991_C0235</x:v>
      </x:c>
      <x:c r="Z178" s="5" t="str">
        <x:v>Incomplete metadata</x:v>
      </x:c>
      <x:c r="AA178" s="5" t="str">
        <x:v>No manuscript yet</x:v>
      </x:c>
      <x:c r="AB178" s="5" t="str">
        <x:v>No</x:v>
      </x:c>
      <x:c r="AC178" s="5" t="str">
        <x:v>Not checked</x:v>
      </x:c>
      <x:c r="AD178" s="5" t="str">
        <x:v>Unscreened</x:v>
      </x:c>
      <x:c r="AE178" s="5" t="str">
        <x:v>Not linked</x:v>
      </x:c>
      <x:c r="AF178" s="5" t="str">
        <x:v>S14</x:v>
      </x:c>
      <x:c r="AG178" s="5" t="str">
        <x:v>Crossref REST API</x:v>
      </x:c>
      <x:c r="AH178" s="5" t="str">
        <x:v>Journal / conference record; peer review not audited</x:v>
      </x:c>
      <x:c r="AI178" s="5" t="str">
        <x:v>Metadata only</x:v>
      </x:c>
      <x:c r="AJ178" s="5" t="str">
        <x:v>Verified against deposited metadata; publisher citation check pending</x:v>
      </x:c>
      <x:c r="AK178" s="5" t="str">
        <x:v>journal-article</x:v>
      </x:c>
      <x:c r="AL178" s="5" t="str">
        <x:v>Title-scope candidate</x:v>
      </x:c>
      <x:c r="AM178" s="5" t="str">
        <x:v>review-paper/search-strategy/runs/PILOT-20261013-01/S14.json</x:v>
      </x:c>
      <x:c r="AN178" s="8" t="d">
        <x:v>2026-10-13T00:00:00.000Z</x:v>
      </x:c>
    </x:row>
    <x:row r="179" ht="53" customHeight="1">
      <x:c r="A179" s="5" t="str">
        <x:v>C0236</x:v>
      </x:c>
      <x:c r="B179" s="5" t="str">
        <x:v>Unassigned</x:v>
      </x:c>
      <x:c r="C179" s="5" t="str">
        <x:v>Unassigned</x:v>
      </x:c>
      <x:c r="D179" s="5" t="str">
        <x:v>Unassigned</x:v>
      </x:c>
      <x:c r="E179" s="5" t="str">
        <x:v>Unassigned</x:v>
      </x:c>
      <x:c r="F179" s="5" t="str"/>
      <x:c r="G179" s="5" t="str"/>
      <x:c r="H179" s="5" t="n">
        <x:v>1991</x:v>
      </x:c>
      <x:c r="I179" s="5" t="str">
        <x:v>Automated visual inspection of bare printed circuit boards</x:v>
      </x:c>
      <x:c r="J179" s="5" t="str">
        <x:v>Microelectronics Reliability</x:v>
      </x:c>
      <x:c r="K179" s="5" t="str">
        <x:v>10.1016/0026-2714(91)90068-i</x:v>
      </x:c>
      <x:c r="L179" s="5" t="str"/>
      <x:c r="M179" s="5" t="str">
        <x:v>https://linkinghub.elsevier.com/retrieve/pii/002627149190068I</x:v>
      </x:c>
      <x:c r="N179" s="5" t="str">
        <x:v>https://doi.org/10.1016/0026-2714(91)90068-i</x:v>
      </x:c>
      <x:c r="O179" s="5" t="str">
        <x:v>Not extracted</x:v>
      </x:c>
      <x:c r="P179" s="5" t="str">
        <x:v>Not extracted</x:v>
      </x:c>
      <x:c r="Q179" s="5" t="str">
        <x:v>Not extracted</x:v>
      </x:c>
      <x:c r="R179" s="5" t="str">
        <x:v>Not extracted</x:v>
      </x:c>
      <x:c r="S179" s="5" t="str">
        <x:v>Unassigned</x:v>
      </x:c>
      <x:c r="T179" s="5" t="str">
        <x:v>Unassigned</x:v>
      </x:c>
      <x:c r="U179" s="5" t="str"/>
      <x:c r="V179" s="5" t="str"/>
      <x:c r="W179" s="5" t="str">
        <x:v>Not extracted</x:v>
      </x:c>
      <x:c r="X179" s="5" t="str">
        <x:v>Pending eligibility screening</x:v>
      </x:c>
      <x:c r="Y179" s="5" t="str">
        <x:v>unknown1991_C0236</x:v>
      </x:c>
      <x:c r="Z179" s="5" t="str">
        <x:v>Incomplete metadata</x:v>
      </x:c>
      <x:c r="AA179" s="5" t="str">
        <x:v>No manuscript yet</x:v>
      </x:c>
      <x:c r="AB179" s="5" t="str">
        <x:v>No</x:v>
      </x:c>
      <x:c r="AC179" s="5" t="str">
        <x:v>Not checked</x:v>
      </x:c>
      <x:c r="AD179" s="5" t="str">
        <x:v>Unscreened</x:v>
      </x:c>
      <x:c r="AE179" s="5" t="str">
        <x:v>Not linked</x:v>
      </x:c>
      <x:c r="AF179" s="5" t="str">
        <x:v>S14</x:v>
      </x:c>
      <x:c r="AG179" s="5" t="str">
        <x:v>Crossref REST API</x:v>
      </x:c>
      <x:c r="AH179" s="5" t="str">
        <x:v>Journal / conference record; peer review not audited</x:v>
      </x:c>
      <x:c r="AI179" s="5" t="str">
        <x:v>Metadata only</x:v>
      </x:c>
      <x:c r="AJ179" s="5" t="str">
        <x:v>Verified against deposited metadata; publisher citation check pending</x:v>
      </x:c>
      <x:c r="AK179" s="5" t="str">
        <x:v>journal-article</x:v>
      </x:c>
      <x:c r="AL179" s="5" t="str">
        <x:v>Title-scope candidate</x:v>
      </x:c>
      <x:c r="AM179" s="5" t="str">
        <x:v>review-paper/search-strategy/runs/PILOT-20261013-01/S14.json</x:v>
      </x:c>
      <x:c r="AN179" s="8" t="d">
        <x:v>2026-10-13T00:00:00.000Z</x:v>
      </x:c>
    </x:row>
    <x:row r="180" ht="53" customHeight="1">
      <x:c r="A180" s="5" t="str">
        <x:v>C0237</x:v>
      </x:c>
      <x:c r="B180" s="5" t="str">
        <x:v>Unassigned</x:v>
      </x:c>
      <x:c r="C180" s="5" t="str">
        <x:v>Unassigned</x:v>
      </x:c>
      <x:c r="D180" s="5" t="str">
        <x:v>Unassigned</x:v>
      </x:c>
      <x:c r="E180" s="5" t="str">
        <x:v>Unassigned</x:v>
      </x:c>
      <x:c r="F180" s="5" t="str">
        <x:v>Domingo Guinea; Victor M. Preciado; Jose Vicente; Angela Ribeiro; Maria C. Garcia-Alegre</x:v>
      </x:c>
      <x:c r="G180" s="5" t="str">
        <x:v>Domingo Guinea</x:v>
      </x:c>
      <x:c r="H180" s="5" t="n">
        <x:v>2000</x:v>
      </x:c>
      <x:c r="I180" s="5" t="str">
        <x:v>&lt;title&gt;CNN based visual processing for industrial inspection&lt;/title&gt;</x:v>
      </x:c>
      <x:c r="J180" s="5" t="str">
        <x:v>SPIE Proceedings</x:v>
      </x:c>
      <x:c r="K180" s="5" t="str">
        <x:v>10.1117/12.380086</x:v>
      </x:c>
      <x:c r="L180" s="5" t="str"/>
      <x:c r="M180" s="5" t="str">
        <x:v>http://proceedings.spiedigitallibrary.org/proceeding.aspx?articleid=921101</x:v>
      </x:c>
      <x:c r="N180" s="5" t="str">
        <x:v>https://doi.org/10.1117/12.380086</x:v>
      </x:c>
      <x:c r="O180" s="5" t="str">
        <x:v>Not extracted</x:v>
      </x:c>
      <x:c r="P180" s="5" t="str">
        <x:v>Not extracted</x:v>
      </x:c>
      <x:c r="Q180" s="5" t="str">
        <x:v>Not extracted</x:v>
      </x:c>
      <x:c r="R180" s="5" t="str">
        <x:v>Not extracted</x:v>
      </x:c>
      <x:c r="S180" s="5" t="str">
        <x:v>Unassigned</x:v>
      </x:c>
      <x:c r="T180" s="5" t="str">
        <x:v>Unassigned</x:v>
      </x:c>
      <x:c r="U180" s="5" t="str"/>
      <x:c r="V180" s="5" t="str"/>
      <x:c r="W180" s="5" t="str">
        <x:v>Not extracted</x:v>
      </x:c>
      <x:c r="X180" s="5" t="str">
        <x:v>Pending eligibility screening</x:v>
      </x:c>
      <x:c r="Y180" s="5" t="str">
        <x:v>guinea2000_C0237</x:v>
      </x:c>
      <x:c r="Z180" s="5" t="str">
        <x:v>Generated; needs verification</x:v>
      </x:c>
      <x:c r="AA180" s="5" t="str">
        <x:v>No manuscript yet</x:v>
      </x:c>
      <x:c r="AB180" s="5" t="str">
        <x:v>No</x:v>
      </x:c>
      <x:c r="AC180" s="5" t="str">
        <x:v>Not checked</x:v>
      </x:c>
      <x:c r="AD180" s="5" t="str">
        <x:v>Unscreened</x:v>
      </x:c>
      <x:c r="AE180" s="5" t="str">
        <x:v>Not linked</x:v>
      </x:c>
      <x:c r="AF180" s="5" t="str">
        <x:v>S14</x:v>
      </x:c>
      <x:c r="AG180" s="5" t="str">
        <x:v>Crossref REST API</x:v>
      </x:c>
      <x:c r="AH180" s="5" t="str">
        <x:v>Journal / conference record; peer review not audited</x:v>
      </x:c>
      <x:c r="AI180" s="5" t="str">
        <x:v>Metadata only</x:v>
      </x:c>
      <x:c r="AJ180" s="5" t="str">
        <x:v>Verified against deposited metadata; publisher citation check pending</x:v>
      </x:c>
      <x:c r="AK180" s="5" t="str">
        <x:v>proceedings-article</x:v>
      </x:c>
      <x:c r="AL180" s="5" t="str">
        <x:v>Title-scope candidate</x:v>
      </x:c>
      <x:c r="AM180" s="5" t="str">
        <x:v>review-paper/search-strategy/runs/PILOT-20261013-01/S14.json</x:v>
      </x:c>
      <x:c r="AN180" s="8" t="d">
        <x:v>2026-10-13T00:00:00.000Z</x:v>
      </x:c>
    </x:row>
    <x:row r="181" ht="53" customHeight="1">
      <x:c r="A181" s="5" t="str">
        <x:v>C0238</x:v>
      </x:c>
      <x:c r="B181" s="5" t="str">
        <x:v>Unassigned</x:v>
      </x:c>
      <x:c r="C181" s="5" t="str">
        <x:v>Unassigned</x:v>
      </x:c>
      <x:c r="D181" s="5" t="str">
        <x:v>Unassigned</x:v>
      </x:c>
      <x:c r="E181" s="5" t="str">
        <x:v>Unassigned</x:v>
      </x:c>
      <x:c r="F181" s="5" t="str">
        <x:v>E.R. DAVIES</x:v>
      </x:c>
      <x:c r="G181" s="5" t="str">
        <x:v>E.R. DAVIES</x:v>
      </x:c>
      <x:c r="H181" s="5" t="n">
        <x:v>2005</x:v>
      </x:c>
      <x:c r="I181" s="5" t="str">
        <x:v>Automated Visual Inspection</x:v>
      </x:c>
      <x:c r="J181" s="5" t="str">
        <x:v>Machine Vision</x:v>
      </x:c>
      <x:c r="K181" s="5" t="str">
        <x:v>10.1016/b978-0-12-206093-9.50067-8</x:v>
      </x:c>
      <x:c r="L181" s="5" t="str"/>
      <x:c r="M181" s="5" t="str">
        <x:v>https://linkinghub.elsevier.com/retrieve/pii/B9780122060939500678</x:v>
      </x:c>
      <x:c r="N181" s="5" t="str">
        <x:v>https://doi.org/10.1016/b978-0-12-206093-9.50067-8</x:v>
      </x:c>
      <x:c r="O181" s="5" t="str">
        <x:v>Not extracted</x:v>
      </x:c>
      <x:c r="P181" s="5" t="str">
        <x:v>Not extracted</x:v>
      </x:c>
      <x:c r="Q181" s="5" t="str">
        <x:v>Not extracted</x:v>
      </x:c>
      <x:c r="R181" s="5" t="str">
        <x:v>Not extracted</x:v>
      </x:c>
      <x:c r="S181" s="5" t="str">
        <x:v>Unassigned</x:v>
      </x:c>
      <x:c r="T181" s="5" t="str">
        <x:v>Unassigned</x:v>
      </x:c>
      <x:c r="U181" s="5" t="str"/>
      <x:c r="V181" s="5" t="str"/>
      <x:c r="W181" s="5" t="str">
        <x:v>Not extracted</x:v>
      </x:c>
      <x:c r="X181" s="5" t="str">
        <x:v>Pending eligibility screening</x:v>
      </x:c>
      <x:c r="Y181" s="5" t="str">
        <x:v>davies2005_C0238</x:v>
      </x:c>
      <x:c r="Z181" s="5" t="str">
        <x:v>Generated; needs verification</x:v>
      </x:c>
      <x:c r="AA181" s="5" t="str">
        <x:v>No manuscript yet</x:v>
      </x:c>
      <x:c r="AB181" s="5" t="str">
        <x:v>No</x:v>
      </x:c>
      <x:c r="AC181" s="5" t="str">
        <x:v>Not checked</x:v>
      </x:c>
      <x:c r="AD181" s="5" t="str">
        <x:v>Unscreened</x:v>
      </x:c>
      <x:c r="AE181" s="5" t="str">
        <x:v>Not linked</x:v>
      </x:c>
      <x:c r="AF181" s="5" t="str">
        <x:v>S14</x:v>
      </x:c>
      <x:c r="AG181" s="5" t="str">
        <x:v>Crossref REST API</x:v>
      </x:c>
      <x:c r="AH181" s="5" t="str">
        <x:v>Publication status unverified</x:v>
      </x:c>
      <x:c r="AI181" s="5" t="str">
        <x:v>Metadata only</x:v>
      </x:c>
      <x:c r="AJ181" s="5" t="str">
        <x:v>Verified against deposited metadata; publisher citation check pending</x:v>
      </x:c>
      <x:c r="AK181" s="5" t="str">
        <x:v>book-chapter</x:v>
      </x:c>
      <x:c r="AL181" s="5" t="str">
        <x:v>Title-scope candidate</x:v>
      </x:c>
      <x:c r="AM181" s="5" t="str">
        <x:v>review-paper/search-strategy/runs/PILOT-20261013-01/S14.json</x:v>
      </x:c>
      <x:c r="AN181" s="8" t="d">
        <x:v>2026-10-13T00:00:00.000Z</x:v>
      </x:c>
    </x:row>
    <x:row r="182" ht="53" customHeight="1">
      <x:c r="A182" s="5" t="str">
        <x:v>C0240</x:v>
      </x:c>
      <x:c r="B182" s="5" t="str">
        <x:v>Unassigned</x:v>
      </x:c>
      <x:c r="C182" s="5" t="str">
        <x:v>Unassigned</x:v>
      </x:c>
      <x:c r="D182" s="5" t="str">
        <x:v>Unassigned</x:v>
      </x:c>
      <x:c r="E182" s="5" t="str">
        <x:v>Unassigned</x:v>
      </x:c>
      <x:c r="F182" s="5" t="str"/>
      <x:c r="G182" s="5" t="str"/>
      <x:c r="H182" s="5" t="n">
        <x:v>1993</x:v>
      </x:c>
      <x:c r="I182" s="5" t="str">
        <x:v>Pairing human and machine-vision in industrial inspection tasks</x:v>
      </x:c>
      <x:c r="J182" s="5" t="str">
        <x:v>Control Engineering Practice</x:v>
      </x:c>
      <x:c r="K182" s="5" t="str">
        <x:v>10.1016/0967-0661(93)92254-2</x:v>
      </x:c>
      <x:c r="L182" s="5" t="str"/>
      <x:c r="M182" s="5" t="str">
        <x:v>https://linkinghub.elsevier.com/retrieve/pii/0967066193922542</x:v>
      </x:c>
      <x:c r="N182" s="5" t="str">
        <x:v>https://doi.org/10.1016/0967-0661(93)92254-2</x:v>
      </x:c>
      <x:c r="O182" s="5" t="str">
        <x:v>Not extracted</x:v>
      </x:c>
      <x:c r="P182" s="5" t="str">
        <x:v>Not extracted</x:v>
      </x:c>
      <x:c r="Q182" s="5" t="str">
        <x:v>Not extracted</x:v>
      </x:c>
      <x:c r="R182" s="5" t="str">
        <x:v>Not extracted</x:v>
      </x:c>
      <x:c r="S182" s="5" t="str">
        <x:v>Unassigned</x:v>
      </x:c>
      <x:c r="T182" s="5" t="str">
        <x:v>Unassigned</x:v>
      </x:c>
      <x:c r="U182" s="5" t="str"/>
      <x:c r="V182" s="5" t="str"/>
      <x:c r="W182" s="5" t="str">
        <x:v>Not extracted</x:v>
      </x:c>
      <x:c r="X182" s="5" t="str">
        <x:v>Pending eligibility screening</x:v>
      </x:c>
      <x:c r="Y182" s="5" t="str">
        <x:v>unknown1993_C0240</x:v>
      </x:c>
      <x:c r="Z182" s="5" t="str">
        <x:v>Incomplete metadata</x:v>
      </x:c>
      <x:c r="AA182" s="5" t="str">
        <x:v>No manuscript yet</x:v>
      </x:c>
      <x:c r="AB182" s="5" t="str">
        <x:v>No</x:v>
      </x:c>
      <x:c r="AC182" s="5" t="str">
        <x:v>Not checked</x:v>
      </x:c>
      <x:c r="AD182" s="5" t="str">
        <x:v>Unscreened</x:v>
      </x:c>
      <x:c r="AE182" s="5" t="str">
        <x:v>Not linked</x:v>
      </x:c>
      <x:c r="AF182" s="5" t="str">
        <x:v>S14</x:v>
      </x:c>
      <x:c r="AG182" s="5" t="str">
        <x:v>Crossref REST API</x:v>
      </x:c>
      <x:c r="AH182" s="5" t="str">
        <x:v>Journal / conference record; peer review not audited</x:v>
      </x:c>
      <x:c r="AI182" s="5" t="str">
        <x:v>Metadata only</x:v>
      </x:c>
      <x:c r="AJ182" s="5" t="str">
        <x:v>Verified against deposited metadata; publisher citation check pending</x:v>
      </x:c>
      <x:c r="AK182" s="5" t="str">
        <x:v>journal-article</x:v>
      </x:c>
      <x:c r="AL182" s="5" t="str">
        <x:v>Title-scope candidate</x:v>
      </x:c>
      <x:c r="AM182" s="5" t="str">
        <x:v>review-paper/search-strategy/runs/PILOT-20261013-01/S14.json</x:v>
      </x:c>
      <x:c r="AN182" s="8" t="d">
        <x:v>2026-10-13T00:00:00.000Z</x:v>
      </x:c>
    </x:row>
    <x:row r="183" ht="53" customHeight="1">
      <x:c r="A183" s="5" t="str">
        <x:v>C0241</x:v>
      </x:c>
      <x:c r="B183" s="5" t="str">
        <x:v>Unassigned</x:v>
      </x:c>
      <x:c r="C183" s="5" t="str">
        <x:v>Unassigned</x:v>
      </x:c>
      <x:c r="D183" s="5" t="str">
        <x:v>Unassigned</x:v>
      </x:c>
      <x:c r="E183" s="5" t="str">
        <x:v>Unassigned</x:v>
      </x:c>
      <x:c r="F183" s="5" t="str">
        <x:v>Seiji Hata</x:v>
      </x:c>
      <x:c r="G183" s="5" t="str">
        <x:v>Seiji Hata</x:v>
      </x:c>
      <x:c r="H183" s="5" t="n">
        <x:v>2006</x:v>
      </x:c>
      <x:c r="I183" s="5" t="str">
        <x:v>Human Factors of Visual Inspection Systems in Production</x:v>
      </x:c>
      <x:c r="J183" s="5" t="str">
        <x:v>IECON 2006 - 32nd Annual Conference on IEEE Industrial Electronics</x:v>
      </x:c>
      <x:c r="K183" s="5" t="str">
        <x:v>10.1109/iecon.2006.347916</x:v>
      </x:c>
      <x:c r="L183" s="5" t="str"/>
      <x:c r="M183" s="5" t="str">
        <x:v>http://ieeexplore.ieee.org/document/4153737/</x:v>
      </x:c>
      <x:c r="N183" s="5" t="str">
        <x:v>https://doi.org/10.1109/iecon.2006.347916</x:v>
      </x:c>
      <x:c r="O183" s="5" t="str">
        <x:v>Not extracted</x:v>
      </x:c>
      <x:c r="P183" s="5" t="str">
        <x:v>Not extracted</x:v>
      </x:c>
      <x:c r="Q183" s="5" t="str">
        <x:v>Not extracted</x:v>
      </x:c>
      <x:c r="R183" s="5" t="str">
        <x:v>Not extracted</x:v>
      </x:c>
      <x:c r="S183" s="5" t="str">
        <x:v>Unassigned</x:v>
      </x:c>
      <x:c r="T183" s="5" t="str">
        <x:v>Unassigned</x:v>
      </x:c>
      <x:c r="U183" s="5" t="str"/>
      <x:c r="V183" s="5" t="str"/>
      <x:c r="W183" s="5" t="str">
        <x:v>Not extracted</x:v>
      </x:c>
      <x:c r="X183" s="5" t="str">
        <x:v>Pending eligibility screening</x:v>
      </x:c>
      <x:c r="Y183" s="5" t="str">
        <x:v>hata2006_C0241</x:v>
      </x:c>
      <x:c r="Z183" s="5" t="str">
        <x:v>Generated; needs verification</x:v>
      </x:c>
      <x:c r="AA183" s="5" t="str">
        <x:v>No manuscript yet</x:v>
      </x:c>
      <x:c r="AB183" s="5" t="str">
        <x:v>No</x:v>
      </x:c>
      <x:c r="AC183" s="5" t="str">
        <x:v>Not checked</x:v>
      </x:c>
      <x:c r="AD183" s="5" t="str">
        <x:v>Unscreened</x:v>
      </x:c>
      <x:c r="AE183" s="5" t="str">
        <x:v>Not linked</x:v>
      </x:c>
      <x:c r="AF183" s="5" t="str">
        <x:v>S14</x:v>
      </x:c>
      <x:c r="AG183" s="5" t="str">
        <x:v>Crossref REST API</x:v>
      </x:c>
      <x:c r="AH183" s="5" t="str">
        <x:v>Journal / conference record; peer review not audited</x:v>
      </x:c>
      <x:c r="AI183" s="5" t="str">
        <x:v>Metadata only</x:v>
      </x:c>
      <x:c r="AJ183" s="5" t="str">
        <x:v>Verified against deposited metadata; publisher citation check pending</x:v>
      </x:c>
      <x:c r="AK183" s="5" t="str">
        <x:v>proceedings-article</x:v>
      </x:c>
      <x:c r="AL183" s="5" t="str">
        <x:v>Title-scope candidate</x:v>
      </x:c>
      <x:c r="AM183" s="5" t="str">
        <x:v>review-paper/search-strategy/runs/PILOT-20261013-01/S14.json</x:v>
      </x:c>
      <x:c r="AN183" s="8" t="d">
        <x:v>2026-10-13T00:00:00.000Z</x:v>
      </x:c>
    </x:row>
    <x:row r="184" ht="53" customHeight="1">
      <x:c r="A184" s="5" t="str">
        <x:v>C0242</x:v>
      </x:c>
      <x:c r="B184" s="5" t="str">
        <x:v>Unassigned</x:v>
      </x:c>
      <x:c r="C184" s="5" t="str">
        <x:v>Unassigned</x:v>
      </x:c>
      <x:c r="D184" s="5" t="str">
        <x:v>Unassigned</x:v>
      </x:c>
      <x:c r="E184" s="5" t="str">
        <x:v>Unassigned</x:v>
      </x:c>
      <x:c r="F184" s="5" t="str"/>
      <x:c r="G184" s="5" t="str"/>
      <x:c r="H184" s="5" t="n">
        <x:v>1987</x:v>
      </x:c>
      <x:c r="I184" s="5" t="str">
        <x:v>Machine vision automates inspection of thick-film hybrids</x:v>
      </x:c>
      <x:c r="J184" s="5" t="str">
        <x:v>Microelectronics Reliability</x:v>
      </x:c>
      <x:c r="K184" s="5" t="str">
        <x:v>10.1016/0026-2714(87)90276-9</x:v>
      </x:c>
      <x:c r="L184" s="5" t="str"/>
      <x:c r="M184" s="5" t="str">
        <x:v>https://linkinghub.elsevier.com/retrieve/pii/0026271487902769</x:v>
      </x:c>
      <x:c r="N184" s="5" t="str">
        <x:v>https://doi.org/10.1016/0026-2714(87)90276-9</x:v>
      </x:c>
      <x:c r="O184" s="5" t="str">
        <x:v>Not extracted</x:v>
      </x:c>
      <x:c r="P184" s="5" t="str">
        <x:v>Not extracted</x:v>
      </x:c>
      <x:c r="Q184" s="5" t="str">
        <x:v>Not extracted</x:v>
      </x:c>
      <x:c r="R184" s="5" t="str">
        <x:v>Not extracted</x:v>
      </x:c>
      <x:c r="S184" s="5" t="str">
        <x:v>Unassigned</x:v>
      </x:c>
      <x:c r="T184" s="5" t="str">
        <x:v>Unassigned</x:v>
      </x:c>
      <x:c r="U184" s="5" t="str"/>
      <x:c r="V184" s="5" t="str"/>
      <x:c r="W184" s="5" t="str">
        <x:v>Not extracted</x:v>
      </x:c>
      <x:c r="X184" s="5" t="str">
        <x:v>Pending eligibility screening</x:v>
      </x:c>
      <x:c r="Y184" s="5" t="str">
        <x:v>unknown1987_C0242</x:v>
      </x:c>
      <x:c r="Z184" s="5" t="str">
        <x:v>Incomplete metadata</x:v>
      </x:c>
      <x:c r="AA184" s="5" t="str">
        <x:v>No manuscript yet</x:v>
      </x:c>
      <x:c r="AB184" s="5" t="str">
        <x:v>No</x:v>
      </x:c>
      <x:c r="AC184" s="5" t="str">
        <x:v>Not checked</x:v>
      </x:c>
      <x:c r="AD184" s="5" t="str">
        <x:v>Unscreened</x:v>
      </x:c>
      <x:c r="AE184" s="5" t="str">
        <x:v>Not linked</x:v>
      </x:c>
      <x:c r="AF184" s="5" t="str">
        <x:v>S14</x:v>
      </x:c>
      <x:c r="AG184" s="5" t="str">
        <x:v>Crossref REST API</x:v>
      </x:c>
      <x:c r="AH184" s="5" t="str">
        <x:v>Journal / conference record; peer review not audited</x:v>
      </x:c>
      <x:c r="AI184" s="5" t="str">
        <x:v>Metadata only</x:v>
      </x:c>
      <x:c r="AJ184" s="5" t="str">
        <x:v>Verified against deposited metadata; publisher citation check pending</x:v>
      </x:c>
      <x:c r="AK184" s="5" t="str">
        <x:v>journal-article</x:v>
      </x:c>
      <x:c r="AL184" s="5" t="str">
        <x:v>Title-scope candidate</x:v>
      </x:c>
      <x:c r="AM184" s="5" t="str">
        <x:v>review-paper/search-strategy/runs/PILOT-20261013-01/S14.json</x:v>
      </x:c>
      <x:c r="AN184" s="8" t="d">
        <x:v>2026-10-13T00:00:00.000Z</x:v>
      </x:c>
    </x:row>
    <x:row r="185" ht="53" customHeight="1">
      <x:c r="A185" s="5" t="str">
        <x:v>C0243</x:v>
      </x:c>
      <x:c r="B185" s="5" t="str">
        <x:v>Unassigned</x:v>
      </x:c>
      <x:c r="C185" s="5" t="str">
        <x:v>Unassigned</x:v>
      </x:c>
      <x:c r="D185" s="5" t="str">
        <x:v>Unassigned</x:v>
      </x:c>
      <x:c r="E185" s="5" t="str">
        <x:v>Unassigned</x:v>
      </x:c>
      <x:c r="F185" s="5" t="str">
        <x:v>Matti Niskanen; Hannu Kauppinen; Olli Silven</x:v>
      </x:c>
      <x:c r="G185" s="5" t="str">
        <x:v>Matti Niskanen</x:v>
      </x:c>
      <x:c r="H185" s="5" t="n">
        <x:v>2002</x:v>
      </x:c>
      <x:c r="I185" s="5" t="str">
        <x:v>&lt;title&gt;Real-time aspects of SOM-based visual surface inspection&lt;/title&gt;</x:v>
      </x:c>
      <x:c r="J185" s="5" t="str">
        <x:v>SPIE Proceedings</x:v>
      </x:c>
      <x:c r="K185" s="5" t="str">
        <x:v>10.1117/12.460189</x:v>
      </x:c>
      <x:c r="L185" s="5" t="str"/>
      <x:c r="M185" s="5" t="str">
        <x:v>http://proceedings.spiedigitallibrary.org/proceeding.aspx?articleid=876505</x:v>
      </x:c>
      <x:c r="N185" s="5" t="str">
        <x:v>https://doi.org/10.1117/12.460189</x:v>
      </x:c>
      <x:c r="O185" s="5" t="str">
        <x:v>Not extracted</x:v>
      </x:c>
      <x:c r="P185" s="5" t="str">
        <x:v>Not extracted</x:v>
      </x:c>
      <x:c r="Q185" s="5" t="str">
        <x:v>Not extracted</x:v>
      </x:c>
      <x:c r="R185" s="5" t="str">
        <x:v>Not extracted</x:v>
      </x:c>
      <x:c r="S185" s="5" t="str">
        <x:v>Unassigned</x:v>
      </x:c>
      <x:c r="T185" s="5" t="str">
        <x:v>Unassigned</x:v>
      </x:c>
      <x:c r="U185" s="5" t="str"/>
      <x:c r="V185" s="5" t="str"/>
      <x:c r="W185" s="5" t="str">
        <x:v>Not extracted</x:v>
      </x:c>
      <x:c r="X185" s="5" t="str">
        <x:v>Pending eligibility screening</x:v>
      </x:c>
      <x:c r="Y185" s="5" t="str">
        <x:v>niskanen2002_C0243</x:v>
      </x:c>
      <x:c r="Z185" s="5" t="str">
        <x:v>Generated; needs verification</x:v>
      </x:c>
      <x:c r="AA185" s="5" t="str">
        <x:v>No manuscript yet</x:v>
      </x:c>
      <x:c r="AB185" s="5" t="str">
        <x:v>No</x:v>
      </x:c>
      <x:c r="AC185" s="5" t="str">
        <x:v>Not checked</x:v>
      </x:c>
      <x:c r="AD185" s="5" t="str">
        <x:v>Unscreened</x:v>
      </x:c>
      <x:c r="AE185" s="5" t="str">
        <x:v>Not linked</x:v>
      </x:c>
      <x:c r="AF185" s="5" t="str">
        <x:v>S14</x:v>
      </x:c>
      <x:c r="AG185" s="5" t="str">
        <x:v>Crossref REST API</x:v>
      </x:c>
      <x:c r="AH185" s="5" t="str">
        <x:v>Journal / conference record; peer review not audited</x:v>
      </x:c>
      <x:c r="AI185" s="5" t="str">
        <x:v>Metadata only</x:v>
      </x:c>
      <x:c r="AJ185" s="5" t="str">
        <x:v>Verified against deposited metadata; publisher citation check pending</x:v>
      </x:c>
      <x:c r="AK185" s="5" t="str">
        <x:v>proceedings-article</x:v>
      </x:c>
      <x:c r="AL185" s="5" t="str">
        <x:v>Title-scope candidate</x:v>
      </x:c>
      <x:c r="AM185" s="5" t="str">
        <x:v>review-paper/search-strategy/runs/PILOT-20261013-01/S14.json</x:v>
      </x:c>
      <x:c r="AN185" s="8" t="d">
        <x:v>2026-10-13T00:00:00.000Z</x:v>
      </x:c>
    </x:row>
    <x:row r="186" ht="53" customHeight="1">
      <x:c r="A186" s="5" t="str">
        <x:v>C0244</x:v>
      </x:c>
      <x:c r="B186" s="5" t="str">
        <x:v>Unassigned</x:v>
      </x:c>
      <x:c r="C186" s="5" t="str">
        <x:v>Unassigned</x:v>
      </x:c>
      <x:c r="D186" s="5" t="str">
        <x:v>Unassigned</x:v>
      </x:c>
      <x:c r="E186" s="5" t="str">
        <x:v>Unassigned</x:v>
      </x:c>
      <x:c r="F186" s="5" t="str">
        <x:v>Colin G. Drury; Floyd W. Spencer</x:v>
      </x:c>
      <x:c r="G186" s="5" t="str">
        <x:v>Colin G. Drury</x:v>
      </x:c>
      <x:c r="H186" s="5" t="n">
        <x:v>1997</x:v>
      </x:c>
      <x:c r="I186" s="5" t="str">
        <x:v>Human Factors and the Reliability of Airframe Visual Inspection</x:v>
      </x:c>
      <x:c r="J186" s="5" t="str">
        <x:v>SAE Technical Paper Series</x:v>
      </x:c>
      <x:c r="K186" s="5" t="str">
        <x:v>10.4271/972592</x:v>
      </x:c>
      <x:c r="L186" s="5" t="str"/>
      <x:c r="M186" s="5" t="str">
        <x:v>https://saemobilus.sae.org/papers/human-factors-reliability-airframe-visual-inspection-972592</x:v>
      </x:c>
      <x:c r="N186" s="5" t="str">
        <x:v>https://doi.org/10.4271/972592</x:v>
      </x:c>
      <x:c r="O186" s="5" t="str">
        <x:v>Not extracted</x:v>
      </x:c>
      <x:c r="P186" s="5" t="str">
        <x:v>Not extracted</x:v>
      </x:c>
      <x:c r="Q186" s="5" t="str">
        <x:v>Not extracted</x:v>
      </x:c>
      <x:c r="R186" s="5" t="str">
        <x:v>Not extracted</x:v>
      </x:c>
      <x:c r="S186" s="5" t="str">
        <x:v>Unassigned</x:v>
      </x:c>
      <x:c r="T186" s="5" t="str">
        <x:v>Unassigned</x:v>
      </x:c>
      <x:c r="U186" s="5" t="str"/>
      <x:c r="V186" s="5" t="str"/>
      <x:c r="W186" s="5" t="str">
        <x:v>Not extracted</x:v>
      </x:c>
      <x:c r="X186" s="5" t="str">
        <x:v>Pending eligibility screening</x:v>
      </x:c>
      <x:c r="Y186" s="5" t="str">
        <x:v>drury1997_C0244</x:v>
      </x:c>
      <x:c r="Z186" s="5" t="str">
        <x:v>Generated; needs verification</x:v>
      </x:c>
      <x:c r="AA186" s="5" t="str">
        <x:v>No manuscript yet</x:v>
      </x:c>
      <x:c r="AB186" s="5" t="str">
        <x:v>No</x:v>
      </x:c>
      <x:c r="AC186" s="5" t="str">
        <x:v>Not checked</x:v>
      </x:c>
      <x:c r="AD186" s="5" t="str">
        <x:v>Unscreened</x:v>
      </x:c>
      <x:c r="AE186" s="5" t="str">
        <x:v>Not linked</x:v>
      </x:c>
      <x:c r="AF186" s="5" t="str">
        <x:v>S14</x:v>
      </x:c>
      <x:c r="AG186" s="5" t="str">
        <x:v>Crossref REST API</x:v>
      </x:c>
      <x:c r="AH186" s="5" t="str">
        <x:v>Journal / conference record; peer review not audited</x:v>
      </x:c>
      <x:c r="AI186" s="5" t="str">
        <x:v>Metadata only</x:v>
      </x:c>
      <x:c r="AJ186" s="5" t="str">
        <x:v>Verified against deposited metadata; publisher citation check pending</x:v>
      </x:c>
      <x:c r="AK186" s="5" t="str">
        <x:v>proceedings-article</x:v>
      </x:c>
      <x:c r="AL186" s="5" t="str">
        <x:v>Title-scope candidate</x:v>
      </x:c>
      <x:c r="AM186" s="5" t="str">
        <x:v>review-paper/search-strategy/runs/PILOT-20261013-01/S14.json</x:v>
      </x:c>
      <x:c r="AN186" s="8" t="d">
        <x:v>2026-10-13T00:00:00.000Z</x:v>
      </x:c>
    </x:row>
    <x:row r="187" ht="53" customHeight="1">
      <x:c r="A187" s="5" t="str">
        <x:v>C0245</x:v>
      </x:c>
      <x:c r="B187" s="5" t="str">
        <x:v>Unassigned</x:v>
      </x:c>
      <x:c r="C187" s="5" t="str">
        <x:v>Unassigned</x:v>
      </x:c>
      <x:c r="D187" s="5" t="str">
        <x:v>Unassigned</x:v>
      </x:c>
      <x:c r="E187" s="5" t="str">
        <x:v>Unassigned</x:v>
      </x:c>
      <x:c r="F187" s="5" t="str">
        <x:v>E.R. DAVIES</x:v>
      </x:c>
      <x:c r="G187" s="5" t="str">
        <x:v>E.R. DAVIES</x:v>
      </x:c>
      <x:c r="H187" s="5" t="n">
        <x:v>2005</x:v>
      </x:c>
      <x:c r="I187" s="5" t="str">
        <x:v>Automated Visual Inspection</x:v>
      </x:c>
      <x:c r="J187" s="5" t="str">
        <x:v>Machine Vision</x:v>
      </x:c>
      <x:c r="K187" s="5" t="str">
        <x:v>10.1016/b978-012206093-9/50025-3</x:v>
      </x:c>
      <x:c r="L187" s="5" t="str"/>
      <x:c r="M187" s="5" t="str">
        <x:v>https://linkinghub.elsevier.com/retrieve/pii/B9780122060939500253</x:v>
      </x:c>
      <x:c r="N187" s="5" t="str">
        <x:v>https://doi.org/10.1016/b978-012206093-9/50025-3</x:v>
      </x:c>
      <x:c r="O187" s="5" t="str">
        <x:v>Not extracted</x:v>
      </x:c>
      <x:c r="P187" s="5" t="str">
        <x:v>Not extracted</x:v>
      </x:c>
      <x:c r="Q187" s="5" t="str">
        <x:v>Not extracted</x:v>
      </x:c>
      <x:c r="R187" s="5" t="str">
        <x:v>Not extracted</x:v>
      </x:c>
      <x:c r="S187" s="5" t="str">
        <x:v>Unassigned</x:v>
      </x:c>
      <x:c r="T187" s="5" t="str">
        <x:v>Unassigned</x:v>
      </x:c>
      <x:c r="U187" s="5" t="str"/>
      <x:c r="V187" s="5" t="str"/>
      <x:c r="W187" s="5" t="str">
        <x:v>Not extracted</x:v>
      </x:c>
      <x:c r="X187" s="5" t="str">
        <x:v>Pending eligibility screening</x:v>
      </x:c>
      <x:c r="Y187" s="5" t="str">
        <x:v>davies2005_C0245</x:v>
      </x:c>
      <x:c r="Z187" s="5" t="str">
        <x:v>Generated; needs verification</x:v>
      </x:c>
      <x:c r="AA187" s="5" t="str">
        <x:v>No manuscript yet</x:v>
      </x:c>
      <x:c r="AB187" s="5" t="str">
        <x:v>No</x:v>
      </x:c>
      <x:c r="AC187" s="5" t="str">
        <x:v>Not checked</x:v>
      </x:c>
      <x:c r="AD187" s="5" t="str">
        <x:v>Unscreened</x:v>
      </x:c>
      <x:c r="AE187" s="5" t="str">
        <x:v>Not linked</x:v>
      </x:c>
      <x:c r="AF187" s="5" t="str">
        <x:v>S14</x:v>
      </x:c>
      <x:c r="AG187" s="5" t="str">
        <x:v>Crossref REST API</x:v>
      </x:c>
      <x:c r="AH187" s="5" t="str">
        <x:v>Publication status unverified</x:v>
      </x:c>
      <x:c r="AI187" s="5" t="str">
        <x:v>Metadata only</x:v>
      </x:c>
      <x:c r="AJ187" s="5" t="str">
        <x:v>Verified against deposited metadata; publisher citation check pending</x:v>
      </x:c>
      <x:c r="AK187" s="5" t="str">
        <x:v>book-chapter</x:v>
      </x:c>
      <x:c r="AL187" s="5" t="str">
        <x:v>Title-scope candidate</x:v>
      </x:c>
      <x:c r="AM187" s="5" t="str">
        <x:v>review-paper/search-strategy/runs/PILOT-20261013-01/S14.json</x:v>
      </x:c>
      <x:c r="AN187" s="8" t="d">
        <x:v>2026-10-13T00:00:00.000Z</x:v>
      </x:c>
    </x:row>
    <x:row r="188" ht="53" customHeight="1">
      <x:c r="A188" s="5" t="str">
        <x:v>C0246</x:v>
      </x:c>
      <x:c r="B188" s="5" t="str">
        <x:v>Unassigned</x:v>
      </x:c>
      <x:c r="C188" s="5" t="str">
        <x:v>Unassigned</x:v>
      </x:c>
      <x:c r="D188" s="5" t="str">
        <x:v>Unassigned</x:v>
      </x:c>
      <x:c r="E188" s="5" t="str">
        <x:v>Unassigned</x:v>
      </x:c>
      <x:c r="F188" s="5" t="str">
        <x:v>E.R. DAVIES</x:v>
      </x:c>
      <x:c r="G188" s="5" t="str">
        <x:v>E.R. DAVIES</x:v>
      </x:c>
      <x:c r="H188" s="5" t="n">
        <x:v>1990</x:v>
      </x:c>
      <x:c r="I188" s="5" t="str">
        <x:v>Automated Visual Inspection</x:v>
      </x:c>
      <x:c r="J188" s="5" t="str">
        <x:v>Machine Vision</x:v>
      </x:c>
      <x:c r="K188" s="5" t="str">
        <x:v>10.1016/b978-0-12-206090-8.50027-x</x:v>
      </x:c>
      <x:c r="L188" s="5" t="str"/>
      <x:c r="M188" s="5" t="str">
        <x:v>https://linkinghub.elsevier.com/retrieve/pii/B978012206090850027X</x:v>
      </x:c>
      <x:c r="N188" s="5" t="str">
        <x:v>https://doi.org/10.1016/b978-0-12-206090-8.50027-x</x:v>
      </x:c>
      <x:c r="O188" s="5" t="str">
        <x:v>Not extracted</x:v>
      </x:c>
      <x:c r="P188" s="5" t="str">
        <x:v>Not extracted</x:v>
      </x:c>
      <x:c r="Q188" s="5" t="str">
        <x:v>Not extracted</x:v>
      </x:c>
      <x:c r="R188" s="5" t="str">
        <x:v>Not extracted</x:v>
      </x:c>
      <x:c r="S188" s="5" t="str">
        <x:v>Unassigned</x:v>
      </x:c>
      <x:c r="T188" s="5" t="str">
        <x:v>Unassigned</x:v>
      </x:c>
      <x:c r="U188" s="5" t="str"/>
      <x:c r="V188" s="5" t="str"/>
      <x:c r="W188" s="5" t="str">
        <x:v>Not extracted</x:v>
      </x:c>
      <x:c r="X188" s="5" t="str">
        <x:v>Pending eligibility screening</x:v>
      </x:c>
      <x:c r="Y188" s="5" t="str">
        <x:v>davies1990_C0246</x:v>
      </x:c>
      <x:c r="Z188" s="5" t="str">
        <x:v>Generated; needs verification</x:v>
      </x:c>
      <x:c r="AA188" s="5" t="str">
        <x:v>No manuscript yet</x:v>
      </x:c>
      <x:c r="AB188" s="5" t="str">
        <x:v>No</x:v>
      </x:c>
      <x:c r="AC188" s="5" t="str">
        <x:v>Not checked</x:v>
      </x:c>
      <x:c r="AD188" s="5" t="str">
        <x:v>Unscreened</x:v>
      </x:c>
      <x:c r="AE188" s="5" t="str">
        <x:v>Not linked</x:v>
      </x:c>
      <x:c r="AF188" s="5" t="str">
        <x:v>S14</x:v>
      </x:c>
      <x:c r="AG188" s="5" t="str">
        <x:v>Crossref REST API</x:v>
      </x:c>
      <x:c r="AH188" s="5" t="str">
        <x:v>Publication status unverified</x:v>
      </x:c>
      <x:c r="AI188" s="5" t="str">
        <x:v>Metadata only</x:v>
      </x:c>
      <x:c r="AJ188" s="5" t="str">
        <x:v>Verified against deposited metadata; publisher citation check pending</x:v>
      </x:c>
      <x:c r="AK188" s="5" t="str">
        <x:v>book-chapter</x:v>
      </x:c>
      <x:c r="AL188" s="5" t="str">
        <x:v>Title-scope candidate</x:v>
      </x:c>
      <x:c r="AM188" s="5" t="str">
        <x:v>review-paper/search-strategy/runs/PILOT-20261013-01/S14.json</x:v>
      </x:c>
      <x:c r="AN188" s="8" t="d">
        <x:v>2026-10-13T00:00:00.000Z</x:v>
      </x:c>
    </x:row>
    <x:row r="189" ht="53" customHeight="1">
      <x:c r="A189" s="5" t="str">
        <x:v>C0247</x:v>
      </x:c>
      <x:c r="B189" s="5" t="str">
        <x:v>Unassigned</x:v>
      </x:c>
      <x:c r="C189" s="5" t="str">
        <x:v>Unassigned</x:v>
      </x:c>
      <x:c r="D189" s="5" t="str">
        <x:v>Unassigned</x:v>
      </x:c>
      <x:c r="E189" s="5" t="str">
        <x:v>Unassigned</x:v>
      </x:c>
      <x:c r="F189" s="5" t="str"/>
      <x:c r="G189" s="5" t="str"/>
      <x:c r="H189" s="5" t="n">
        <x:v>2022</x:v>
      </x:c>
      <x:c r="I189" s="5" t="str">
        <x:v>Seagate: Improving Automated Visual Inspection of Wafers and Fab Tooling with AI</x:v>
      </x:c>
      <x:c r="J189" s="5" t="str">
        <x:v>Working with AI</x:v>
      </x:c>
      <x:c r="K189" s="5" t="str">
        <x:v>10.7551/mitpress/14453.003.0025</x:v>
      </x:c>
      <x:c r="L189" s="5" t="str"/>
      <x:c r="M189" s="5" t="str">
        <x:v>https://direct.mit.edu/books/book/5393/chapter/3944912/Seagate-Improving-Automated-Visual-Inspection-of</x:v>
      </x:c>
      <x:c r="N189" s="5" t="str">
        <x:v>https://doi.org/10.7551/mitpress/14453.003.0025</x:v>
      </x:c>
      <x:c r="O189" s="5" t="str">
        <x:v>Not extracted</x:v>
      </x:c>
      <x:c r="P189" s="5" t="str">
        <x:v>Not extracted</x:v>
      </x:c>
      <x:c r="Q189" s="5" t="str">
        <x:v>Not extracted</x:v>
      </x:c>
      <x:c r="R189" s="5" t="str">
        <x:v>Not extracted</x:v>
      </x:c>
      <x:c r="S189" s="5" t="str">
        <x:v>Unassigned</x:v>
      </x:c>
      <x:c r="T189" s="5" t="str">
        <x:v>Unassigned</x:v>
      </x:c>
      <x:c r="U189" s="5" t="str"/>
      <x:c r="V189" s="5" t="str"/>
      <x:c r="W189" s="5" t="str">
        <x:v>Not extracted</x:v>
      </x:c>
      <x:c r="X189" s="5" t="str">
        <x:v>Pending eligibility screening</x:v>
      </x:c>
      <x:c r="Y189" s="5" t="str">
        <x:v>unknown2022_C0247</x:v>
      </x:c>
      <x:c r="Z189" s="5" t="str">
        <x:v>Incomplete metadata</x:v>
      </x:c>
      <x:c r="AA189" s="5" t="str">
        <x:v>No manuscript yet</x:v>
      </x:c>
      <x:c r="AB189" s="5" t="str">
        <x:v>No</x:v>
      </x:c>
      <x:c r="AC189" s="5" t="str">
        <x:v>Not checked</x:v>
      </x:c>
      <x:c r="AD189" s="5" t="str">
        <x:v>Unscreened</x:v>
      </x:c>
      <x:c r="AE189" s="5" t="str">
        <x:v>Not linked</x:v>
      </x:c>
      <x:c r="AF189" s="5" t="str">
        <x:v>S14</x:v>
      </x:c>
      <x:c r="AG189" s="5" t="str">
        <x:v>Crossref REST API</x:v>
      </x:c>
      <x:c r="AH189" s="5" t="str">
        <x:v>Publication status unverified</x:v>
      </x:c>
      <x:c r="AI189" s="5" t="str">
        <x:v>Metadata only</x:v>
      </x:c>
      <x:c r="AJ189" s="5" t="str">
        <x:v>Verified against deposited metadata; publisher citation check pending</x:v>
      </x:c>
      <x:c r="AK189" s="5" t="str">
        <x:v>book-chapter</x:v>
      </x:c>
      <x:c r="AL189" s="5" t="str">
        <x:v>Title-scope candidate</x:v>
      </x:c>
      <x:c r="AM189" s="5" t="str">
        <x:v>review-paper/search-strategy/runs/PILOT-20261013-01/S14.json</x:v>
      </x:c>
      <x:c r="AN189" s="8" t="d">
        <x:v>2026-10-13T00:00:00.000Z</x:v>
      </x:c>
    </x:row>
    <x:row r="190" ht="53" customHeight="1">
      <x:c r="A190" s="5" t="str">
        <x:v>C0248</x:v>
      </x:c>
      <x:c r="B190" s="5" t="str">
        <x:v>Unassigned</x:v>
      </x:c>
      <x:c r="C190" s="5" t="str">
        <x:v>Unassigned</x:v>
      </x:c>
      <x:c r="D190" s="5" t="str">
        <x:v>Unassigned</x:v>
      </x:c>
      <x:c r="E190" s="5" t="str">
        <x:v>Unassigned</x:v>
      </x:c>
      <x:c r="F190" s="5" t="str">
        <x:v>Judi E. See</x:v>
      </x:c>
      <x:c r="G190" s="5" t="str">
        <x:v>Judi E. See</x:v>
      </x:c>
      <x:c r="H190" s="5" t="n">
        <x:v>2015</x:v>
      </x:c>
      <x:c r="I190" s="5" t="str">
        <x:v>Visual Inspection Reliability for Precision Manufactured Parts</x:v>
      </x:c>
      <x:c r="J190" s="5" t="str">
        <x:v>Human Factors: The Journal of the Human Factors and Ergonomics Society</x:v>
      </x:c>
      <x:c r="K190" s="5" t="str">
        <x:v>10.1177/0018720815602389</x:v>
      </x:c>
      <x:c r="L190" s="5" t="str"/>
      <x:c r="M190" s="5" t="str">
        <x:v>https://journals.sagepub.com/doi/10.1177/0018720815602389</x:v>
      </x:c>
      <x:c r="N190" s="5" t="str">
        <x:v>https://doi.org/10.1177/0018720815602389</x:v>
      </x:c>
      <x:c r="O190" s="5" t="str">
        <x:v>Not extracted</x:v>
      </x:c>
      <x:c r="P190" s="5" t="str">
        <x:v>Not extracted</x:v>
      </x:c>
      <x:c r="Q190" s="5" t="str">
        <x:v>Not extracted</x:v>
      </x:c>
      <x:c r="R190" s="5" t="str">
        <x:v>Not extracted</x:v>
      </x:c>
      <x:c r="S190" s="5" t="str">
        <x:v>Unassigned</x:v>
      </x:c>
      <x:c r="T190" s="5" t="str">
        <x:v>Unassigned</x:v>
      </x:c>
      <x:c r="U190" s="5" t="str"/>
      <x:c r="V190" s="5" t="str"/>
      <x:c r="W190" s="5" t="str">
        <x:v>Not extracted</x:v>
      </x:c>
      <x:c r="X190" s="5" t="str">
        <x:v>Pending eligibility screening</x:v>
      </x:c>
      <x:c r="Y190" s="5" t="str">
        <x:v>see2015_C0248</x:v>
      </x:c>
      <x:c r="Z190" s="5" t="str">
        <x:v>Generated; needs verification</x:v>
      </x:c>
      <x:c r="AA190" s="5" t="str">
        <x:v>No manuscript yet</x:v>
      </x:c>
      <x:c r="AB190" s="5" t="str">
        <x:v>No</x:v>
      </x:c>
      <x:c r="AC190" s="5" t="str">
        <x:v>Not checked</x:v>
      </x:c>
      <x:c r="AD190" s="5" t="str">
        <x:v>Unscreened</x:v>
      </x:c>
      <x:c r="AE190" s="5" t="str">
        <x:v>Not linked</x:v>
      </x:c>
      <x:c r="AF190" s="5" t="str">
        <x:v>S14</x:v>
      </x:c>
      <x:c r="AG190" s="5" t="str">
        <x:v>Crossref REST API</x:v>
      </x:c>
      <x:c r="AH190" s="5" t="str">
        <x:v>Journal / conference record; peer review not audited</x:v>
      </x:c>
      <x:c r="AI190" s="5" t="str">
        <x:v>Metadata only</x:v>
      </x:c>
      <x:c r="AJ190" s="5" t="str">
        <x:v>Verified against deposited metadata; publisher citation check pending</x:v>
      </x:c>
      <x:c r="AK190" s="5" t="str">
        <x:v>journal-article</x:v>
      </x:c>
      <x:c r="AL190" s="5" t="str">
        <x:v>Title-scope candidate</x:v>
      </x:c>
      <x:c r="AM190" s="5" t="str">
        <x:v>review-paper/search-strategy/runs/PILOT-20261013-01/S14.json</x:v>
      </x:c>
      <x:c r="AN190" s="8" t="d">
        <x:v>2026-10-13T00:00:00.000Z</x:v>
      </x:c>
    </x:row>
    <x:row r="191" ht="53" customHeight="1">
      <x:c r="A191" s="5" t="str">
        <x:v>C0249</x:v>
      </x:c>
      <x:c r="B191" s="5" t="str">
        <x:v>Unassigned</x:v>
      </x:c>
      <x:c r="C191" s="5" t="str">
        <x:v>Unassigned</x:v>
      </x:c>
      <x:c r="D191" s="5" t="str">
        <x:v>Unassigned</x:v>
      </x:c>
      <x:c r="E191" s="5" t="str">
        <x:v>Unassigned</x:v>
      </x:c>
      <x:c r="F191" s="5" t="str">
        <x:v>Qifan Zhu; Li Yang; Li Zhang; Jian Wu; Feng Shao; Hongjie Shen</x:v>
      </x:c>
      <x:c r="G191" s="5" t="str">
        <x:v>Qifan Zhu</x:v>
      </x:c>
      <x:c r="H191" s="5" t="n">
        <x:v>2025</x:v>
      </x:c>
      <x:c r="I191" s="5" t="str">
        <x:v>Anomaly Detection in Industrial Park: Benchmark Virtual-Real Dataset and an Improved Yolo Model</x:v>
      </x:c>
      <x:c r="J191" s="5" t="str"/>
      <x:c r="K191" s="5" t="str">
        <x:v>10.2139/ssrn.5371357</x:v>
      </x:c>
      <x:c r="L191" s="5" t="str"/>
      <x:c r="M191" s="5" t="str">
        <x:v>https://www.ssrn.com/abstract=5371357</x:v>
      </x:c>
      <x:c r="N191" s="5" t="str">
        <x:v>https://doi.org/10.2139/ssrn.5371357</x:v>
      </x:c>
      <x:c r="O191" s="5" t="str">
        <x:v>Not extracted</x:v>
      </x:c>
      <x:c r="P191" s="5" t="str">
        <x:v>Not extracted</x:v>
      </x:c>
      <x:c r="Q191" s="5" t="str">
        <x:v>Not extracted</x:v>
      </x:c>
      <x:c r="R191" s="5" t="str">
        <x:v>Not extracted</x:v>
      </x:c>
      <x:c r="S191" s="5" t="str">
        <x:v>Unassigned</x:v>
      </x:c>
      <x:c r="T191" s="5" t="str">
        <x:v>Unassigned</x:v>
      </x:c>
      <x:c r="U191" s="5" t="str"/>
      <x:c r="V191" s="5" t="str"/>
      <x:c r="W191" s="5" t="str">
        <x:v>Not extracted</x:v>
      </x:c>
      <x:c r="X191" s="5" t="str">
        <x:v>Pending eligibility screening</x:v>
      </x:c>
      <x:c r="Y191" s="5" t="str">
        <x:v>zhu2025_C0249</x:v>
      </x:c>
      <x:c r="Z191" s="5" t="str">
        <x:v>Generated; needs verification</x:v>
      </x:c>
      <x:c r="AA191" s="5" t="str">
        <x:v>No manuscript yet</x:v>
      </x:c>
      <x:c r="AB191" s="5" t="str">
        <x:v>No</x:v>
      </x:c>
      <x:c r="AC191" s="5" t="str">
        <x:v>Not checked</x:v>
      </x:c>
      <x:c r="AD191" s="5" t="str">
        <x:v>Unscreened</x:v>
      </x:c>
      <x:c r="AE191" s="5" t="str">
        <x:v>Not linked</x:v>
      </x:c>
      <x:c r="AF191" s="5" t="str">
        <x:v>S15</x:v>
      </x:c>
      <x:c r="AG191" s="5" t="str">
        <x:v>Crossref REST API</x:v>
      </x:c>
      <x:c r="AH191" s="5" t="str">
        <x:v>Preprint / repository record</x:v>
      </x:c>
      <x:c r="AI191" s="5" t="str">
        <x:v>Metadata only</x:v>
      </x:c>
      <x:c r="AJ191" s="5" t="str">
        <x:v>Verified against deposited metadata; publisher citation check pending</x:v>
      </x:c>
      <x:c r="AK191" s="5" t="str">
        <x:v>posted-content</x:v>
      </x:c>
      <x:c r="AL191" s="5" t="str">
        <x:v>Title-scope candidate</x:v>
      </x:c>
      <x:c r="AM191" s="5" t="str">
        <x:v>review-paper/search-strategy/runs/PILOT-20261013-01/S15.json</x:v>
      </x:c>
      <x:c r="AN191" s="8" t="d">
        <x:v>2026-10-13T00:00:00.000Z</x:v>
      </x:c>
    </x:row>
    <x:row r="192" ht="68" customHeight="1">
      <x:c r="A192" s="5" t="str">
        <x:v>C0251</x:v>
      </x:c>
      <x:c r="B192" s="5" t="str">
        <x:v>Unassigned</x:v>
      </x:c>
      <x:c r="C192" s="5" t="str">
        <x:v>Unassigned</x:v>
      </x:c>
      <x:c r="D192" s="5" t="str">
        <x:v>Unassigned</x:v>
      </x:c>
      <x:c r="E192" s="5" t="str">
        <x:v>Unassigned</x:v>
      </x:c>
      <x:c r="F192" s="5" t="str"/>
      <x:c r="G192" s="5" t="str"/>
      <x:c r="H192" s="5" t="n">
        <x:v>2026</x:v>
      </x:c>
      <x:c r="I192" s="5" t="str">
        <x:v>Real-IAD MVN: A Multi-View Normal Vector Dataset and Benchmark for High-Fidelity Industrial Anomaly Detection</x:v>
      </x:c>
      <x:c r="J192" s="5" t="str">
        <x:v>2026 IEEE/CVF Conference on Computer Vision and Pattern Recognition- FINDINGS Track (CVPRF)</x:v>
      </x:c>
      <x:c r="K192" s="5" t="str">
        <x:v>10.1109/cvprf71909.2026.00202</x:v>
      </x:c>
      <x:c r="L192" s="5" t="str"/>
      <x:c r="M192" s="5" t="str">
        <x:v>https://ieeexplore.ieee.org/document/11697830/</x:v>
      </x:c>
      <x:c r="N192" s="5" t="str">
        <x:v>https://doi.org/10.1109/cvprf71909.2026.00202</x:v>
      </x:c>
      <x:c r="O192" s="5" t="str">
        <x:v>Not extracted</x:v>
      </x:c>
      <x:c r="P192" s="5" t="str">
        <x:v>Not extracted</x:v>
      </x:c>
      <x:c r="Q192" s="5" t="str">
        <x:v>Not extracted</x:v>
      </x:c>
      <x:c r="R192" s="5" t="str">
        <x:v>Not extracted</x:v>
      </x:c>
      <x:c r="S192" s="5" t="str">
        <x:v>Unassigned</x:v>
      </x:c>
      <x:c r="T192" s="5" t="str">
        <x:v>Unassigned</x:v>
      </x:c>
      <x:c r="U192" s="5" t="str"/>
      <x:c r="V192" s="5" t="str"/>
      <x:c r="W192" s="5" t="str">
        <x:v>Not extracted</x:v>
      </x:c>
      <x:c r="X192" s="5" t="str">
        <x:v>Pending eligibility screening</x:v>
      </x:c>
      <x:c r="Y192" s="5" t="str">
        <x:v>unknown2026_C0251</x:v>
      </x:c>
      <x:c r="Z192" s="5" t="str">
        <x:v>Incomplete metadata</x:v>
      </x:c>
      <x:c r="AA192" s="5" t="str">
        <x:v>No manuscript yet</x:v>
      </x:c>
      <x:c r="AB192" s="5" t="str">
        <x:v>No</x:v>
      </x:c>
      <x:c r="AC192" s="5" t="str">
        <x:v>Not checked</x:v>
      </x:c>
      <x:c r="AD192" s="5" t="str">
        <x:v>Unscreened</x:v>
      </x:c>
      <x:c r="AE192" s="5" t="str">
        <x:v>Not linked</x:v>
      </x:c>
      <x:c r="AF192" s="5" t="str">
        <x:v>S15</x:v>
      </x:c>
      <x:c r="AG192" s="5" t="str">
        <x:v>Crossref REST API</x:v>
      </x:c>
      <x:c r="AH192" s="5" t="str">
        <x:v>Journal / conference record; peer review not audited</x:v>
      </x:c>
      <x:c r="AI192" s="5" t="str">
        <x:v>Metadata only</x:v>
      </x:c>
      <x:c r="AJ192" s="5" t="str">
        <x:v>Verified against deposited metadata; publisher citation check pending</x:v>
      </x:c>
      <x:c r="AK192" s="5" t="str">
        <x:v>proceedings-article</x:v>
      </x:c>
      <x:c r="AL192" s="5" t="str">
        <x:v>Title-scope candidate</x:v>
      </x:c>
      <x:c r="AM192" s="5" t="str">
        <x:v>review-paper/search-strategy/runs/PILOT-20261013-01/S15.json</x:v>
      </x:c>
      <x:c r="AN192" s="8" t="d">
        <x:v>2026-10-13T00:00:00.000Z</x:v>
      </x:c>
    </x:row>
    <x:row r="193" ht="68" customHeight="1">
      <x:c r="A193" s="5" t="str">
        <x:v>C0252</x:v>
      </x:c>
      <x:c r="B193" s="5" t="str">
        <x:v>Unassigned</x:v>
      </x:c>
      <x:c r="C193" s="5" t="str">
        <x:v>Unassigned</x:v>
      </x:c>
      <x:c r="D193" s="5" t="str">
        <x:v>Unassigned</x:v>
      </x:c>
      <x:c r="E193" s="5" t="str">
        <x:v>Unassigned</x:v>
      </x:c>
      <x:c r="F193" s="5" t="str">
        <x:v>Latha Pemula; Dongqing Zhang; Onkar Dabeer</x:v>
      </x:c>
      <x:c r="G193" s="5" t="str">
        <x:v>Latha Pemula</x:v>
      </x:c>
      <x:c r="H193" s="5" t="n">
        <x:v>2025</x:v>
      </x:c>
      <x:c r="I193" s="5" t="str">
        <x:v>Robust AD: A Real World Benchmark Dataset for Robustness in Industrial Anomaly Detection</x:v>
      </x:c>
      <x:c r="J193" s="5" t="str">
        <x:v>2025 IEEE/CVF Conference on Computer Vision and Pattern Recognition Workshops (CVPRW)</x:v>
      </x:c>
      <x:c r="K193" s="5" t="str">
        <x:v>10.1109/cvprw67362.2025.00389</x:v>
      </x:c>
      <x:c r="L193" s="5" t="str"/>
      <x:c r="M193" s="5" t="str">
        <x:v>https://ieeexplore.ieee.org/document/11148001/</x:v>
      </x:c>
      <x:c r="N193" s="5" t="str">
        <x:v>https://doi.org/10.1109/cvprw67362.2025.00389</x:v>
      </x:c>
      <x:c r="O193" s="5" t="str">
        <x:v>Not extracted</x:v>
      </x:c>
      <x:c r="P193" s="5" t="str">
        <x:v>Not extracted</x:v>
      </x:c>
      <x:c r="Q193" s="5" t="str">
        <x:v>Not extracted</x:v>
      </x:c>
      <x:c r="R193" s="5" t="str">
        <x:v>Not extracted</x:v>
      </x:c>
      <x:c r="S193" s="5" t="str">
        <x:v>Unassigned</x:v>
      </x:c>
      <x:c r="T193" s="5" t="str">
        <x:v>Unassigned</x:v>
      </x:c>
      <x:c r="U193" s="5" t="str"/>
      <x:c r="V193" s="5" t="str"/>
      <x:c r="W193" s="5" t="str">
        <x:v>Not extracted</x:v>
      </x:c>
      <x:c r="X193" s="5" t="str">
        <x:v>Pending eligibility screening</x:v>
      </x:c>
      <x:c r="Y193" s="5" t="str">
        <x:v>pemula2025_C0252</x:v>
      </x:c>
      <x:c r="Z193" s="5" t="str">
        <x:v>Generated; needs verification</x:v>
      </x:c>
      <x:c r="AA193" s="5" t="str">
        <x:v>No manuscript yet</x:v>
      </x:c>
      <x:c r="AB193" s="5" t="str">
        <x:v>No</x:v>
      </x:c>
      <x:c r="AC193" s="5" t="str">
        <x:v>Not checked</x:v>
      </x:c>
      <x:c r="AD193" s="5" t="str">
        <x:v>Unscreened</x:v>
      </x:c>
      <x:c r="AE193" s="5" t="str">
        <x:v>Not linked</x:v>
      </x:c>
      <x:c r="AF193" s="5" t="str">
        <x:v>S15</x:v>
      </x:c>
      <x:c r="AG193" s="5" t="str">
        <x:v>Crossref REST API</x:v>
      </x:c>
      <x:c r="AH193" s="5" t="str">
        <x:v>Journal / conference record; peer review not audited</x:v>
      </x:c>
      <x:c r="AI193" s="5" t="str">
        <x:v>Metadata only</x:v>
      </x:c>
      <x:c r="AJ193" s="5" t="str">
        <x:v>Verified against deposited metadata; publisher citation check pending</x:v>
      </x:c>
      <x:c r="AK193" s="5" t="str">
        <x:v>proceedings-article</x:v>
      </x:c>
      <x:c r="AL193" s="5" t="str">
        <x:v>Title-scope candidate</x:v>
      </x:c>
      <x:c r="AM193" s="5" t="str">
        <x:v>review-paper/search-strategy/runs/PILOT-20261013-01/S15.json</x:v>
      </x:c>
      <x:c r="AN193" s="8" t="d">
        <x:v>2026-10-13T00:00:00.000Z</x:v>
      </x:c>
    </x:row>
    <x:row r="194" ht="53" customHeight="1">
      <x:c r="A194" s="5" t="str">
        <x:v>C0254</x:v>
      </x:c>
      <x:c r="B194" s="5" t="str">
        <x:v>Unassigned</x:v>
      </x:c>
      <x:c r="C194" s="5" t="str">
        <x:v>Unassigned</x:v>
      </x:c>
      <x:c r="D194" s="5" t="str">
        <x:v>Unassigned</x:v>
      </x:c>
      <x:c r="E194" s="5" t="str">
        <x:v>Unassigned</x:v>
      </x:c>
      <x:c r="F194" s="5" t="str">
        <x:v>Taewan Kim</x:v>
      </x:c>
      <x:c r="G194" s="5" t="str">
        <x:v>Taewan Kim</x:v>
      </x:c>
      <x:c r="H194" s="5" t="n">
        <x:v>2026</x:v>
      </x:c>
      <x:c r="I194" s="5" t="str">
        <x:v>Beyond Random Splits: A Temporal Robustness Benchmark for Industrial Food Anomaly Detection</x:v>
      </x:c>
      <x:c r="J194" s="5" t="str">
        <x:v>IEEE Access</x:v>
      </x:c>
      <x:c r="K194" s="5" t="str">
        <x:v>10.1109/access.2026.3691935</x:v>
      </x:c>
      <x:c r="L194" s="5" t="str"/>
      <x:c r="M194" s="5" t="str">
        <x:v>https://ieeexplore.ieee.org/document/11513761/</x:v>
      </x:c>
      <x:c r="N194" s="5" t="str">
        <x:v>https://doi.org/10.1109/access.2026.3691935</x:v>
      </x:c>
      <x:c r="O194" s="5" t="str">
        <x:v>Not extracted</x:v>
      </x:c>
      <x:c r="P194" s="5" t="str">
        <x:v>Not extracted</x:v>
      </x:c>
      <x:c r="Q194" s="5" t="str">
        <x:v>Not extracted</x:v>
      </x:c>
      <x:c r="R194" s="5" t="str">
        <x:v>Not extracted</x:v>
      </x:c>
      <x:c r="S194" s="5" t="str">
        <x:v>Unassigned</x:v>
      </x:c>
      <x:c r="T194" s="5" t="str">
        <x:v>Unassigned</x:v>
      </x:c>
      <x:c r="U194" s="5" t="str"/>
      <x:c r="V194" s="5" t="str"/>
      <x:c r="W194" s="5" t="str">
        <x:v>Not extracted</x:v>
      </x:c>
      <x:c r="X194" s="5" t="str">
        <x:v>Pending eligibility screening</x:v>
      </x:c>
      <x:c r="Y194" s="5" t="str">
        <x:v>kim2026_C0254</x:v>
      </x:c>
      <x:c r="Z194" s="5" t="str">
        <x:v>Generated; needs verification</x:v>
      </x:c>
      <x:c r="AA194" s="5" t="str">
        <x:v>No manuscript yet</x:v>
      </x:c>
      <x:c r="AB194" s="5" t="str">
        <x:v>No</x:v>
      </x:c>
      <x:c r="AC194" s="5" t="str">
        <x:v>Not checked</x:v>
      </x:c>
      <x:c r="AD194" s="5" t="str">
        <x:v>Unscreened</x:v>
      </x:c>
      <x:c r="AE194" s="5" t="str">
        <x:v>Not linked</x:v>
      </x:c>
      <x:c r="AF194" s="5" t="str">
        <x:v>S15</x:v>
      </x:c>
      <x:c r="AG194" s="5" t="str">
        <x:v>Crossref REST API</x:v>
      </x:c>
      <x:c r="AH194" s="5" t="str">
        <x:v>Journal / conference record; peer review not audited</x:v>
      </x:c>
      <x:c r="AI194" s="5" t="str">
        <x:v>Metadata only</x:v>
      </x:c>
      <x:c r="AJ194" s="5" t="str">
        <x:v>Verified against deposited metadata; publisher citation check pending</x:v>
      </x:c>
      <x:c r="AK194" s="5" t="str">
        <x:v>journal-article</x:v>
      </x:c>
      <x:c r="AL194" s="5" t="str">
        <x:v>Title-scope candidate</x:v>
      </x:c>
      <x:c r="AM194" s="5" t="str">
        <x:v>review-paper/search-strategy/runs/PILOT-20261013-01/S15.json</x:v>
      </x:c>
      <x:c r="AN194" s="8" t="d">
        <x:v>2026-10-13T00:00:00.000Z</x:v>
      </x:c>
    </x:row>
    <x:row r="195" ht="53" customHeight="1">
      <x:c r="A195" s="5" t="str">
        <x:v>C0257</x:v>
      </x:c>
      <x:c r="B195" s="5" t="str">
        <x:v>Unassigned</x:v>
      </x:c>
      <x:c r="C195" s="5" t="str">
        <x:v>Unassigned</x:v>
      </x:c>
      <x:c r="D195" s="5" t="str">
        <x:v>Unassigned</x:v>
      </x:c>
      <x:c r="E195" s="5" t="str">
        <x:v>Unassigned</x:v>
      </x:c>
      <x:c r="F195" s="5" t="str">
        <x:v>Junyang Yang; Jiuxin Cao; Chengge Duan</x:v>
      </x:c>
      <x:c r="G195" s="5" t="str">
        <x:v>Junyang Yang</x:v>
      </x:c>
      <x:c r="H195" s="5" t="n">
        <x:v>2025</x:v>
      </x:c>
      <x:c r="I195" s="5" t="str">
        <x:v>Towards Realistic Industrial Anomaly Detection: MADE-Net Framework and ManuDefect-21 Benchmark</x:v>
      </x:c>
      <x:c r="J195" s="5" t="str">
        <x:v>Applied Sciences</x:v>
      </x:c>
      <x:c r="K195" s="5" t="str">
        <x:v>10.3390/app152010885</x:v>
      </x:c>
      <x:c r="L195" s="5" t="str"/>
      <x:c r="M195" s="5" t="str">
        <x:v>https://www.mdpi.com/2076-3417/15/20/10885</x:v>
      </x:c>
      <x:c r="N195" s="5" t="str">
        <x:v>https://doi.org/10.3390/app152010885</x:v>
      </x:c>
      <x:c r="O195" s="5" t="str">
        <x:v>Not extracted</x:v>
      </x:c>
      <x:c r="P195" s="5" t="str">
        <x:v>Not extracted</x:v>
      </x:c>
      <x:c r="Q195" s="5" t="str">
        <x:v>Not extracted</x:v>
      </x:c>
      <x:c r="R195" s="5" t="str">
        <x:v>Not extracted</x:v>
      </x:c>
      <x:c r="S195" s="5" t="str">
        <x:v>Unassigned</x:v>
      </x:c>
      <x:c r="T195" s="5" t="str">
        <x:v>Unassigned</x:v>
      </x:c>
      <x:c r="U195" s="5" t="str"/>
      <x:c r="V195" s="5" t="str"/>
      <x:c r="W195" s="5" t="str">
        <x:v>Not extracted</x:v>
      </x:c>
      <x:c r="X195" s="5" t="str">
        <x:v>Pending eligibility screening</x:v>
      </x:c>
      <x:c r="Y195" s="5" t="str">
        <x:v>yang2025_C0257</x:v>
      </x:c>
      <x:c r="Z195" s="5" t="str">
        <x:v>Generated; needs verification</x:v>
      </x:c>
      <x:c r="AA195" s="5" t="str">
        <x:v>No manuscript yet</x:v>
      </x:c>
      <x:c r="AB195" s="5" t="str">
        <x:v>No</x:v>
      </x:c>
      <x:c r="AC195" s="5" t="str">
        <x:v>Not checked</x:v>
      </x:c>
      <x:c r="AD195" s="5" t="str">
        <x:v>Unscreened</x:v>
      </x:c>
      <x:c r="AE195" s="5" t="str">
        <x:v>Not linked</x:v>
      </x:c>
      <x:c r="AF195" s="5" t="str">
        <x:v>S15</x:v>
      </x:c>
      <x:c r="AG195" s="5" t="str">
        <x:v>Crossref REST API</x:v>
      </x:c>
      <x:c r="AH195" s="5" t="str">
        <x:v>Journal / conference record; peer review not audited</x:v>
      </x:c>
      <x:c r="AI195" s="5" t="str">
        <x:v>Metadata only</x:v>
      </x:c>
      <x:c r="AJ195" s="5" t="str">
        <x:v>Verified against deposited metadata; publisher citation check pending</x:v>
      </x:c>
      <x:c r="AK195" s="5" t="str">
        <x:v>journal-article</x:v>
      </x:c>
      <x:c r="AL195" s="5" t="str">
        <x:v>Title-scope candidate</x:v>
      </x:c>
      <x:c r="AM195" s="5" t="str">
        <x:v>review-paper/search-strategy/runs/PILOT-20261013-01/S15.json</x:v>
      </x:c>
      <x:c r="AN195" s="8" t="d">
        <x:v>2026-10-13T00:00:00.000Z</x:v>
      </x:c>
    </x:row>
    <x:row r="196" ht="53" customHeight="1">
      <x:c r="A196" s="5" t="str">
        <x:v>C0260</x:v>
      </x:c>
      <x:c r="B196" s="5" t="str">
        <x:v>Unassigned</x:v>
      </x:c>
      <x:c r="C196" s="5" t="str">
        <x:v>Unassigned</x:v>
      </x:c>
      <x:c r="D196" s="5" t="str">
        <x:v>Unassigned</x:v>
      </x:c>
      <x:c r="E196" s="5" t="str">
        <x:v>Unassigned</x:v>
      </x:c>
      <x:c r="F196" s="5" t="str">
        <x:v>Sergio Villanueva López; Emilio Soria-Olivas; Manuel Sánchez-Montañés</x:v>
      </x:c>
      <x:c r="G196" s="5" t="str">
        <x:v>Sergio Villanueva López</x:v>
      </x:c>
      <x:c r="H196" s="5" t="n">
        <x:v>2026</x:v>
      </x:c>
      <x:c r="I196" s="5" t="str">
        <x:v>RGB Ensemble Strategies for Unsupervised Industrial Anomaly Detection on the AutoVI Dataset</x:v>
      </x:c>
      <x:c r="J196" s="5" t="str"/>
      <x:c r="K196" s="5" t="str">
        <x:v>10.2139/ssrn.6301399</x:v>
      </x:c>
      <x:c r="L196" s="5" t="str"/>
      <x:c r="M196" s="5" t="str">
        <x:v>https://www.ssrn.com/abstract=6301399</x:v>
      </x:c>
      <x:c r="N196" s="5" t="str">
        <x:v>https://doi.org/10.2139/ssrn.6301399</x:v>
      </x:c>
      <x:c r="O196" s="5" t="str">
        <x:v>Not extracted</x:v>
      </x:c>
      <x:c r="P196" s="5" t="str">
        <x:v>Not extracted</x:v>
      </x:c>
      <x:c r="Q196" s="5" t="str">
        <x:v>Not extracted</x:v>
      </x:c>
      <x:c r="R196" s="5" t="str">
        <x:v>Not extracted</x:v>
      </x:c>
      <x:c r="S196" s="5" t="str">
        <x:v>Unassigned</x:v>
      </x:c>
      <x:c r="T196" s="5" t="str">
        <x:v>Unassigned</x:v>
      </x:c>
      <x:c r="U196" s="5" t="str"/>
      <x:c r="V196" s="5" t="str"/>
      <x:c r="W196" s="5" t="str">
        <x:v>Not extracted</x:v>
      </x:c>
      <x:c r="X196" s="5" t="str">
        <x:v>Pending eligibility screening</x:v>
      </x:c>
      <x:c r="Y196" s="5" t="str">
        <x:v>lopez2026_C0260</x:v>
      </x:c>
      <x:c r="Z196" s="5" t="str">
        <x:v>Generated; needs verification</x:v>
      </x:c>
      <x:c r="AA196" s="5" t="str">
        <x:v>No manuscript yet</x:v>
      </x:c>
      <x:c r="AB196" s="5" t="str">
        <x:v>No</x:v>
      </x:c>
      <x:c r="AC196" s="5" t="str">
        <x:v>Not checked</x:v>
      </x:c>
      <x:c r="AD196" s="5" t="str">
        <x:v>Unscreened</x:v>
      </x:c>
      <x:c r="AE196" s="5" t="str">
        <x:v>Not linked</x:v>
      </x:c>
      <x:c r="AF196" s="5" t="str">
        <x:v>S15</x:v>
      </x:c>
      <x:c r="AG196" s="5" t="str">
        <x:v>Crossref REST API</x:v>
      </x:c>
      <x:c r="AH196" s="5" t="str">
        <x:v>Preprint / repository record</x:v>
      </x:c>
      <x:c r="AI196" s="5" t="str">
        <x:v>Metadata only</x:v>
      </x:c>
      <x:c r="AJ196" s="5" t="str">
        <x:v>Verified against deposited metadata; publisher citation check pending</x:v>
      </x:c>
      <x:c r="AK196" s="5" t="str">
        <x:v>posted-content</x:v>
      </x:c>
      <x:c r="AL196" s="5" t="str">
        <x:v>Title-scope candidate</x:v>
      </x:c>
      <x:c r="AM196" s="5" t="str">
        <x:v>review-paper/search-strategy/runs/PILOT-20261013-01/S15.json</x:v>
      </x:c>
      <x:c r="AN196" s="8" t="d">
        <x:v>2026-10-13T00:00:00.000Z</x:v>
      </x:c>
    </x:row>
    <x:row r="197" ht="53" customHeight="1">
      <x:c r="A197" s="5" t="str">
        <x:v>C0264</x:v>
      </x:c>
      <x:c r="B197" s="5" t="str">
        <x:v>Unassigned</x:v>
      </x:c>
      <x:c r="C197" s="5" t="str">
        <x:v>Unassigned</x:v>
      </x:c>
      <x:c r="D197" s="5" t="str">
        <x:v>Unassigned</x:v>
      </x:c>
      <x:c r="E197" s="5" t="str">
        <x:v>Unassigned</x:v>
      </x:c>
      <x:c r="F197" s="5" t="str">
        <x:v>Sergio Villanueva; Emilio Soria-Olivas; Manuel Sánchez-Montañés</x:v>
      </x:c>
      <x:c r="G197" s="5" t="str">
        <x:v>Sergio Villanueva</x:v>
      </x:c>
      <x:c r="H197" s="5" t="n">
        <x:v>2026</x:v>
      </x:c>
      <x:c r="I197" s="5" t="str">
        <x:v>RGB Ensemble Strategies for Unsupervised Industrial Anomaly Detection on the AutoVI Dataset</x:v>
      </x:c>
      <x:c r="J197" s="5" t="str"/>
      <x:c r="K197" s="5" t="str">
        <x:v>10.20944/preprints202604.1743.v1</x:v>
      </x:c>
      <x:c r="L197" s="5" t="str"/>
      <x:c r="M197" s="5" t="str">
        <x:v>https://www.preprints.org/manuscript/202604.1743/v1</x:v>
      </x:c>
      <x:c r="N197" s="5" t="str">
        <x:v>https://doi.org/10.20944/preprints202604.1743.v1</x:v>
      </x:c>
      <x:c r="O197" s="5" t="str">
        <x:v>Not extracted</x:v>
      </x:c>
      <x:c r="P197" s="5" t="str">
        <x:v>Not extracted</x:v>
      </x:c>
      <x:c r="Q197" s="5" t="str">
        <x:v>Not extracted</x:v>
      </x:c>
      <x:c r="R197" s="5" t="str">
        <x:v>Not extracted</x:v>
      </x:c>
      <x:c r="S197" s="5" t="str">
        <x:v>Unassigned</x:v>
      </x:c>
      <x:c r="T197" s="5" t="str">
        <x:v>Unassigned</x:v>
      </x:c>
      <x:c r="U197" s="5" t="str"/>
      <x:c r="V197" s="5" t="str"/>
      <x:c r="W197" s="5" t="str">
        <x:v>Not extracted</x:v>
      </x:c>
      <x:c r="X197" s="5" t="str">
        <x:v>Pending eligibility screening</x:v>
      </x:c>
      <x:c r="Y197" s="5" t="str">
        <x:v>villanueva2026_C0264</x:v>
      </x:c>
      <x:c r="Z197" s="5" t="str">
        <x:v>Generated; needs verification</x:v>
      </x:c>
      <x:c r="AA197" s="5" t="str">
        <x:v>No manuscript yet</x:v>
      </x:c>
      <x:c r="AB197" s="5" t="str">
        <x:v>No</x:v>
      </x:c>
      <x:c r="AC197" s="5" t="str">
        <x:v>Not checked</x:v>
      </x:c>
      <x:c r="AD197" s="5" t="str">
        <x:v>Unscreened</x:v>
      </x:c>
      <x:c r="AE197" s="5" t="str">
        <x:v>Not linked</x:v>
      </x:c>
      <x:c r="AF197" s="5" t="str">
        <x:v>S15</x:v>
      </x:c>
      <x:c r="AG197" s="5" t="str">
        <x:v>Crossref REST API</x:v>
      </x:c>
      <x:c r="AH197" s="5" t="str">
        <x:v>Preprint / repository record</x:v>
      </x:c>
      <x:c r="AI197" s="5" t="str">
        <x:v>Metadata only</x:v>
      </x:c>
      <x:c r="AJ197" s="5" t="str">
        <x:v>Verified against deposited metadata; publisher citation check pending</x:v>
      </x:c>
      <x:c r="AK197" s="5" t="str">
        <x:v>posted-content</x:v>
      </x:c>
      <x:c r="AL197" s="5" t="str">
        <x:v>Title-scope candidate</x:v>
      </x:c>
      <x:c r="AM197" s="5" t="str">
        <x:v>review-paper/search-strategy/runs/PILOT-20261013-01/S15.json</x:v>
      </x:c>
      <x:c r="AN197" s="8" t="d">
        <x:v>2026-10-13T00:00:00.000Z</x:v>
      </x:c>
    </x:row>
    <x:row r="198" ht="53" customHeight="1">
      <x:c r="A198" s="5" t="str">
        <x:v>C0266</x:v>
      </x:c>
      <x:c r="B198" s="5" t="str">
        <x:v>Unassigned</x:v>
      </x:c>
      <x:c r="C198" s="5" t="str">
        <x:v>Unassigned</x:v>
      </x:c>
      <x:c r="D198" s="5" t="str">
        <x:v>Unassigned</x:v>
      </x:c>
      <x:c r="E198" s="5" t="str">
        <x:v>Unassigned</x:v>
      </x:c>
      <x:c r="F198" s="5" t="str">
        <x:v>V. Rajalakshmi; C. Janani</x:v>
      </x:c>
      <x:c r="G198" s="5" t="str">
        <x:v>V. Rajalakshmi</x:v>
      </x:c>
      <x:c r="H198" s="5" t="n">
        <x:v>2026</x:v>
      </x:c>
      <x:c r="I198" s="5" t="str">
        <x:v>Lightweight Adaptive Multi-Scale Industrial Anomaly Detection under View and Illumination Distribution Shifts: A Study on the AeBAD-S Dataset</x:v>
      </x:c>
      <x:c r="J198" s="5" t="str"/>
      <x:c r="K198" s="5" t="str">
        <x:v>10.2139/ssrn.7536676</x:v>
      </x:c>
      <x:c r="L198" s="5" t="str"/>
      <x:c r="M198" s="5" t="str">
        <x:v>https://www.ssrn.com/abstract=7536676</x:v>
      </x:c>
      <x:c r="N198" s="5" t="str">
        <x:v>https://doi.org/10.2139/ssrn.7536676</x:v>
      </x:c>
      <x:c r="O198" s="5" t="str">
        <x:v>Not extracted</x:v>
      </x:c>
      <x:c r="P198" s="5" t="str">
        <x:v>Not extracted</x:v>
      </x:c>
      <x:c r="Q198" s="5" t="str">
        <x:v>Not extracted</x:v>
      </x:c>
      <x:c r="R198" s="5" t="str">
        <x:v>Not extracted</x:v>
      </x:c>
      <x:c r="S198" s="5" t="str">
        <x:v>Unassigned</x:v>
      </x:c>
      <x:c r="T198" s="5" t="str">
        <x:v>Unassigned</x:v>
      </x:c>
      <x:c r="U198" s="5" t="str"/>
      <x:c r="V198" s="5" t="str"/>
      <x:c r="W198" s="5" t="str">
        <x:v>Not extracted</x:v>
      </x:c>
      <x:c r="X198" s="5" t="str">
        <x:v>Pending eligibility screening</x:v>
      </x:c>
      <x:c r="Y198" s="5" t="str">
        <x:v>rajalakshmi2026_C0266</x:v>
      </x:c>
      <x:c r="Z198" s="5" t="str">
        <x:v>Generated; needs verification</x:v>
      </x:c>
      <x:c r="AA198" s="5" t="str">
        <x:v>No manuscript yet</x:v>
      </x:c>
      <x:c r="AB198" s="5" t="str">
        <x:v>No</x:v>
      </x:c>
      <x:c r="AC198" s="5" t="str">
        <x:v>Not checked</x:v>
      </x:c>
      <x:c r="AD198" s="5" t="str">
        <x:v>Unscreened</x:v>
      </x:c>
      <x:c r="AE198" s="5" t="str">
        <x:v>Not linked</x:v>
      </x:c>
      <x:c r="AF198" s="5" t="str">
        <x:v>S15</x:v>
      </x:c>
      <x:c r="AG198" s="5" t="str">
        <x:v>Crossref REST API</x:v>
      </x:c>
      <x:c r="AH198" s="5" t="str">
        <x:v>Preprint / repository record</x:v>
      </x:c>
      <x:c r="AI198" s="5" t="str">
        <x:v>Metadata only</x:v>
      </x:c>
      <x:c r="AJ198" s="5" t="str">
        <x:v>Verified against deposited metadata; publisher citation check pending</x:v>
      </x:c>
      <x:c r="AK198" s="5" t="str">
        <x:v>posted-content</x:v>
      </x:c>
      <x:c r="AL198" s="5" t="str">
        <x:v>Title-scope candidate</x:v>
      </x:c>
      <x:c r="AM198" s="5" t="str">
        <x:v>review-paper/search-strategy/runs/PILOT-20261013-01/S15.json</x:v>
      </x:c>
      <x:c r="AN198" s="8" t="d">
        <x:v>2026-10-13T00:00:00.000Z</x:v>
      </x:c>
    </x:row>
    <x:row r="199" ht="68" customHeight="1">
      <x:c r="A199" s="5" t="str">
        <x:v>C0267</x:v>
      </x:c>
      <x:c r="B199" s="5" t="str">
        <x:v>Unassigned</x:v>
      </x:c>
      <x:c r="C199" s="5" t="str">
        <x:v>Unassigned</x:v>
      </x:c>
      <x:c r="D199" s="5" t="str">
        <x:v>Unassigned</x:v>
      </x:c>
      <x:c r="E199" s="5" t="str">
        <x:v>Unassigned</x:v>
      </x:c>
      <x:c r="F199" s="5" t="str">
        <x:v>Yuhao Li; Zhangji Lu</x:v>
      </x:c>
      <x:c r="G199" s="5" t="str">
        <x:v>Yuhao Li</x:v>
      </x:c>
      <x:c r="H199" s="5" t="n">
        <x:v>2026</x:v>
      </x:c>
      <x:c r="I199" s="5" t="str">
        <x:v>Generative AI-Driven Robustness Enhancement for Industrial Anomaly Detection in Complex Lighting Scenarios</x:v>
      </x:c>
      <x:c r="J199" s="5" t="str">
        <x:v>Proceedings of the International Conference on Artificial Intelligence and Advanced Autonomous Systems</x:v>
      </x:c>
      <x:c r="K199" s="5" t="str">
        <x:v>10.1145/3813723.3813742</x:v>
      </x:c>
      <x:c r="L199" s="5" t="str"/>
      <x:c r="M199" s="5" t="str">
        <x:v>https://dl.acm.org/doi/10.1145/3813723.3813742</x:v>
      </x:c>
      <x:c r="N199" s="5" t="str">
        <x:v>https://doi.org/10.1145/3813723.3813742</x:v>
      </x:c>
      <x:c r="O199" s="5" t="str">
        <x:v>Not extracted</x:v>
      </x:c>
      <x:c r="P199" s="5" t="str">
        <x:v>Not extracted</x:v>
      </x:c>
      <x:c r="Q199" s="5" t="str">
        <x:v>Not extracted</x:v>
      </x:c>
      <x:c r="R199" s="5" t="str">
        <x:v>Not extracted</x:v>
      </x:c>
      <x:c r="S199" s="5" t="str">
        <x:v>Unassigned</x:v>
      </x:c>
      <x:c r="T199" s="5" t="str">
        <x:v>Unassigned</x:v>
      </x:c>
      <x:c r="U199" s="5" t="str"/>
      <x:c r="V199" s="5" t="str"/>
      <x:c r="W199" s="5" t="str">
        <x:v>Not extracted</x:v>
      </x:c>
      <x:c r="X199" s="5" t="str">
        <x:v>Pending eligibility screening</x:v>
      </x:c>
      <x:c r="Y199" s="5" t="str">
        <x:v>li2026_C0267</x:v>
      </x:c>
      <x:c r="Z199" s="5" t="str">
        <x:v>Generated; needs verification</x:v>
      </x:c>
      <x:c r="AA199" s="5" t="str">
        <x:v>No manuscript yet</x:v>
      </x:c>
      <x:c r="AB199" s="5" t="str">
        <x:v>No</x:v>
      </x:c>
      <x:c r="AC199" s="5" t="str">
        <x:v>Not checked</x:v>
      </x:c>
      <x:c r="AD199" s="5" t="str">
        <x:v>Unscreened</x:v>
      </x:c>
      <x:c r="AE199" s="5" t="str">
        <x:v>Not linked</x:v>
      </x:c>
      <x:c r="AF199" s="5" t="str">
        <x:v>S15</x:v>
      </x:c>
      <x:c r="AG199" s="5" t="str">
        <x:v>Crossref REST API</x:v>
      </x:c>
      <x:c r="AH199" s="5" t="str">
        <x:v>Journal / conference record; peer review not audited</x:v>
      </x:c>
      <x:c r="AI199" s="5" t="str">
        <x:v>Metadata only</x:v>
      </x:c>
      <x:c r="AJ199" s="5" t="str">
        <x:v>Verified against deposited metadata; publisher citation check pending</x:v>
      </x:c>
      <x:c r="AK199" s="5" t="str">
        <x:v>proceedings-article</x:v>
      </x:c>
      <x:c r="AL199" s="5" t="str">
        <x:v>Title-scope candidate</x:v>
      </x:c>
      <x:c r="AM199" s="5" t="str">
        <x:v>review-paper/search-strategy/runs/PILOT-20261013-01/S15.json</x:v>
      </x:c>
      <x:c r="AN199" s="8" t="d">
        <x:v>2026-10-13T00:00:00.000Z</x:v>
      </x:c>
    </x:row>
    <x:row r="200" ht="53" customHeight="1">
      <x:c r="A200" s="5" t="str">
        <x:v>C0268</x:v>
      </x:c>
      <x:c r="B200" s="5" t="str">
        <x:v>Unassigned</x:v>
      </x:c>
      <x:c r="C200" s="5" t="str">
        <x:v>Unassigned</x:v>
      </x:c>
      <x:c r="D200" s="5" t="str">
        <x:v>Unassigned</x:v>
      </x:c>
      <x:c r="E200" s="5" t="str">
        <x:v>Unassigned</x:v>
      </x:c>
      <x:c r="F200" s="5" t="str">
        <x:v>Alireza Dehlaghi-Ghadim; Mahshid Helali Moghadam; Ali Balador; Hans Hansson</x:v>
      </x:c>
      <x:c r="G200" s="5" t="str">
        <x:v>Alireza Dehlaghi-Ghadim</x:v>
      </x:c>
      <x:c r="H200" s="5" t="n">
        <x:v>2023</x:v>
      </x:c>
      <x:c r="I200" s="5" t="str">
        <x:v>Anomaly Detection Dataset for Industrial Control Systems</x:v>
      </x:c>
      <x:c r="J200" s="5" t="str">
        <x:v>IEEE Access</x:v>
      </x:c>
      <x:c r="K200" s="5" t="str">
        <x:v>10.1109/access.2023.3320928</x:v>
      </x:c>
      <x:c r="L200" s="5" t="str"/>
      <x:c r="M200" s="5" t="str">
        <x:v>https://ieeexplore.ieee.org/document/10267968/</x:v>
      </x:c>
      <x:c r="N200" s="5" t="str">
        <x:v>https://doi.org/10.1109/access.2023.3320928</x:v>
      </x:c>
      <x:c r="O200" s="5" t="str">
        <x:v>Not extracted</x:v>
      </x:c>
      <x:c r="P200" s="5" t="str">
        <x:v>Not extracted</x:v>
      </x:c>
      <x:c r="Q200" s="5" t="str">
        <x:v>Not extracted</x:v>
      </x:c>
      <x:c r="R200" s="5" t="str">
        <x:v>Not extracted</x:v>
      </x:c>
      <x:c r="S200" s="5" t="str">
        <x:v>Unassigned</x:v>
      </x:c>
      <x:c r="T200" s="5" t="str">
        <x:v>Unassigned</x:v>
      </x:c>
      <x:c r="U200" s="5" t="str"/>
      <x:c r="V200" s="5" t="str"/>
      <x:c r="W200" s="5" t="str">
        <x:v>Not extracted</x:v>
      </x:c>
      <x:c r="X200" s="5" t="str">
        <x:v>Pending eligibility screening</x:v>
      </x:c>
      <x:c r="Y200" s="5" t="str">
        <x:v>dehlaghighadim2023_C0268</x:v>
      </x:c>
      <x:c r="Z200" s="5" t="str">
        <x:v>Generated; needs verification</x:v>
      </x:c>
      <x:c r="AA200" s="5" t="str">
        <x:v>No manuscript yet</x:v>
      </x:c>
      <x:c r="AB200" s="5" t="str">
        <x:v>No</x:v>
      </x:c>
      <x:c r="AC200" s="5" t="str">
        <x:v>Not checked</x:v>
      </x:c>
      <x:c r="AD200" s="5" t="str">
        <x:v>Unscreened</x:v>
      </x:c>
      <x:c r="AE200" s="5" t="str">
        <x:v>Not linked</x:v>
      </x:c>
      <x:c r="AF200" s="5" t="str">
        <x:v>S15</x:v>
      </x:c>
      <x:c r="AG200" s="5" t="str">
        <x:v>Crossref REST API</x:v>
      </x:c>
      <x:c r="AH200" s="5" t="str">
        <x:v>Journal / conference record; peer review not audited</x:v>
      </x:c>
      <x:c r="AI200" s="5" t="str">
        <x:v>Metadata only</x:v>
      </x:c>
      <x:c r="AJ200" s="5" t="str">
        <x:v>Verified against deposited metadata; publisher citation check pending</x:v>
      </x:c>
      <x:c r="AK200" s="5" t="str">
        <x:v>journal-article</x:v>
      </x:c>
      <x:c r="AL200" s="5" t="str">
        <x:v>Title-scope candidate</x:v>
      </x:c>
      <x:c r="AM200" s="5" t="str">
        <x:v>review-paper/search-strategy/runs/PILOT-20261013-01/S15.json</x:v>
      </x:c>
      <x:c r="AN200" s="8" t="d">
        <x:v>2026-10-13T00:00:00.000Z</x:v>
      </x:c>
    </x:row>
    <x:row r="201" ht="53" customHeight="1">
      <x:c r="A201" s="5" t="str">
        <x:v>C0276</x:v>
      </x:c>
      <x:c r="B201" s="5" t="str">
        <x:v>Unassigned</x:v>
      </x:c>
      <x:c r="C201" s="5" t="str">
        <x:v>Unassigned</x:v>
      </x:c>
      <x:c r="D201" s="5" t="str">
        <x:v>Unassigned</x:v>
      </x:c>
      <x:c r="E201" s="5" t="str">
        <x:v>Unassigned</x:v>
      </x:c>
      <x:c r="F201" s="5" t="str">
        <x:v>Dong-Hua ZHOU; Mu-Heng WEI; Xiao-Sheng SI</x:v>
      </x:c>
      <x:c r="G201" s="5" t="str">
        <x:v>Dong-Hua ZHOU</x:v>
      </x:c>
      <x:c r="H201" s="5" t="n">
        <x:v>2014</x:v>
      </x:c>
      <x:c r="I201" s="5" t="str">
        <x:v>A Survey on Anomaly Detection, Life Prediction and Maintenance Decision for Industrial Processes</x:v>
      </x:c>
      <x:c r="J201" s="5" t="str">
        <x:v>Acta Automatica Sinica</x:v>
      </x:c>
      <x:c r="K201" s="5" t="str">
        <x:v>10.3724/sp.j.1004.2013.00711</x:v>
      </x:c>
      <x:c r="L201" s="5" t="str"/>
      <x:c r="M201" s="5" t="str">
        <x:v>http://www.aas.net.cn/cn/article/doi/10.3724/SP.J.1004.2013.00711</x:v>
      </x:c>
      <x:c r="N201" s="5" t="str">
        <x:v>https://doi.org/10.3724/sp.j.1004.2013.00711</x:v>
      </x:c>
      <x:c r="O201" s="5" t="str">
        <x:v>Not extracted</x:v>
      </x:c>
      <x:c r="P201" s="5" t="str">
        <x:v>Not extracted</x:v>
      </x:c>
      <x:c r="Q201" s="5" t="str">
        <x:v>Not extracted</x:v>
      </x:c>
      <x:c r="R201" s="5" t="str">
        <x:v>Not extracted</x:v>
      </x:c>
      <x:c r="S201" s="5" t="str">
        <x:v>Unassigned</x:v>
      </x:c>
      <x:c r="T201" s="5" t="str">
        <x:v>Unassigned</x:v>
      </x:c>
      <x:c r="U201" s="5" t="str"/>
      <x:c r="V201" s="5" t="str"/>
      <x:c r="W201" s="5" t="str">
        <x:v>Not extracted</x:v>
      </x:c>
      <x:c r="X201" s="5" t="str">
        <x:v>Pending eligibility screening</x:v>
      </x:c>
      <x:c r="Y201" s="5" t="str">
        <x:v>zhou2014_C0276</x:v>
      </x:c>
      <x:c r="Z201" s="5" t="str">
        <x:v>Generated; needs verification</x:v>
      </x:c>
      <x:c r="AA201" s="5" t="str">
        <x:v>No manuscript yet</x:v>
      </x:c>
      <x:c r="AB201" s="5" t="str">
        <x:v>No</x:v>
      </x:c>
      <x:c r="AC201" s="5" t="str">
        <x:v>Not checked</x:v>
      </x:c>
      <x:c r="AD201" s="5" t="str">
        <x:v>Unscreened</x:v>
      </x:c>
      <x:c r="AE201" s="5" t="str">
        <x:v>Not linked</x:v>
      </x:c>
      <x:c r="AF201" s="5" t="str">
        <x:v>S02</x:v>
      </x:c>
      <x:c r="AG201" s="5" t="str">
        <x:v>Crossref REST API</x:v>
      </x:c>
      <x:c r="AH201" s="5" t="str">
        <x:v>Journal / conference record; peer review not audited</x:v>
      </x:c>
      <x:c r="AI201" s="5" t="str">
        <x:v>Metadata only</x:v>
      </x:c>
      <x:c r="AJ201" s="5" t="str">
        <x:v>Verified against deposited metadata; publisher citation check pending</x:v>
      </x:c>
      <x:c r="AK201" s="5" t="str">
        <x:v>journal-article</x:v>
      </x:c>
      <x:c r="AL201" s="5" t="str">
        <x:v>Title-scope candidate</x:v>
      </x:c>
      <x:c r="AM201" s="5" t="str">
        <x:v>review-paper/search-strategy/runs/PILOT-20261013-02/S02.json</x:v>
      </x:c>
      <x:c r="AN201" s="8" t="d">
        <x:v>2026-10-13T00:00:00.000Z</x:v>
      </x:c>
    </x:row>
    <x:row r="202" ht="53" customHeight="1">
      <x:c r="A202" s="5" t="str">
        <x:v>C0277</x:v>
      </x:c>
      <x:c r="B202" s="5" t="str">
        <x:v>Unassigned</x:v>
      </x:c>
      <x:c r="C202" s="5" t="str">
        <x:v>Unassigned</x:v>
      </x:c>
      <x:c r="D202" s="5" t="str">
        <x:v>Unassigned</x:v>
      </x:c>
      <x:c r="E202" s="5" t="str">
        <x:v>Unassigned</x:v>
      </x:c>
      <x:c r="F202" s="5" t="str"/>
      <x:c r="G202" s="5" t="str"/>
      <x:c r="H202" s="5" t="n">
        <x:v>2026</x:v>
      </x:c>
      <x:c r="I202" s="5" t="str">
        <x:v>Review for "Deep Variational Canonical Correlation Analysis for Intelligent Industrial Process Monitoring and Anomaly Detection"</x:v>
      </x:c>
      <x:c r="J202" s="5" t="str"/>
      <x:c r="K202" s="5" t="str">
        <x:v>10.1002/cjce.70391/v1/review1</x:v>
      </x:c>
      <x:c r="L202" s="5" t="str"/>
      <x:c r="M202" s="5" t="str">
        <x:v>https://www.webofscience.com/api/gateway/wos/peer-review/10.1002/CJCE.70391</x:v>
      </x:c>
      <x:c r="N202" s="5" t="str">
        <x:v>https://doi.org/10.1002/cjce.70391/v1/review1</x:v>
      </x:c>
      <x:c r="O202" s="5" t="str">
        <x:v>Not extracted</x:v>
      </x:c>
      <x:c r="P202" s="5" t="str">
        <x:v>Not extracted</x:v>
      </x:c>
      <x:c r="Q202" s="5" t="str">
        <x:v>Not extracted</x:v>
      </x:c>
      <x:c r="R202" s="5" t="str">
        <x:v>Not extracted</x:v>
      </x:c>
      <x:c r="S202" s="5" t="str">
        <x:v>Unassigned</x:v>
      </x:c>
      <x:c r="T202" s="5" t="str">
        <x:v>Unassigned</x:v>
      </x:c>
      <x:c r="U202" s="5" t="str"/>
      <x:c r="V202" s="5" t="str"/>
      <x:c r="W202" s="5" t="str">
        <x:v>Not extracted</x:v>
      </x:c>
      <x:c r="X202" s="5" t="str">
        <x:v>Pending eligibility screening</x:v>
      </x:c>
      <x:c r="Y202" s="5" t="str">
        <x:v>unknown2026_C0277</x:v>
      </x:c>
      <x:c r="Z202" s="5" t="str">
        <x:v>Incomplete metadata</x:v>
      </x:c>
      <x:c r="AA202" s="5" t="str">
        <x:v>No manuscript yet</x:v>
      </x:c>
      <x:c r="AB202" s="5" t="str">
        <x:v>No</x:v>
      </x:c>
      <x:c r="AC202" s="5" t="str">
        <x:v>Not checked</x:v>
      </x:c>
      <x:c r="AD202" s="5" t="str">
        <x:v>Unscreened</x:v>
      </x:c>
      <x:c r="AE202" s="5" t="str">
        <x:v>Not linked</x:v>
      </x:c>
      <x:c r="AF202" s="5" t="str">
        <x:v>S02</x:v>
      </x:c>
      <x:c r="AG202" s="5" t="str">
        <x:v>Crossref REST API</x:v>
      </x:c>
      <x:c r="AH202" s="5" t="str">
        <x:v>Publication status unverified</x:v>
      </x:c>
      <x:c r="AI202" s="5" t="str">
        <x:v>Metadata only</x:v>
      </x:c>
      <x:c r="AJ202" s="5" t="str">
        <x:v>Verified against deposited metadata; publisher citation check pending</x:v>
      </x:c>
      <x:c r="AK202" s="5" t="str">
        <x:v>peer-review</x:v>
      </x:c>
      <x:c r="AL202" s="5" t="str">
        <x:v>Title-scope candidate</x:v>
      </x:c>
      <x:c r="AM202" s="5" t="str">
        <x:v>review-paper/search-strategy/runs/PILOT-20261013-02/S02.json</x:v>
      </x:c>
      <x:c r="AN202" s="8" t="d">
        <x:v>2026-10-13T00:00:00.000Z</x:v>
      </x:c>
    </x:row>
    <x:row r="203" ht="53" customHeight="1">
      <x:c r="A203" s="5" t="str">
        <x:v>C0278</x:v>
      </x:c>
      <x:c r="B203" s="5" t="str">
        <x:v>Unassigned</x:v>
      </x:c>
      <x:c r="C203" s="5" t="str">
        <x:v>Unassigned</x:v>
      </x:c>
      <x:c r="D203" s="5" t="str">
        <x:v>Unassigned</x:v>
      </x:c>
      <x:c r="E203" s="5" t="str">
        <x:v>Unassigned</x:v>
      </x:c>
      <x:c r="F203" s="5" t="str"/>
      <x:c r="G203" s="5" t="str"/>
      <x:c r="H203" s="5" t="n">
        <x:v>2026</x:v>
      </x:c>
      <x:c r="I203" s="5" t="str">
        <x:v>Review for "Deep Variational Canonical Correlation Analysis for Intelligent Industrial Process Monitoring and Anomaly Detection"</x:v>
      </x:c>
      <x:c r="J203" s="5" t="str"/>
      <x:c r="K203" s="5" t="str">
        <x:v>10.1002/cjce.70391/v1/review2</x:v>
      </x:c>
      <x:c r="L203" s="5" t="str"/>
      <x:c r="M203" s="5" t="str">
        <x:v>https://www.webofscience.com/api/gateway/wos/peer-review/10.1002/CJCE.70391</x:v>
      </x:c>
      <x:c r="N203" s="5" t="str">
        <x:v>https://doi.org/10.1002/cjce.70391/v1/review2</x:v>
      </x:c>
      <x:c r="O203" s="5" t="str">
        <x:v>Not extracted</x:v>
      </x:c>
      <x:c r="P203" s="5" t="str">
        <x:v>Not extracted</x:v>
      </x:c>
      <x:c r="Q203" s="5" t="str">
        <x:v>Not extracted</x:v>
      </x:c>
      <x:c r="R203" s="5" t="str">
        <x:v>Not extracted</x:v>
      </x:c>
      <x:c r="S203" s="5" t="str">
        <x:v>Unassigned</x:v>
      </x:c>
      <x:c r="T203" s="5" t="str">
        <x:v>Unassigned</x:v>
      </x:c>
      <x:c r="U203" s="5" t="str"/>
      <x:c r="V203" s="5" t="str"/>
      <x:c r="W203" s="5" t="str">
        <x:v>Not extracted</x:v>
      </x:c>
      <x:c r="X203" s="5" t="str">
        <x:v>Pending eligibility screening</x:v>
      </x:c>
      <x:c r="Y203" s="5" t="str">
        <x:v>unknown2026_C0278</x:v>
      </x:c>
      <x:c r="Z203" s="5" t="str">
        <x:v>Incomplete metadata</x:v>
      </x:c>
      <x:c r="AA203" s="5" t="str">
        <x:v>No manuscript yet</x:v>
      </x:c>
      <x:c r="AB203" s="5" t="str">
        <x:v>No</x:v>
      </x:c>
      <x:c r="AC203" s="5" t="str">
        <x:v>Not checked</x:v>
      </x:c>
      <x:c r="AD203" s="5" t="str">
        <x:v>Unscreened</x:v>
      </x:c>
      <x:c r="AE203" s="5" t="str">
        <x:v>Not linked</x:v>
      </x:c>
      <x:c r="AF203" s="5" t="str">
        <x:v>S02</x:v>
      </x:c>
      <x:c r="AG203" s="5" t="str">
        <x:v>Crossref REST API</x:v>
      </x:c>
      <x:c r="AH203" s="5" t="str">
        <x:v>Publication status unverified</x:v>
      </x:c>
      <x:c r="AI203" s="5" t="str">
        <x:v>Metadata only</x:v>
      </x:c>
      <x:c r="AJ203" s="5" t="str">
        <x:v>Verified against deposited metadata; publisher citation check pending</x:v>
      </x:c>
      <x:c r="AK203" s="5" t="str">
        <x:v>peer-review</x:v>
      </x:c>
      <x:c r="AL203" s="5" t="str">
        <x:v>Title-scope candidate</x:v>
      </x:c>
      <x:c r="AM203" s="5" t="str">
        <x:v>review-paper/search-strategy/runs/PILOT-20261013-02/S02.json</x:v>
      </x:c>
      <x:c r="AN203" s="8" t="d">
        <x:v>2026-10-13T00:00:00.000Z</x:v>
      </x:c>
    </x:row>
    <x:row r="204" ht="53" customHeight="1">
      <x:c r="A204" s="5" t="str">
        <x:v>C0279</x:v>
      </x:c>
      <x:c r="B204" s="5" t="str">
        <x:v>Unassigned</x:v>
      </x:c>
      <x:c r="C204" s="5" t="str">
        <x:v>Unassigned</x:v>
      </x:c>
      <x:c r="D204" s="5" t="str">
        <x:v>Unassigned</x:v>
      </x:c>
      <x:c r="E204" s="5" t="str">
        <x:v>Unassigned</x:v>
      </x:c>
      <x:c r="F204" s="5" t="str">
        <x:v>Ruipeng Zhang; Jiangyi Yin; Zhao Li; Qingyun Liu; Zhiquan Qi</x:v>
      </x:c>
      <x:c r="G204" s="5" t="str">
        <x:v>Ruipeng Zhang</x:v>
      </x:c>
      <x:c r="H204" s="5" t="n">
        <x:v>2026</x:v>
      </x:c>
      <x:c r="I204" s="5" t="str">
        <x:v>Industrial Visual Anomaly Synthesis: A Deployment-Oriented Survey</x:v>
      </x:c>
      <x:c r="J204" s="5" t="str">
        <x:v>IEEE Access</x:v>
      </x:c>
      <x:c r="K204" s="5" t="str">
        <x:v>10.1109/access.2026.3706950</x:v>
      </x:c>
      <x:c r="L204" s="5" t="str"/>
      <x:c r="M204" s="5" t="str">
        <x:v>https://ieeexplore.ieee.org/document/11577156/</x:v>
      </x:c>
      <x:c r="N204" s="5" t="str">
        <x:v>https://doi.org/10.1109/access.2026.3706950</x:v>
      </x:c>
      <x:c r="O204" s="5" t="str">
        <x:v>Not extracted</x:v>
      </x:c>
      <x:c r="P204" s="5" t="str">
        <x:v>Not extracted</x:v>
      </x:c>
      <x:c r="Q204" s="5" t="str">
        <x:v>Not extracted</x:v>
      </x:c>
      <x:c r="R204" s="5" t="str">
        <x:v>Not extracted</x:v>
      </x:c>
      <x:c r="S204" s="5" t="str">
        <x:v>Unassigned</x:v>
      </x:c>
      <x:c r="T204" s="5" t="str">
        <x:v>Unassigned</x:v>
      </x:c>
      <x:c r="U204" s="5" t="str"/>
      <x:c r="V204" s="5" t="str"/>
      <x:c r="W204" s="5" t="str">
        <x:v>Not extracted</x:v>
      </x:c>
      <x:c r="X204" s="5" t="str">
        <x:v>Pending eligibility screening</x:v>
      </x:c>
      <x:c r="Y204" s="5" t="str">
        <x:v>zhang2026_C0279</x:v>
      </x:c>
      <x:c r="Z204" s="5" t="str">
        <x:v>Generated; needs verification</x:v>
      </x:c>
      <x:c r="AA204" s="5" t="str">
        <x:v>No manuscript yet</x:v>
      </x:c>
      <x:c r="AB204" s="5" t="str">
        <x:v>No</x:v>
      </x:c>
      <x:c r="AC204" s="5" t="str">
        <x:v>Not checked</x:v>
      </x:c>
      <x:c r="AD204" s="5" t="str">
        <x:v>Unscreened</x:v>
      </x:c>
      <x:c r="AE204" s="5" t="str">
        <x:v>Not linked</x:v>
      </x:c>
      <x:c r="AF204" s="5" t="str">
        <x:v>S02</x:v>
      </x:c>
      <x:c r="AG204" s="5" t="str">
        <x:v>Crossref REST API</x:v>
      </x:c>
      <x:c r="AH204" s="5" t="str">
        <x:v>Journal / conference record; peer review not audited</x:v>
      </x:c>
      <x:c r="AI204" s="5" t="str">
        <x:v>Metadata only</x:v>
      </x:c>
      <x:c r="AJ204" s="5" t="str">
        <x:v>Verified against deposited metadata; publisher citation check pending</x:v>
      </x:c>
      <x:c r="AK204" s="5" t="str">
        <x:v>journal-article</x:v>
      </x:c>
      <x:c r="AL204" s="5" t="str">
        <x:v>Title-scope candidate</x:v>
      </x:c>
      <x:c r="AM204" s="5" t="str">
        <x:v>review-paper/search-strategy/runs/PILOT-20261013-02/S02.json</x:v>
      </x:c>
      <x:c r="AN204" s="8" t="d">
        <x:v>2026-10-13T00:00:00.000Z</x:v>
      </x:c>
    </x:row>
    <x:row r="205" ht="53" customHeight="1">
      <x:c r="A205" s="5" t="str">
        <x:v>C0280</x:v>
      </x:c>
      <x:c r="B205" s="5" t="str">
        <x:v>Unassigned</x:v>
      </x:c>
      <x:c r="C205" s="5" t="str">
        <x:v>Unassigned</x:v>
      </x:c>
      <x:c r="D205" s="5" t="str">
        <x:v>Unassigned</x:v>
      </x:c>
      <x:c r="E205" s="5" t="str">
        <x:v>Unassigned</x:v>
      </x:c>
      <x:c r="F205" s="5" t="str"/>
      <x:c r="G205" s="5" t="str"/>
      <x:c r="H205" s="5" t="n">
        <x:v>2026</x:v>
      </x:c>
      <x:c r="I205" s="5" t="str">
        <x:v>Review for "Deep Variational Canonical Correlation Analysis for Intelligent Industrial Process Monitoring and Anomaly Detection"</x:v>
      </x:c>
      <x:c r="J205" s="5" t="str"/>
      <x:c r="K205" s="5" t="str">
        <x:v>10.1002/cjce.70391/v1/review3</x:v>
      </x:c>
      <x:c r="L205" s="5" t="str"/>
      <x:c r="M205" s="5" t="str">
        <x:v>https://www.webofscience.com/api/gateway/wos/peer-review/10.1002/CJCE.70391</x:v>
      </x:c>
      <x:c r="N205" s="5" t="str">
        <x:v>https://doi.org/10.1002/cjce.70391/v1/review3</x:v>
      </x:c>
      <x:c r="O205" s="5" t="str">
        <x:v>Not extracted</x:v>
      </x:c>
      <x:c r="P205" s="5" t="str">
        <x:v>Not extracted</x:v>
      </x:c>
      <x:c r="Q205" s="5" t="str">
        <x:v>Not extracted</x:v>
      </x:c>
      <x:c r="R205" s="5" t="str">
        <x:v>Not extracted</x:v>
      </x:c>
      <x:c r="S205" s="5" t="str">
        <x:v>Unassigned</x:v>
      </x:c>
      <x:c r="T205" s="5" t="str">
        <x:v>Unassigned</x:v>
      </x:c>
      <x:c r="U205" s="5" t="str"/>
      <x:c r="V205" s="5" t="str"/>
      <x:c r="W205" s="5" t="str">
        <x:v>Not extracted</x:v>
      </x:c>
      <x:c r="X205" s="5" t="str">
        <x:v>Pending eligibility screening</x:v>
      </x:c>
      <x:c r="Y205" s="5" t="str">
        <x:v>unknown2026_C0280</x:v>
      </x:c>
      <x:c r="Z205" s="5" t="str">
        <x:v>Incomplete metadata</x:v>
      </x:c>
      <x:c r="AA205" s="5" t="str">
        <x:v>No manuscript yet</x:v>
      </x:c>
      <x:c r="AB205" s="5" t="str">
        <x:v>No</x:v>
      </x:c>
      <x:c r="AC205" s="5" t="str">
        <x:v>Not checked</x:v>
      </x:c>
      <x:c r="AD205" s="5" t="str">
        <x:v>Unscreened</x:v>
      </x:c>
      <x:c r="AE205" s="5" t="str">
        <x:v>Not linked</x:v>
      </x:c>
      <x:c r="AF205" s="5" t="str">
        <x:v>S02</x:v>
      </x:c>
      <x:c r="AG205" s="5" t="str">
        <x:v>Crossref REST API</x:v>
      </x:c>
      <x:c r="AH205" s="5" t="str">
        <x:v>Publication status unverified</x:v>
      </x:c>
      <x:c r="AI205" s="5" t="str">
        <x:v>Metadata only</x:v>
      </x:c>
      <x:c r="AJ205" s="5" t="str">
        <x:v>Verified against deposited metadata; publisher citation check pending</x:v>
      </x:c>
      <x:c r="AK205" s="5" t="str">
        <x:v>peer-review</x:v>
      </x:c>
      <x:c r="AL205" s="5" t="str">
        <x:v>Title-scope candidate</x:v>
      </x:c>
      <x:c r="AM205" s="5" t="str">
        <x:v>review-paper/search-strategy/runs/PILOT-20261013-02/S02.json</x:v>
      </x:c>
      <x:c r="AN205" s="8" t="d">
        <x:v>2026-10-13T00:00:00.000Z</x:v>
      </x:c>
    </x:row>
    <x:row r="206" ht="53" customHeight="1">
      <x:c r="A206" s="5" t="str">
        <x:v>C0282</x:v>
      </x:c>
      <x:c r="B206" s="5" t="str">
        <x:v>Unassigned</x:v>
      </x:c>
      <x:c r="C206" s="5" t="str">
        <x:v>Unassigned</x:v>
      </x:c>
      <x:c r="D206" s="5" t="str">
        <x:v>Unassigned</x:v>
      </x:c>
      <x:c r="E206" s="5" t="str">
        <x:v>Unassigned</x:v>
      </x:c>
      <x:c r="F206" s="5" t="str">
        <x:v>Yajie Cui; Zhaoxiang Liu; Shiguo Lian</x:v>
      </x:c>
      <x:c r="G206" s="5" t="str">
        <x:v>Yajie Cui</x:v>
      </x:c>
      <x:c r="H206" s="5" t="n">
        <x:v>2023</x:v>
      </x:c>
      <x:c r="I206" s="5" t="str">
        <x:v>A Survey on Unsupervised Anomaly Detection Algorithms for Industrial Images</x:v>
      </x:c>
      <x:c r="J206" s="5" t="str">
        <x:v>IEEE Access</x:v>
      </x:c>
      <x:c r="K206" s="5" t="str">
        <x:v>10.1109/access.2023.3282993</x:v>
      </x:c>
      <x:c r="L206" s="5" t="str"/>
      <x:c r="M206" s="5" t="str">
        <x:v>https://ieeexplore.ieee.org/document/10144292/</x:v>
      </x:c>
      <x:c r="N206" s="5" t="str">
        <x:v>https://doi.org/10.1109/access.2023.3282993</x:v>
      </x:c>
      <x:c r="O206" s="5" t="str">
        <x:v>Not extracted</x:v>
      </x:c>
      <x:c r="P206" s="5" t="str">
        <x:v>Not extracted</x:v>
      </x:c>
      <x:c r="Q206" s="5" t="str">
        <x:v>Not extracted</x:v>
      </x:c>
      <x:c r="R206" s="5" t="str">
        <x:v>Not extracted</x:v>
      </x:c>
      <x:c r="S206" s="5" t="str">
        <x:v>Unassigned</x:v>
      </x:c>
      <x:c r="T206" s="5" t="str">
        <x:v>Unassigned</x:v>
      </x:c>
      <x:c r="U206" s="5" t="str"/>
      <x:c r="V206" s="5" t="str"/>
      <x:c r="W206" s="5" t="str">
        <x:v>Not extracted</x:v>
      </x:c>
      <x:c r="X206" s="5" t="str">
        <x:v>Pending eligibility screening</x:v>
      </x:c>
      <x:c r="Y206" s="5" t="str">
        <x:v>cui2023_C0282</x:v>
      </x:c>
      <x:c r="Z206" s="5" t="str">
        <x:v>Generated; needs verification</x:v>
      </x:c>
      <x:c r="AA206" s="5" t="str">
        <x:v>No manuscript yet</x:v>
      </x:c>
      <x:c r="AB206" s="5" t="str">
        <x:v>No</x:v>
      </x:c>
      <x:c r="AC206" s="5" t="str">
        <x:v>Not checked</x:v>
      </x:c>
      <x:c r="AD206" s="5" t="str">
        <x:v>Unscreened</x:v>
      </x:c>
      <x:c r="AE206" s="5" t="str">
        <x:v>Not linked</x:v>
      </x:c>
      <x:c r="AF206" s="5" t="str">
        <x:v>S02</x:v>
      </x:c>
      <x:c r="AG206" s="5" t="str">
        <x:v>Crossref REST API</x:v>
      </x:c>
      <x:c r="AH206" s="5" t="str">
        <x:v>Journal / conference record; peer review not audited</x:v>
      </x:c>
      <x:c r="AI206" s="5" t="str">
        <x:v>Metadata only</x:v>
      </x:c>
      <x:c r="AJ206" s="5" t="str">
        <x:v>Verified against deposited metadata; publisher citation check pending</x:v>
      </x:c>
      <x:c r="AK206" s="5" t="str">
        <x:v>journal-article</x:v>
      </x:c>
      <x:c r="AL206" s="5" t="str">
        <x:v>Title-scope candidate</x:v>
      </x:c>
      <x:c r="AM206" s="5" t="str">
        <x:v>review-paper/search-strategy/runs/PILOT-20261013-02/S02.json</x:v>
      </x:c>
      <x:c r="AN206" s="8" t="d">
        <x:v>2026-10-13T00:00:00.000Z</x:v>
      </x:c>
    </x:row>
    <x:row r="207" ht="53" customHeight="1">
      <x:c r="A207" s="5" t="str">
        <x:v>C0288</x:v>
      </x:c>
      <x:c r="B207" s="5" t="str">
        <x:v>Unassigned</x:v>
      </x:c>
      <x:c r="C207" s="5" t="str">
        <x:v>Unassigned</x:v>
      </x:c>
      <x:c r="D207" s="5" t="str">
        <x:v>Unassigned</x:v>
      </x:c>
      <x:c r="E207" s="5" t="str">
        <x:v>Unassigned</x:v>
      </x:c>
      <x:c r="F207" s="5" t="str">
        <x:v>E. D. Megaw; J. Richardson</x:v>
      </x:c>
      <x:c r="G207" s="5" t="str">
        <x:v>E. D. Megaw</x:v>
      </x:c>
      <x:c r="H207" s="5" t="n">
        <x:v>1976</x:v>
      </x:c>
      <x:c r="I207" s="5" t="str">
        <x:v>Visual search and industrial inspection</x:v>
      </x:c>
      <x:c r="J207" s="5" t="str">
        <x:v>PsycEXTRA Dataset</x:v>
      </x:c>
      <x:c r="K207" s="5" t="str">
        <x:v>10.1037/e573682012-011</x:v>
      </x:c>
      <x:c r="L207" s="5" t="str"/>
      <x:c r="M207" s="5" t="str">
        <x:v>https://doi.apa.org/doi/10.1037/e573682012-011</x:v>
      </x:c>
      <x:c r="N207" s="5" t="str">
        <x:v>https://doi.org/10.1037/e573682012-011</x:v>
      </x:c>
      <x:c r="O207" s="5" t="str">
        <x:v>Not extracted</x:v>
      </x:c>
      <x:c r="P207" s="5" t="str">
        <x:v>Not extracted</x:v>
      </x:c>
      <x:c r="Q207" s="5" t="str">
        <x:v>Not extracted</x:v>
      </x:c>
      <x:c r="R207" s="5" t="str">
        <x:v>Not extracted</x:v>
      </x:c>
      <x:c r="S207" s="5" t="str">
        <x:v>Unassigned</x:v>
      </x:c>
      <x:c r="T207" s="5" t="str">
        <x:v>Unassigned</x:v>
      </x:c>
      <x:c r="U207" s="5" t="str"/>
      <x:c r="V207" s="5" t="str"/>
      <x:c r="W207" s="5" t="str">
        <x:v>Not extracted</x:v>
      </x:c>
      <x:c r="X207" s="5" t="str">
        <x:v>Pending eligibility screening</x:v>
      </x:c>
      <x:c r="Y207" s="5" t="str">
        <x:v>megaw1976_C0288</x:v>
      </x:c>
      <x:c r="Z207" s="5" t="str">
        <x:v>Generated; needs verification</x:v>
      </x:c>
      <x:c r="AA207" s="5" t="str">
        <x:v>No manuscript yet</x:v>
      </x:c>
      <x:c r="AB207" s="5" t="str">
        <x:v>No</x:v>
      </x:c>
      <x:c r="AC207" s="5" t="str">
        <x:v>Not checked</x:v>
      </x:c>
      <x:c r="AD207" s="5" t="str">
        <x:v>Unscreened</x:v>
      </x:c>
      <x:c r="AE207" s="5" t="str">
        <x:v>Not linked</x:v>
      </x:c>
      <x:c r="AF207" s="5" t="str">
        <x:v>S06</x:v>
      </x:c>
      <x:c r="AG207" s="5" t="str">
        <x:v>Crossref REST API</x:v>
      </x:c>
      <x:c r="AH207" s="5" t="str">
        <x:v>Publication status unverified</x:v>
      </x:c>
      <x:c r="AI207" s="5" t="str">
        <x:v>Metadata only</x:v>
      </x:c>
      <x:c r="AJ207" s="5" t="str">
        <x:v>Verified against deposited metadata; publisher citation check pending</x:v>
      </x:c>
      <x:c r="AK207" s="5" t="str">
        <x:v>dataset</x:v>
      </x:c>
      <x:c r="AL207" s="5" t="str">
        <x:v>Title-scope candidate</x:v>
      </x:c>
      <x:c r="AM207" s="5" t="str">
        <x:v>review-paper/search-strategy/runs/PILOT-20261013-02/S06.json</x:v>
      </x:c>
      <x:c r="AN207" s="8" t="d">
        <x:v>2026-10-13T00:00:00.000Z</x:v>
      </x:c>
    </x:row>
    <x:row r="208" ht="53" customHeight="1">
      <x:c r="A208" s="5" t="str">
        <x:v>C0289</x:v>
      </x:c>
      <x:c r="B208" s="5" t="str">
        <x:v>Unassigned</x:v>
      </x:c>
      <x:c r="C208" s="5" t="str">
        <x:v>Unassigned</x:v>
      </x:c>
      <x:c r="D208" s="5" t="str">
        <x:v>Unassigned</x:v>
      </x:c>
      <x:c r="E208" s="5" t="str">
        <x:v>Unassigned</x:v>
      </x:c>
      <x:c r="F208" s="5" t="str"/>
      <x:c r="G208" s="5" t="str"/>
      <x:c r="H208" s="5" t="n">
        <x:v>1991</x:v>
      </x:c>
      <x:c r="I208" s="5" t="str">
        <x:v>Visual search in industrial inspection</x:v>
      </x:c>
      <x:c r="J208" s="5" t="str">
        <x:v>Applied Ergonomics</x:v>
      </x:c>
      <x:c r="K208" s="5" t="str">
        <x:v>10.1016/0003-6870(91)90172-e</x:v>
      </x:c>
      <x:c r="L208" s="5" t="str"/>
      <x:c r="M208" s="5" t="str">
        <x:v>https://linkinghub.elsevier.com/retrieve/pii/000368709190172E</x:v>
      </x:c>
      <x:c r="N208" s="5" t="str">
        <x:v>https://doi.org/10.1016/0003-6870(91)90172-e</x:v>
      </x:c>
      <x:c r="O208" s="5" t="str">
        <x:v>Not extracted</x:v>
      </x:c>
      <x:c r="P208" s="5" t="str">
        <x:v>Not extracted</x:v>
      </x:c>
      <x:c r="Q208" s="5" t="str">
        <x:v>Not extracted</x:v>
      </x:c>
      <x:c r="R208" s="5" t="str">
        <x:v>Not extracted</x:v>
      </x:c>
      <x:c r="S208" s="5" t="str">
        <x:v>Unassigned</x:v>
      </x:c>
      <x:c r="T208" s="5" t="str">
        <x:v>Unassigned</x:v>
      </x:c>
      <x:c r="U208" s="5" t="str"/>
      <x:c r="V208" s="5" t="str"/>
      <x:c r="W208" s="5" t="str">
        <x:v>Not extracted</x:v>
      </x:c>
      <x:c r="X208" s="5" t="str">
        <x:v>Pending eligibility screening</x:v>
      </x:c>
      <x:c r="Y208" s="5" t="str">
        <x:v>unknown1991_C0289</x:v>
      </x:c>
      <x:c r="Z208" s="5" t="str">
        <x:v>Incomplete metadata</x:v>
      </x:c>
      <x:c r="AA208" s="5" t="str">
        <x:v>No manuscript yet</x:v>
      </x:c>
      <x:c r="AB208" s="5" t="str">
        <x:v>No</x:v>
      </x:c>
      <x:c r="AC208" s="5" t="str">
        <x:v>Not checked</x:v>
      </x:c>
      <x:c r="AD208" s="5" t="str">
        <x:v>Unscreened</x:v>
      </x:c>
      <x:c r="AE208" s="5" t="str">
        <x:v>Not linked</x:v>
      </x:c>
      <x:c r="AF208" s="5" t="str">
        <x:v>S06</x:v>
      </x:c>
      <x:c r="AG208" s="5" t="str">
        <x:v>Crossref REST API</x:v>
      </x:c>
      <x:c r="AH208" s="5" t="str">
        <x:v>Journal / conference record; peer review not audited</x:v>
      </x:c>
      <x:c r="AI208" s="5" t="str">
        <x:v>Metadata only</x:v>
      </x:c>
      <x:c r="AJ208" s="5" t="str">
        <x:v>Verified against deposited metadata; publisher citation check pending</x:v>
      </x:c>
      <x:c r="AK208" s="5" t="str">
        <x:v>journal-article</x:v>
      </x:c>
      <x:c r="AL208" s="5" t="str">
        <x:v>Title-scope candidate</x:v>
      </x:c>
      <x:c r="AM208" s="5" t="str">
        <x:v>review-paper/search-strategy/runs/PILOT-20261013-02/S06.json</x:v>
      </x:c>
      <x:c r="AN208" s="8" t="d">
        <x:v>2026-10-13T00:00:00.000Z</x:v>
      </x:c>
    </x:row>
    <x:row r="209" ht="53" customHeight="1">
      <x:c r="A209" s="5" t="str">
        <x:v>C0290</x:v>
      </x:c>
      <x:c r="B209" s="5" t="str">
        <x:v>Unassigned</x:v>
      </x:c>
      <x:c r="C209" s="5" t="str">
        <x:v>Unassigned</x:v>
      </x:c>
      <x:c r="D209" s="5" t="str">
        <x:v>Unassigned</x:v>
      </x:c>
      <x:c r="E209" s="5" t="str">
        <x:v>Unassigned</x:v>
      </x:c>
      <x:c r="F209" s="5" t="str"/>
      <x:c r="G209" s="5" t="str"/>
      <x:c r="H209" s="5" t="n">
        <x:v>1977</x:v>
      </x:c>
      <x:c r="I209" s="5" t="str">
        <x:v>Visual search and industrial inspection</x:v>
      </x:c>
      <x:c r="J209" s="5" t="str">
        <x:v>Applied Ergonomics</x:v>
      </x:c>
      <x:c r="K209" s="5" t="str">
        <x:v>10.1016/0003-6870(77)90014-x</x:v>
      </x:c>
      <x:c r="L209" s="5" t="str"/>
      <x:c r="M209" s="5" t="str">
        <x:v>https://linkinghub.elsevier.com/retrieve/pii/000368707790014X</x:v>
      </x:c>
      <x:c r="N209" s="5" t="str">
        <x:v>https://doi.org/10.1016/0003-6870(77)90014-x</x:v>
      </x:c>
      <x:c r="O209" s="5" t="str">
        <x:v>Not extracted</x:v>
      </x:c>
      <x:c r="P209" s="5" t="str">
        <x:v>Not extracted</x:v>
      </x:c>
      <x:c r="Q209" s="5" t="str">
        <x:v>Not extracted</x:v>
      </x:c>
      <x:c r="R209" s="5" t="str">
        <x:v>Not extracted</x:v>
      </x:c>
      <x:c r="S209" s="5" t="str">
        <x:v>Unassigned</x:v>
      </x:c>
      <x:c r="T209" s="5" t="str">
        <x:v>Unassigned</x:v>
      </x:c>
      <x:c r="U209" s="5" t="str"/>
      <x:c r="V209" s="5" t="str"/>
      <x:c r="W209" s="5" t="str">
        <x:v>Not extracted</x:v>
      </x:c>
      <x:c r="X209" s="5" t="str">
        <x:v>Pending eligibility screening</x:v>
      </x:c>
      <x:c r="Y209" s="5" t="str">
        <x:v>unknown1977_C0290</x:v>
      </x:c>
      <x:c r="Z209" s="5" t="str">
        <x:v>Incomplete metadata</x:v>
      </x:c>
      <x:c r="AA209" s="5" t="str">
        <x:v>No manuscript yet</x:v>
      </x:c>
      <x:c r="AB209" s="5" t="str">
        <x:v>No</x:v>
      </x:c>
      <x:c r="AC209" s="5" t="str">
        <x:v>Not checked</x:v>
      </x:c>
      <x:c r="AD209" s="5" t="str">
        <x:v>Unscreened</x:v>
      </x:c>
      <x:c r="AE209" s="5" t="str">
        <x:v>Not linked</x:v>
      </x:c>
      <x:c r="AF209" s="5" t="str">
        <x:v>S06</x:v>
      </x:c>
      <x:c r="AG209" s="5" t="str">
        <x:v>Crossref REST API</x:v>
      </x:c>
      <x:c r="AH209" s="5" t="str">
        <x:v>Journal / conference record; peer review not audited</x:v>
      </x:c>
      <x:c r="AI209" s="5" t="str">
        <x:v>Metadata only</x:v>
      </x:c>
      <x:c r="AJ209" s="5" t="str">
        <x:v>Verified against deposited metadata; publisher citation check pending</x:v>
      </x:c>
      <x:c r="AK209" s="5" t="str">
        <x:v>journal-article</x:v>
      </x:c>
      <x:c r="AL209" s="5" t="str">
        <x:v>Title-scope candidate</x:v>
      </x:c>
      <x:c r="AM209" s="5" t="str">
        <x:v>review-paper/search-strategy/runs/PILOT-20261013-02/S06.json</x:v>
      </x:c>
      <x:c r="AN209" s="8" t="d">
        <x:v>2026-10-13T00:00:00.000Z</x:v>
      </x:c>
    </x:row>
    <x:row r="210" ht="53" customHeight="1">
      <x:c r="A210" s="5" t="str">
        <x:v>C0291</x:v>
      </x:c>
      <x:c r="B210" s="5" t="str">
        <x:v>Unassigned</x:v>
      </x:c>
      <x:c r="C210" s="5" t="str">
        <x:v>Unassigned</x:v>
      </x:c>
      <x:c r="D210" s="5" t="str">
        <x:v>Unassigned</x:v>
      </x:c>
      <x:c r="E210" s="5" t="str">
        <x:v>Unassigned</x:v>
      </x:c>
      <x:c r="F210" s="5" t="str">
        <x:v>Abhash Jain</x:v>
      </x:c>
      <x:c r="G210" s="5" t="str">
        <x:v>Abhash Jain</x:v>
      </x:c>
      <x:c r="H210" s="5" t="n">
        <x:v>2018</x:v>
      </x:c>
      <x:c r="I210" s="5" t="str">
        <x:v>AUTOMATION OF VISUAL INSPECTION USING IMAGE PROCESSING</x:v>
      </x:c>
      <x:c r="J210" s="5" t="str">
        <x:v>Industrial Engineering Journal</x:v>
      </x:c>
      <x:c r="K210" s="5" t="str">
        <x:v>10.26488/iej.11.2.1039</x:v>
      </x:c>
      <x:c r="L210" s="5" t="str"/>
      <x:c r="M210" s="5" t="str">
        <x:v>http://iiie-iej.ivyscientific.org/view-article?paper=1039</x:v>
      </x:c>
      <x:c r="N210" s="5" t="str">
        <x:v>https://doi.org/10.26488/iej.11.2.1039</x:v>
      </x:c>
      <x:c r="O210" s="5" t="str">
        <x:v>Not extracted</x:v>
      </x:c>
      <x:c r="P210" s="5" t="str">
        <x:v>Not extracted</x:v>
      </x:c>
      <x:c r="Q210" s="5" t="str">
        <x:v>Not extracted</x:v>
      </x:c>
      <x:c r="R210" s="5" t="str">
        <x:v>Not extracted</x:v>
      </x:c>
      <x:c r="S210" s="5" t="str">
        <x:v>Unassigned</x:v>
      </x:c>
      <x:c r="T210" s="5" t="str">
        <x:v>Unassigned</x:v>
      </x:c>
      <x:c r="U210" s="5" t="str"/>
      <x:c r="V210" s="5" t="str"/>
      <x:c r="W210" s="5" t="str">
        <x:v>Not extracted</x:v>
      </x:c>
      <x:c r="X210" s="5" t="str">
        <x:v>Pending eligibility screening</x:v>
      </x:c>
      <x:c r="Y210" s="5" t="str">
        <x:v>jain2018_C0291</x:v>
      </x:c>
      <x:c r="Z210" s="5" t="str">
        <x:v>Generated; needs verification</x:v>
      </x:c>
      <x:c r="AA210" s="5" t="str">
        <x:v>No manuscript yet</x:v>
      </x:c>
      <x:c r="AB210" s="5" t="str">
        <x:v>No</x:v>
      </x:c>
      <x:c r="AC210" s="5" t="str">
        <x:v>Not checked</x:v>
      </x:c>
      <x:c r="AD210" s="5" t="str">
        <x:v>Unscreened</x:v>
      </x:c>
      <x:c r="AE210" s="5" t="str">
        <x:v>Not linked</x:v>
      </x:c>
      <x:c r="AF210" s="5" t="str">
        <x:v>S06</x:v>
      </x:c>
      <x:c r="AG210" s="5" t="str">
        <x:v>Crossref REST API</x:v>
      </x:c>
      <x:c r="AH210" s="5" t="str">
        <x:v>Journal / conference record; peer review not audited</x:v>
      </x:c>
      <x:c r="AI210" s="5" t="str">
        <x:v>Metadata only</x:v>
      </x:c>
      <x:c r="AJ210" s="5" t="str">
        <x:v>Verified against deposited metadata; publisher citation check pending</x:v>
      </x:c>
      <x:c r="AK210" s="5" t="str">
        <x:v>journal-article</x:v>
      </x:c>
      <x:c r="AL210" s="5" t="str">
        <x:v>Title-scope candidate</x:v>
      </x:c>
      <x:c r="AM210" s="5" t="str">
        <x:v>review-paper/search-strategy/runs/PILOT-20261013-02/S06.json</x:v>
      </x:c>
      <x:c r="AN210" s="8" t="d">
        <x:v>2026-10-13T00:00:00.000Z</x:v>
      </x:c>
    </x:row>
    <x:row r="211" ht="53" customHeight="1">
      <x:c r="A211" s="5" t="str">
        <x:v>C0293</x:v>
      </x:c>
      <x:c r="B211" s="5" t="str">
        <x:v>Unassigned</x:v>
      </x:c>
      <x:c r="C211" s="5" t="str">
        <x:v>Unassigned</x:v>
      </x:c>
      <x:c r="D211" s="5" t="str">
        <x:v>Unassigned</x:v>
      </x:c>
      <x:c r="E211" s="5" t="str">
        <x:v>Unassigned</x:v>
      </x:c>
      <x:c r="F211" s="5" t="str">
        <x:v>Roland T. Chin</x:v>
      </x:c>
      <x:c r="G211" s="5" t="str">
        <x:v>Roland T. Chin</x:v>
      </x:c>
      <x:c r="H211" s="5" t="n">
        <x:v>1992</x:v>
      </x:c>
      <x:c r="I211" s="5" t="str">
        <x:v>Automated Visual Inspection Algorithms</x:v>
      </x:c>
      <x:c r="J211" s="5" t="str">
        <x:v>Computer Vision: Theory and Industrial Applications</x:v>
      </x:c>
      <x:c r="K211" s="5" t="str">
        <x:v>10.1007/978-3-642-48675-3_10</x:v>
      </x:c>
      <x:c r="L211" s="5" t="str"/>
      <x:c r="M211" s="5" t="str">
        <x:v>http://link.springer.com/10.1007/978-3-642-48675-3_10</x:v>
      </x:c>
      <x:c r="N211" s="5" t="str">
        <x:v>https://doi.org/10.1007/978-3-642-48675-3_10</x:v>
      </x:c>
      <x:c r="O211" s="5" t="str">
        <x:v>Not extracted</x:v>
      </x:c>
      <x:c r="P211" s="5" t="str">
        <x:v>Not extracted</x:v>
      </x:c>
      <x:c r="Q211" s="5" t="str">
        <x:v>Not extracted</x:v>
      </x:c>
      <x:c r="R211" s="5" t="str">
        <x:v>Not extracted</x:v>
      </x:c>
      <x:c r="S211" s="5" t="str">
        <x:v>Unassigned</x:v>
      </x:c>
      <x:c r="T211" s="5" t="str">
        <x:v>Unassigned</x:v>
      </x:c>
      <x:c r="U211" s="5" t="str"/>
      <x:c r="V211" s="5" t="str"/>
      <x:c r="W211" s="5" t="str">
        <x:v>Not extracted</x:v>
      </x:c>
      <x:c r="X211" s="5" t="str">
        <x:v>Pending eligibility screening</x:v>
      </x:c>
      <x:c r="Y211" s="5" t="str">
        <x:v>chin1992_C0293</x:v>
      </x:c>
      <x:c r="Z211" s="5" t="str">
        <x:v>Generated; needs verification</x:v>
      </x:c>
      <x:c r="AA211" s="5" t="str">
        <x:v>No manuscript yet</x:v>
      </x:c>
      <x:c r="AB211" s="5" t="str">
        <x:v>No</x:v>
      </x:c>
      <x:c r="AC211" s="5" t="str">
        <x:v>Not checked</x:v>
      </x:c>
      <x:c r="AD211" s="5" t="str">
        <x:v>Unscreened</x:v>
      </x:c>
      <x:c r="AE211" s="5" t="str">
        <x:v>Not linked</x:v>
      </x:c>
      <x:c r="AF211" s="5" t="str">
        <x:v>S06</x:v>
      </x:c>
      <x:c r="AG211" s="5" t="str">
        <x:v>Crossref REST API</x:v>
      </x:c>
      <x:c r="AH211" s="5" t="str">
        <x:v>Publication status unverified</x:v>
      </x:c>
      <x:c r="AI211" s="5" t="str">
        <x:v>Metadata only</x:v>
      </x:c>
      <x:c r="AJ211" s="5" t="str">
        <x:v>Verified against deposited metadata; publisher citation check pending</x:v>
      </x:c>
      <x:c r="AK211" s="5" t="str">
        <x:v>book-chapter</x:v>
      </x:c>
      <x:c r="AL211" s="5" t="str">
        <x:v>Title-scope candidate</x:v>
      </x:c>
      <x:c r="AM211" s="5" t="str">
        <x:v>review-paper/search-strategy/runs/PILOT-20261013-02/S06.json</x:v>
      </x:c>
      <x:c r="AN211" s="8" t="d">
        <x:v>2026-10-13T00:00:00.000Z</x:v>
      </x:c>
    </x:row>
    <x:row r="212" ht="53" customHeight="1">
      <x:c r="A212" s="5" t="str">
        <x:v>C0294</x:v>
      </x:c>
      <x:c r="B212" s="5" t="str">
        <x:v>Unassigned</x:v>
      </x:c>
      <x:c r="C212" s="5" t="str">
        <x:v>Unassigned</x:v>
      </x:c>
      <x:c r="D212" s="5" t="str">
        <x:v>Unassigned</x:v>
      </x:c>
      <x:c r="E212" s="5" t="str">
        <x:v>Unassigned</x:v>
      </x:c>
      <x:c r="F212" s="5" t="str">
        <x:v>B.G. Batchelor</x:v>
      </x:c>
      <x:c r="G212" s="5" t="str">
        <x:v>B.G. Batchelor</x:v>
      </x:c>
      <x:c r="H212" s="5" t="n">
        <x:v>1978</x:v>
      </x:c>
      <x:c r="I212" s="5" t="str">
        <x:v>Automatic visual inspection in industry</x:v>
      </x:c>
      <x:c r="J212" s="5" t="str">
        <x:v>Industrial Robot: An International Journal</x:v>
      </x:c>
      <x:c r="K212" s="5" t="str">
        <x:v>10.1108/eb004740</x:v>
      </x:c>
      <x:c r="L212" s="5" t="str"/>
      <x:c r="M212" s="5" t="str">
        <x:v>http://www.emerald.com/ir/article/5/4/174-176/186702</x:v>
      </x:c>
      <x:c r="N212" s="5" t="str">
        <x:v>https://doi.org/10.1108/eb004740</x:v>
      </x:c>
      <x:c r="O212" s="5" t="str">
        <x:v>Not extracted</x:v>
      </x:c>
      <x:c r="P212" s="5" t="str">
        <x:v>Not extracted</x:v>
      </x:c>
      <x:c r="Q212" s="5" t="str">
        <x:v>Not extracted</x:v>
      </x:c>
      <x:c r="R212" s="5" t="str">
        <x:v>Not extracted</x:v>
      </x:c>
      <x:c r="S212" s="5" t="str">
        <x:v>Unassigned</x:v>
      </x:c>
      <x:c r="T212" s="5" t="str">
        <x:v>Unassigned</x:v>
      </x:c>
      <x:c r="U212" s="5" t="str"/>
      <x:c r="V212" s="5" t="str"/>
      <x:c r="W212" s="5" t="str">
        <x:v>Not extracted</x:v>
      </x:c>
      <x:c r="X212" s="5" t="str">
        <x:v>Pending eligibility screening</x:v>
      </x:c>
      <x:c r="Y212" s="5" t="str">
        <x:v>batchelor1978_C0294</x:v>
      </x:c>
      <x:c r="Z212" s="5" t="str">
        <x:v>Generated; needs verification</x:v>
      </x:c>
      <x:c r="AA212" s="5" t="str">
        <x:v>No manuscript yet</x:v>
      </x:c>
      <x:c r="AB212" s="5" t="str">
        <x:v>No</x:v>
      </x:c>
      <x:c r="AC212" s="5" t="str">
        <x:v>Not checked</x:v>
      </x:c>
      <x:c r="AD212" s="5" t="str">
        <x:v>Unscreened</x:v>
      </x:c>
      <x:c r="AE212" s="5" t="str">
        <x:v>Not linked</x:v>
      </x:c>
      <x:c r="AF212" s="5" t="str">
        <x:v>S06</x:v>
      </x:c>
      <x:c r="AG212" s="5" t="str">
        <x:v>Crossref REST API</x:v>
      </x:c>
      <x:c r="AH212" s="5" t="str">
        <x:v>Journal / conference record; peer review not audited</x:v>
      </x:c>
      <x:c r="AI212" s="5" t="str">
        <x:v>Metadata only</x:v>
      </x:c>
      <x:c r="AJ212" s="5" t="str">
        <x:v>Verified against deposited metadata; publisher citation check pending</x:v>
      </x:c>
      <x:c r="AK212" s="5" t="str">
        <x:v>journal-article</x:v>
      </x:c>
      <x:c r="AL212" s="5" t="str">
        <x:v>Title-scope candidate</x:v>
      </x:c>
      <x:c r="AM212" s="5" t="str">
        <x:v>review-paper/search-strategy/runs/PILOT-20261013-02/S06.json</x:v>
      </x:c>
      <x:c r="AN212" s="8" t="d">
        <x:v>2026-10-13T00:00:00.000Z</x:v>
      </x:c>
    </x:row>
    <x:row r="213" ht="53" customHeight="1">
      <x:c r="A213" s="5" t="str">
        <x:v>C0295</x:v>
      </x:c>
      <x:c r="B213" s="5" t="str">
        <x:v>Unassigned</x:v>
      </x:c>
      <x:c r="C213" s="5" t="str">
        <x:v>Unassigned</x:v>
      </x:c>
      <x:c r="D213" s="5" t="str">
        <x:v>Unassigned</x:v>
      </x:c>
      <x:c r="E213" s="5" t="str">
        <x:v>Unassigned</x:v>
      </x:c>
      <x:c r="F213" s="5" t="str">
        <x:v>Christian Demant; Bernd Streicher-Abel; Peter Waszkewitz</x:v>
      </x:c>
      <x:c r="G213" s="5" t="str">
        <x:v>Christian Demant</x:v>
      </x:c>
      <x:c r="H213" s="5" t="n">
        <x:v>1999</x:v>
      </x:c>
      <x:c r="I213" s="5" t="str">
        <x:v>Outlook: Visual Inspection Projects</x:v>
      </x:c>
      <x:c r="J213" s="5" t="str">
        <x:v>Industrial Image Processing</x:v>
      </x:c>
      <x:c r="K213" s="5" t="str">
        <x:v>10.1007/978-3-642-58550-0_11</x:v>
      </x:c>
      <x:c r="L213" s="5" t="str"/>
      <x:c r="M213" s="5" t="str">
        <x:v>http://link.springer.com/10.1007/978-3-642-58550-0_11</x:v>
      </x:c>
      <x:c r="N213" s="5" t="str">
        <x:v>https://doi.org/10.1007/978-3-642-58550-0_11</x:v>
      </x:c>
      <x:c r="O213" s="5" t="str">
        <x:v>Not extracted</x:v>
      </x:c>
      <x:c r="P213" s="5" t="str">
        <x:v>Not extracted</x:v>
      </x:c>
      <x:c r="Q213" s="5" t="str">
        <x:v>Not extracted</x:v>
      </x:c>
      <x:c r="R213" s="5" t="str">
        <x:v>Not extracted</x:v>
      </x:c>
      <x:c r="S213" s="5" t="str">
        <x:v>Unassigned</x:v>
      </x:c>
      <x:c r="T213" s="5" t="str">
        <x:v>Unassigned</x:v>
      </x:c>
      <x:c r="U213" s="5" t="str"/>
      <x:c r="V213" s="5" t="str"/>
      <x:c r="W213" s="5" t="str">
        <x:v>Not extracted</x:v>
      </x:c>
      <x:c r="X213" s="5" t="str">
        <x:v>Pending eligibility screening</x:v>
      </x:c>
      <x:c r="Y213" s="5" t="str">
        <x:v>demant1999_C0295</x:v>
      </x:c>
      <x:c r="Z213" s="5" t="str">
        <x:v>Generated; needs verification</x:v>
      </x:c>
      <x:c r="AA213" s="5" t="str">
        <x:v>No manuscript yet</x:v>
      </x:c>
      <x:c r="AB213" s="5" t="str">
        <x:v>No</x:v>
      </x:c>
      <x:c r="AC213" s="5" t="str">
        <x:v>Not checked</x:v>
      </x:c>
      <x:c r="AD213" s="5" t="str">
        <x:v>Unscreened</x:v>
      </x:c>
      <x:c r="AE213" s="5" t="str">
        <x:v>Not linked</x:v>
      </x:c>
      <x:c r="AF213" s="5" t="str">
        <x:v>S06</x:v>
      </x:c>
      <x:c r="AG213" s="5" t="str">
        <x:v>Crossref REST API</x:v>
      </x:c>
      <x:c r="AH213" s="5" t="str">
        <x:v>Publication status unverified</x:v>
      </x:c>
      <x:c r="AI213" s="5" t="str">
        <x:v>Metadata only</x:v>
      </x:c>
      <x:c r="AJ213" s="5" t="str">
        <x:v>Verified against deposited metadata; publisher citation check pending</x:v>
      </x:c>
      <x:c r="AK213" s="5" t="str">
        <x:v>book-chapter</x:v>
      </x:c>
      <x:c r="AL213" s="5" t="str">
        <x:v>Title-scope candidate</x:v>
      </x:c>
      <x:c r="AM213" s="5" t="str">
        <x:v>review-paper/search-strategy/runs/PILOT-20261013-02/S06.json</x:v>
      </x:c>
      <x:c r="AN213" s="8" t="d">
        <x:v>2026-10-13T00:00:00.000Z</x:v>
      </x:c>
    </x:row>
    <x:row r="214" ht="83" customHeight="1">
      <x:c r="A214" s="5" t="str">
        <x:v>C0296</x:v>
      </x:c>
      <x:c r="B214" s="5" t="str">
        <x:v>Unassigned</x:v>
      </x:c>
      <x:c r="C214" s="5" t="str">
        <x:v>Unassigned</x:v>
      </x:c>
      <x:c r="D214" s="5" t="str">
        <x:v>Unassigned</x:v>
      </x:c>
      <x:c r="E214" s="5" t="str">
        <x:v>Unassigned</x:v>
      </x:c>
      <x:c r="F214" s="5" t="str">
        <x:v>Warley Barbosa; Lucas Amaral; Tiago Vieira; Bruno Georgevich; Gustavo Melo</x:v>
      </x:c>
      <x:c r="G214" s="5" t="str">
        <x:v>Warley Barbosa</x:v>
      </x:c>
      <x:c r="H214" s="5" t="n">
        <x:v>2023</x:v>
      </x:c>
      <x:c r="I214" s="5" t="str">
        <x:v>Industrial Visual Defect Inspection of Electronic Components with Siamese Neural Network</x:v>
      </x:c>
      <x:c r="J214" s="5" t="str">
        <x:v>Proceedings of the 18th International Joint Conference on Computer Vision, Imaging and Computer Graphics Theory and Applications</x:v>
      </x:c>
      <x:c r="K214" s="5" t="str">
        <x:v>10.5220/0011696400003417</x:v>
      </x:c>
      <x:c r="L214" s="5" t="str"/>
      <x:c r="M214" s="5" t="str">
        <x:v>https://www.scitepress.org/DigitalLibrary/Link.aspx?doi=10.5220/0011696400003417</x:v>
      </x:c>
      <x:c r="N214" s="5" t="str">
        <x:v>https://doi.org/10.5220/0011696400003417</x:v>
      </x:c>
      <x:c r="O214" s="5" t="str">
        <x:v>Not extracted</x:v>
      </x:c>
      <x:c r="P214" s="5" t="str">
        <x:v>Not extracted</x:v>
      </x:c>
      <x:c r="Q214" s="5" t="str">
        <x:v>Not extracted</x:v>
      </x:c>
      <x:c r="R214" s="5" t="str">
        <x:v>Not extracted</x:v>
      </x:c>
      <x:c r="S214" s="5" t="str">
        <x:v>Unassigned</x:v>
      </x:c>
      <x:c r="T214" s="5" t="str">
        <x:v>Unassigned</x:v>
      </x:c>
      <x:c r="U214" s="5" t="str"/>
      <x:c r="V214" s="5" t="str"/>
      <x:c r="W214" s="5" t="str">
        <x:v>Not extracted</x:v>
      </x:c>
      <x:c r="X214" s="5" t="str">
        <x:v>Pending eligibility screening</x:v>
      </x:c>
      <x:c r="Y214" s="5" t="str">
        <x:v>barbosa2023_C0296</x:v>
      </x:c>
      <x:c r="Z214" s="5" t="str">
        <x:v>Generated; needs verification</x:v>
      </x:c>
      <x:c r="AA214" s="5" t="str">
        <x:v>No manuscript yet</x:v>
      </x:c>
      <x:c r="AB214" s="5" t="str">
        <x:v>No</x:v>
      </x:c>
      <x:c r="AC214" s="5" t="str">
        <x:v>Not checked</x:v>
      </x:c>
      <x:c r="AD214" s="5" t="str">
        <x:v>Unscreened</x:v>
      </x:c>
      <x:c r="AE214" s="5" t="str">
        <x:v>Not linked</x:v>
      </x:c>
      <x:c r="AF214" s="5" t="str">
        <x:v>S06; S11</x:v>
      </x:c>
      <x:c r="AG214" s="5" t="str">
        <x:v>Crossref REST API</x:v>
      </x:c>
      <x:c r="AH214" s="5" t="str">
        <x:v>Journal / conference record; peer review not audited</x:v>
      </x:c>
      <x:c r="AI214" s="5" t="str">
        <x:v>Metadata only</x:v>
      </x:c>
      <x:c r="AJ214" s="5" t="str">
        <x:v>Verified against deposited metadata; publisher citation check pending</x:v>
      </x:c>
      <x:c r="AK214" s="5" t="str">
        <x:v>proceedings-article</x:v>
      </x:c>
      <x:c r="AL214" s="5" t="str">
        <x:v>Title-scope candidate</x:v>
      </x:c>
      <x:c r="AM214" s="5" t="str">
        <x:v>review-paper/search-strategy/runs/PILOT-20261013-02/S06.json</x:v>
      </x:c>
      <x:c r="AN214" s="8" t="d">
        <x:v>2026-10-13T00:00:00.000Z</x:v>
      </x:c>
    </x:row>
    <x:row r="215" ht="53" customHeight="1">
      <x:c r="A215" s="5" t="str">
        <x:v>C0298</x:v>
      </x:c>
      <x:c r="B215" s="5" t="str">
        <x:v>Unassigned</x:v>
      </x:c>
      <x:c r="C215" s="5" t="str">
        <x:v>Unassigned</x:v>
      </x:c>
      <x:c r="D215" s="5" t="str">
        <x:v>Unassigned</x:v>
      </x:c>
      <x:c r="E215" s="5" t="str">
        <x:v>Unassigned</x:v>
      </x:c>
      <x:c r="F215" s="5" t="str">
        <x:v>I. Morishita; M. Okumura</x:v>
      </x:c>
      <x:c r="G215" s="5" t="str">
        <x:v>I. Morishita</x:v>
      </x:c>
      <x:c r="H215" s="5" t="n">
        <x:v>1983</x:v>
      </x:c>
      <x:c r="I215" s="5" t="str">
        <x:v>Automated visual inspection systems for industrial applications</x:v>
      </x:c>
      <x:c r="J215" s="5" t="str">
        <x:v>Measurement</x:v>
      </x:c>
      <x:c r="K215" s="5" t="str">
        <x:v>10.1016/s0263-2241(83)80012-8</x:v>
      </x:c>
      <x:c r="L215" s="5" t="str"/>
      <x:c r="M215" s="5" t="str">
        <x:v>https://linkinghub.elsevier.com/retrieve/pii/S0263224183800128</x:v>
      </x:c>
      <x:c r="N215" s="5" t="str">
        <x:v>https://doi.org/10.1016/s0263-2241(83)80012-8</x:v>
      </x:c>
      <x:c r="O215" s="5" t="str">
        <x:v>Not extracted</x:v>
      </x:c>
      <x:c r="P215" s="5" t="str">
        <x:v>Not extracted</x:v>
      </x:c>
      <x:c r="Q215" s="5" t="str">
        <x:v>Not extracted</x:v>
      </x:c>
      <x:c r="R215" s="5" t="str">
        <x:v>Not extracted</x:v>
      </x:c>
      <x:c r="S215" s="5" t="str">
        <x:v>Unassigned</x:v>
      </x:c>
      <x:c r="T215" s="5" t="str">
        <x:v>Unassigned</x:v>
      </x:c>
      <x:c r="U215" s="5" t="str"/>
      <x:c r="V215" s="5" t="str"/>
      <x:c r="W215" s="5" t="str">
        <x:v>Not extracted</x:v>
      </x:c>
      <x:c r="X215" s="5" t="str">
        <x:v>Pending eligibility screening</x:v>
      </x:c>
      <x:c r="Y215" s="5" t="str">
        <x:v>morishita1983_C0298</x:v>
      </x:c>
      <x:c r="Z215" s="5" t="str">
        <x:v>Generated; needs verification</x:v>
      </x:c>
      <x:c r="AA215" s="5" t="str">
        <x:v>No manuscript yet</x:v>
      </x:c>
      <x:c r="AB215" s="5" t="str">
        <x:v>No</x:v>
      </x:c>
      <x:c r="AC215" s="5" t="str">
        <x:v>Not checked</x:v>
      </x:c>
      <x:c r="AD215" s="5" t="str">
        <x:v>Unscreened</x:v>
      </x:c>
      <x:c r="AE215" s="5" t="str">
        <x:v>Not linked</x:v>
      </x:c>
      <x:c r="AF215" s="5" t="str">
        <x:v>S06</x:v>
      </x:c>
      <x:c r="AG215" s="5" t="str">
        <x:v>Crossref REST API</x:v>
      </x:c>
      <x:c r="AH215" s="5" t="str">
        <x:v>Journal / conference record; peer review not audited</x:v>
      </x:c>
      <x:c r="AI215" s="5" t="str">
        <x:v>Metadata only</x:v>
      </x:c>
      <x:c r="AJ215" s="5" t="str">
        <x:v>Verified against deposited metadata; publisher citation check pending</x:v>
      </x:c>
      <x:c r="AK215" s="5" t="str">
        <x:v>journal-article</x:v>
      </x:c>
      <x:c r="AL215" s="5" t="str">
        <x:v>Title-scope candidate</x:v>
      </x:c>
      <x:c r="AM215" s="5" t="str">
        <x:v>review-paper/search-strategy/runs/PILOT-20261013-02/S06.json</x:v>
      </x:c>
      <x:c r="AN215" s="8" t="d">
        <x:v>2026-10-13T00:00:00.000Z</x:v>
      </x:c>
    </x:row>
    <x:row r="216" ht="53" customHeight="1">
      <x:c r="A216" s="5" t="str">
        <x:v>C0300</x:v>
      </x:c>
      <x:c r="B216" s="5" t="str">
        <x:v>Unassigned</x:v>
      </x:c>
      <x:c r="C216" s="5" t="str">
        <x:v>Unassigned</x:v>
      </x:c>
      <x:c r="D216" s="5" t="str">
        <x:v>Unassigned</x:v>
      </x:c>
      <x:c r="E216" s="5" t="str">
        <x:v>Unassigned</x:v>
      </x:c>
      <x:c r="F216" s="5" t="str">
        <x:v>S. Hata</x:v>
      </x:c>
      <x:c r="G216" s="5" t="str">
        <x:v>S. Hata</x:v>
      </x:c>
      <x:c r="H216" s="5" t="n">
        <x:v>2011</x:v>
      </x:c>
      <x:c r="I216" s="5" t="str">
        <x:v>Structure of visual inspection system for IMS</x:v>
      </x:c>
      <x:c r="J216" s="5" t="str">
        <x:v>3rd IEEE International Symposium on Logistics and Industrial Informatics</x:v>
      </x:c>
      <x:c r="K216" s="5" t="str">
        <x:v>10.1109/lindi.2011.6031126</x:v>
      </x:c>
      <x:c r="L216" s="5" t="str"/>
      <x:c r="M216" s="5" t="str">
        <x:v>http://ieeexplore.ieee.org/document/6031126/</x:v>
      </x:c>
      <x:c r="N216" s="5" t="str">
        <x:v>https://doi.org/10.1109/lindi.2011.6031126</x:v>
      </x:c>
      <x:c r="O216" s="5" t="str">
        <x:v>Not extracted</x:v>
      </x:c>
      <x:c r="P216" s="5" t="str">
        <x:v>Not extracted</x:v>
      </x:c>
      <x:c r="Q216" s="5" t="str">
        <x:v>Not extracted</x:v>
      </x:c>
      <x:c r="R216" s="5" t="str">
        <x:v>Not extracted</x:v>
      </x:c>
      <x:c r="S216" s="5" t="str">
        <x:v>Unassigned</x:v>
      </x:c>
      <x:c r="T216" s="5" t="str">
        <x:v>Unassigned</x:v>
      </x:c>
      <x:c r="U216" s="5" t="str"/>
      <x:c r="V216" s="5" t="str"/>
      <x:c r="W216" s="5" t="str">
        <x:v>Not extracted</x:v>
      </x:c>
      <x:c r="X216" s="5" t="str">
        <x:v>Pending eligibility screening</x:v>
      </x:c>
      <x:c r="Y216" s="5" t="str">
        <x:v>hata2011_C0300</x:v>
      </x:c>
      <x:c r="Z216" s="5" t="str">
        <x:v>Generated; needs verification</x:v>
      </x:c>
      <x:c r="AA216" s="5" t="str">
        <x:v>No manuscript yet</x:v>
      </x:c>
      <x:c r="AB216" s="5" t="str">
        <x:v>No</x:v>
      </x:c>
      <x:c r="AC216" s="5" t="str">
        <x:v>Not checked</x:v>
      </x:c>
      <x:c r="AD216" s="5" t="str">
        <x:v>Unscreened</x:v>
      </x:c>
      <x:c r="AE216" s="5" t="str">
        <x:v>Not linked</x:v>
      </x:c>
      <x:c r="AF216" s="5" t="str">
        <x:v>S06</x:v>
      </x:c>
      <x:c r="AG216" s="5" t="str">
        <x:v>Crossref REST API</x:v>
      </x:c>
      <x:c r="AH216" s="5" t="str">
        <x:v>Journal / conference record; peer review not audited</x:v>
      </x:c>
      <x:c r="AI216" s="5" t="str">
        <x:v>Metadata only</x:v>
      </x:c>
      <x:c r="AJ216" s="5" t="str">
        <x:v>Verified against deposited metadata; publisher citation check pending</x:v>
      </x:c>
      <x:c r="AK216" s="5" t="str">
        <x:v>proceedings-article</x:v>
      </x:c>
      <x:c r="AL216" s="5" t="str">
        <x:v>Title-scope candidate</x:v>
      </x:c>
      <x:c r="AM216" s="5" t="str">
        <x:v>review-paper/search-strategy/runs/PILOT-20261013-02/S06.json</x:v>
      </x:c>
      <x:c r="AN216" s="8" t="d">
        <x:v>2026-10-13T00:00:00.000Z</x:v>
      </x:c>
    </x:row>
    <x:row r="217" ht="53" customHeight="1">
      <x:c r="A217" s="5" t="str">
        <x:v>C0301</x:v>
      </x:c>
      <x:c r="B217" s="5" t="str">
        <x:v>Unassigned</x:v>
      </x:c>
      <x:c r="C217" s="5" t="str">
        <x:v>Unassigned</x:v>
      </x:c>
      <x:c r="D217" s="5" t="str">
        <x:v>Unassigned</x:v>
      </x:c>
      <x:c r="E217" s="5" t="str">
        <x:v>Unassigned</x:v>
      </x:c>
      <x:c r="F217" s="5" t="str">
        <x:v>Ryan G. Rosandich</x:v>
      </x:c>
      <x:c r="G217" s="5" t="str">
        <x:v>Ryan G. Rosandich</x:v>
      </x:c>
      <x:c r="H217" s="5" t="n">
        <x:v>1997</x:v>
      </x:c>
      <x:c r="I217" s="5" t="str">
        <x:v>Intelligent visual inspection</x:v>
      </x:c>
      <x:c r="J217" s="5" t="str">
        <x:v>Intelligent Visual Inspection</x:v>
      </x:c>
      <x:c r="K217" s="5" t="str">
        <x:v>10.1007/978-1-4613-1201-7_2</x:v>
      </x:c>
      <x:c r="L217" s="5" t="str"/>
      <x:c r="M217" s="5" t="str">
        <x:v>http://link.springer.com/10.1007/978-1-4613-1201-7_2</x:v>
      </x:c>
      <x:c r="N217" s="5" t="str">
        <x:v>https://doi.org/10.1007/978-1-4613-1201-7_2</x:v>
      </x:c>
      <x:c r="O217" s="5" t="str">
        <x:v>Not extracted</x:v>
      </x:c>
      <x:c r="P217" s="5" t="str">
        <x:v>Not extracted</x:v>
      </x:c>
      <x:c r="Q217" s="5" t="str">
        <x:v>Not extracted</x:v>
      </x:c>
      <x:c r="R217" s="5" t="str">
        <x:v>Not extracted</x:v>
      </x:c>
      <x:c r="S217" s="5" t="str">
        <x:v>Unassigned</x:v>
      </x:c>
      <x:c r="T217" s="5" t="str">
        <x:v>Unassigned</x:v>
      </x:c>
      <x:c r="U217" s="5" t="str"/>
      <x:c r="V217" s="5" t="str"/>
      <x:c r="W217" s="5" t="str">
        <x:v>Not extracted</x:v>
      </x:c>
      <x:c r="X217" s="5" t="str">
        <x:v>Pending eligibility screening</x:v>
      </x:c>
      <x:c r="Y217" s="5" t="str">
        <x:v>rosandich1997_C0301</x:v>
      </x:c>
      <x:c r="Z217" s="5" t="str">
        <x:v>Generated; needs verification</x:v>
      </x:c>
      <x:c r="AA217" s="5" t="str">
        <x:v>No manuscript yet</x:v>
      </x:c>
      <x:c r="AB217" s="5" t="str">
        <x:v>No</x:v>
      </x:c>
      <x:c r="AC217" s="5" t="str">
        <x:v>Not checked</x:v>
      </x:c>
      <x:c r="AD217" s="5" t="str">
        <x:v>Unscreened</x:v>
      </x:c>
      <x:c r="AE217" s="5" t="str">
        <x:v>Not linked</x:v>
      </x:c>
      <x:c r="AF217" s="5" t="str">
        <x:v>S06</x:v>
      </x:c>
      <x:c r="AG217" s="5" t="str">
        <x:v>Crossref REST API</x:v>
      </x:c>
      <x:c r="AH217" s="5" t="str">
        <x:v>Publication status unverified</x:v>
      </x:c>
      <x:c r="AI217" s="5" t="str">
        <x:v>Metadata only</x:v>
      </x:c>
      <x:c r="AJ217" s="5" t="str">
        <x:v>Verified against deposited metadata; publisher citation check pending</x:v>
      </x:c>
      <x:c r="AK217" s="5" t="str">
        <x:v>book-chapter</x:v>
      </x:c>
      <x:c r="AL217" s="5" t="str">
        <x:v>Title-scope candidate</x:v>
      </x:c>
      <x:c r="AM217" s="5" t="str">
        <x:v>review-paper/search-strategy/runs/PILOT-20261013-02/S06.json</x:v>
      </x:c>
      <x:c r="AN217" s="8" t="d">
        <x:v>2026-10-13T00:00:00.000Z</x:v>
      </x:c>
    </x:row>
    <x:row r="218" ht="53" customHeight="1">
      <x:c r="A218" s="5" t="str">
        <x:v>C0305</x:v>
      </x:c>
      <x:c r="B218" s="5" t="str">
        <x:v>Unassigned</x:v>
      </x:c>
      <x:c r="C218" s="5" t="str">
        <x:v>Unassigned</x:v>
      </x:c>
      <x:c r="D218" s="5" t="str">
        <x:v>Unassigned</x:v>
      </x:c>
      <x:c r="E218" s="5" t="str">
        <x:v>Unassigned</x:v>
      </x:c>
      <x:c r="F218" s="5" t="str">
        <x:v>Ryan G. Rosandich</x:v>
      </x:c>
      <x:c r="G218" s="5" t="str">
        <x:v>Ryan G. Rosandich</x:v>
      </x:c>
      <x:c r="H218" s="5" t="n">
        <x:v>1997</x:v>
      </x:c>
      <x:c r="I218" s="5" t="str">
        <x:v>Automated visual inspection systems</x:v>
      </x:c>
      <x:c r="J218" s="5" t="str">
        <x:v>Intelligent Visual Inspection</x:v>
      </x:c>
      <x:c r="K218" s="5" t="str">
        <x:v>10.1007/978-1-4613-1201-7_11</x:v>
      </x:c>
      <x:c r="L218" s="5" t="str"/>
      <x:c r="M218" s="5" t="str">
        <x:v>http://link.springer.com/10.1007/978-1-4613-1201-7_11</x:v>
      </x:c>
      <x:c r="N218" s="5" t="str">
        <x:v>https://doi.org/10.1007/978-1-4613-1201-7_11</x:v>
      </x:c>
      <x:c r="O218" s="5" t="str">
        <x:v>Not extracted</x:v>
      </x:c>
      <x:c r="P218" s="5" t="str">
        <x:v>Not extracted</x:v>
      </x:c>
      <x:c r="Q218" s="5" t="str">
        <x:v>Not extracted</x:v>
      </x:c>
      <x:c r="R218" s="5" t="str">
        <x:v>Not extracted</x:v>
      </x:c>
      <x:c r="S218" s="5" t="str">
        <x:v>Unassigned</x:v>
      </x:c>
      <x:c r="T218" s="5" t="str">
        <x:v>Unassigned</x:v>
      </x:c>
      <x:c r="U218" s="5" t="str"/>
      <x:c r="V218" s="5" t="str"/>
      <x:c r="W218" s="5" t="str">
        <x:v>Not extracted</x:v>
      </x:c>
      <x:c r="X218" s="5" t="str">
        <x:v>Pending eligibility screening</x:v>
      </x:c>
      <x:c r="Y218" s="5" t="str">
        <x:v>rosandich1997_C0305</x:v>
      </x:c>
      <x:c r="Z218" s="5" t="str">
        <x:v>Generated; needs verification</x:v>
      </x:c>
      <x:c r="AA218" s="5" t="str">
        <x:v>No manuscript yet</x:v>
      </x:c>
      <x:c r="AB218" s="5" t="str">
        <x:v>No</x:v>
      </x:c>
      <x:c r="AC218" s="5" t="str">
        <x:v>Not checked</x:v>
      </x:c>
      <x:c r="AD218" s="5" t="str">
        <x:v>Unscreened</x:v>
      </x:c>
      <x:c r="AE218" s="5" t="str">
        <x:v>Not linked</x:v>
      </x:c>
      <x:c r="AF218" s="5" t="str">
        <x:v>S06</x:v>
      </x:c>
      <x:c r="AG218" s="5" t="str">
        <x:v>Crossref REST API</x:v>
      </x:c>
      <x:c r="AH218" s="5" t="str">
        <x:v>Publication status unverified</x:v>
      </x:c>
      <x:c r="AI218" s="5" t="str">
        <x:v>Metadata only</x:v>
      </x:c>
      <x:c r="AJ218" s="5" t="str">
        <x:v>Verified against deposited metadata; publisher citation check pending</x:v>
      </x:c>
      <x:c r="AK218" s="5" t="str">
        <x:v>book-chapter</x:v>
      </x:c>
      <x:c r="AL218" s="5" t="str">
        <x:v>Title-scope candidate</x:v>
      </x:c>
      <x:c r="AM218" s="5" t="str">
        <x:v>review-paper/search-strategy/runs/PILOT-20261013-02/S06.json</x:v>
      </x:c>
      <x:c r="AN218" s="8" t="d">
        <x:v>2026-10-13T00:00:00.000Z</x:v>
      </x:c>
    </x:row>
    <x:row r="219" ht="68" customHeight="1">
      <x:c r="A219" s="5" t="str">
        <x:v>C0306</x:v>
      </x:c>
      <x:c r="B219" s="5" t="str">
        <x:v>Unassigned</x:v>
      </x:c>
      <x:c r="C219" s="5" t="str">
        <x:v>Unassigned</x:v>
      </x:c>
      <x:c r="D219" s="5" t="str">
        <x:v>Unassigned</x:v>
      </x:c>
      <x:c r="E219" s="5" t="str">
        <x:v>Unassigned</x:v>
      </x:c>
      <x:c r="F219" s="5" t="str">
        <x:v>Arthur Parente; Eduardo Magalhães do Valle; Vilson Oliveira; Frank Choite Ikuno; Weslley Tapajos; Luiz Carlos Da Silva Garcia Junior; Alessandra Duarte Silva</x:v>
      </x:c>
      <x:c r="G219" s="5" t="str">
        <x:v>Arthur Parente</x:v>
      </x:c>
      <x:c r="H219" s="5" t="n">
        <x:v>2025</x:v>
      </x:c>
      <x:c r="I219" s="5" t="str">
        <x:v>COMPUTER VISION FOR AUTONOMOUS VISUAL INSPECTION IN INDUSTRIAL PRODUCTION LINES</x:v>
      </x:c>
      <x:c r="J219" s="5" t="str">
        <x:v>RECIMA21 - Revista Científica Multidisciplinar - ISSN 2675-6218</x:v>
      </x:c>
      <x:c r="K219" s="5" t="str">
        <x:v>10.47820/recima21.v6i3.6177</x:v>
      </x:c>
      <x:c r="L219" s="5" t="str"/>
      <x:c r="M219" s="5" t="str">
        <x:v>https://recima21.com.br/index.php/recima21/article/view/6177</x:v>
      </x:c>
      <x:c r="N219" s="5" t="str">
        <x:v>https://doi.org/10.47820/recima21.v6i3.6177</x:v>
      </x:c>
      <x:c r="O219" s="5" t="str">
        <x:v>Not extracted</x:v>
      </x:c>
      <x:c r="P219" s="5" t="str">
        <x:v>Not extracted</x:v>
      </x:c>
      <x:c r="Q219" s="5" t="str">
        <x:v>Not extracted</x:v>
      </x:c>
      <x:c r="R219" s="5" t="str">
        <x:v>Not extracted</x:v>
      </x:c>
      <x:c r="S219" s="5" t="str">
        <x:v>Unassigned</x:v>
      </x:c>
      <x:c r="T219" s="5" t="str">
        <x:v>Unassigned</x:v>
      </x:c>
      <x:c r="U219" s="5" t="str"/>
      <x:c r="V219" s="5" t="str"/>
      <x:c r="W219" s="5" t="str">
        <x:v>Not extracted</x:v>
      </x:c>
      <x:c r="X219" s="5" t="str">
        <x:v>Pending eligibility screening</x:v>
      </x:c>
      <x:c r="Y219" s="5" t="str">
        <x:v>parente2025_C0306</x:v>
      </x:c>
      <x:c r="Z219" s="5" t="str">
        <x:v>Generated; needs verification</x:v>
      </x:c>
      <x:c r="AA219" s="5" t="str">
        <x:v>No manuscript yet</x:v>
      </x:c>
      <x:c r="AB219" s="5" t="str">
        <x:v>No</x:v>
      </x:c>
      <x:c r="AC219" s="5" t="str">
        <x:v>Not checked</x:v>
      </x:c>
      <x:c r="AD219" s="5" t="str">
        <x:v>Unscreened</x:v>
      </x:c>
      <x:c r="AE219" s="5" t="str">
        <x:v>Not linked</x:v>
      </x:c>
      <x:c r="AF219" s="5" t="str">
        <x:v>S06</x:v>
      </x:c>
      <x:c r="AG219" s="5" t="str">
        <x:v>Crossref REST API</x:v>
      </x:c>
      <x:c r="AH219" s="5" t="str">
        <x:v>Journal / conference record; peer review not audited</x:v>
      </x:c>
      <x:c r="AI219" s="5" t="str">
        <x:v>Metadata only</x:v>
      </x:c>
      <x:c r="AJ219" s="5" t="str">
        <x:v>Verified against deposited metadata; publisher citation check pending</x:v>
      </x:c>
      <x:c r="AK219" s="5" t="str">
        <x:v>journal-article</x:v>
      </x:c>
      <x:c r="AL219" s="5" t="str">
        <x:v>Title-scope candidate</x:v>
      </x:c>
      <x:c r="AM219" s="5" t="str">
        <x:v>review-paper/search-strategy/runs/PILOT-20261013-02/S06.json</x:v>
      </x:c>
      <x:c r="AN219" s="8" t="d">
        <x:v>2026-10-13T00:00:00.000Z</x:v>
      </x:c>
    </x:row>
    <x:row r="220" ht="53" customHeight="1">
      <x:c r="A220" s="5" t="str">
        <x:v>C0307</x:v>
      </x:c>
      <x:c r="B220" s="5" t="str">
        <x:v>Unassigned</x:v>
      </x:c>
      <x:c r="C220" s="5" t="str">
        <x:v>Unassigned</x:v>
      </x:c>
      <x:c r="D220" s="5" t="str">
        <x:v>Unassigned</x:v>
      </x:c>
      <x:c r="E220" s="5" t="str">
        <x:v>Unassigned</x:v>
      </x:c>
      <x:c r="F220" s="5" t="str">
        <x:v>Xincong Yang; Runhao Guo; Heng Li</x:v>
      </x:c>
      <x:c r="G220" s="5" t="str">
        <x:v>Xincong Yang</x:v>
      </x:c>
      <x:c r="H220" s="5" t="n">
        <x:v>2023</x:v>
      </x:c>
      <x:c r="I220" s="5" t="str">
        <x:v>Comparison of multimodal RGB-thermal fusion techniques for exterior wall multi-defect detection</x:v>
      </x:c>
      <x:c r="J220" s="5" t="str">
        <x:v>Journal of Infrastructure Intelligence and Resilience</x:v>
      </x:c>
      <x:c r="K220" s="5" t="str">
        <x:v>10.1016/j.iintel.2023.100029</x:v>
      </x:c>
      <x:c r="L220" s="5" t="str"/>
      <x:c r="M220" s="5" t="str">
        <x:v>https://linkinghub.elsevier.com/retrieve/pii/S277299152300004X</x:v>
      </x:c>
      <x:c r="N220" s="5" t="str">
        <x:v>https://doi.org/10.1016/j.iintel.2023.100029</x:v>
      </x:c>
      <x:c r="O220" s="5" t="str">
        <x:v>Not extracted</x:v>
      </x:c>
      <x:c r="P220" s="5" t="str">
        <x:v>Not extracted</x:v>
      </x:c>
      <x:c r="Q220" s="5" t="str">
        <x:v>Not extracted</x:v>
      </x:c>
      <x:c r="R220" s="5" t="str">
        <x:v>Not extracted</x:v>
      </x:c>
      <x:c r="S220" s="5" t="str">
        <x:v>Unassigned</x:v>
      </x:c>
      <x:c r="T220" s="5" t="str">
        <x:v>Unassigned</x:v>
      </x:c>
      <x:c r="U220" s="5" t="str"/>
      <x:c r="V220" s="5" t="str"/>
      <x:c r="W220" s="5" t="str">
        <x:v>Not extracted</x:v>
      </x:c>
      <x:c r="X220" s="5" t="str">
        <x:v>Pending eligibility screening</x:v>
      </x:c>
      <x:c r="Y220" s="5" t="str">
        <x:v>yang2023_C0307</x:v>
      </x:c>
      <x:c r="Z220" s="5" t="str">
        <x:v>Generated; needs verification</x:v>
      </x:c>
      <x:c r="AA220" s="5" t="str">
        <x:v>No manuscript yet</x:v>
      </x:c>
      <x:c r="AB220" s="5" t="str">
        <x:v>No</x:v>
      </x:c>
      <x:c r="AC220" s="5" t="str">
        <x:v>Not checked</x:v>
      </x:c>
      <x:c r="AD220" s="5" t="str">
        <x:v>Unscreened</x:v>
      </x:c>
      <x:c r="AE220" s="5" t="str">
        <x:v>Not linked</x:v>
      </x:c>
      <x:c r="AF220" s="5" t="str">
        <x:v>S11</x:v>
      </x:c>
      <x:c r="AG220" s="5" t="str">
        <x:v>Crossref REST API</x:v>
      </x:c>
      <x:c r="AH220" s="5" t="str">
        <x:v>Journal / conference record; peer review not audited</x:v>
      </x:c>
      <x:c r="AI220" s="5" t="str">
        <x:v>Metadata only</x:v>
      </x:c>
      <x:c r="AJ220" s="5" t="str">
        <x:v>Verified against deposited metadata; publisher citation check pending</x:v>
      </x:c>
      <x:c r="AK220" s="5" t="str">
        <x:v>journal-article</x:v>
      </x:c>
      <x:c r="AL220" s="5" t="str">
        <x:v>Title-scope candidate</x:v>
      </x:c>
      <x:c r="AM220" s="5" t="str">
        <x:v>review-paper/search-strategy/runs/PILOT-20261013-02/S11.json</x:v>
      </x:c>
      <x:c r="AN220" s="8" t="d">
        <x:v>2026-10-13T00:00:00.000Z</x:v>
      </x:c>
    </x:row>
    <x:row r="221" ht="68" customHeight="1">
      <x:c r="A221" s="5" t="str">
        <x:v>C0309</x:v>
      </x:c>
      <x:c r="B221" s="5" t="str">
        <x:v>Unassigned</x:v>
      </x:c>
      <x:c r="C221" s="5" t="str">
        <x:v>Unassigned</x:v>
      </x:c>
      <x:c r="D221" s="5" t="str">
        <x:v>Unassigned</x:v>
      </x:c>
      <x:c r="E221" s="5" t="str">
        <x:v>Unassigned</x:v>
      </x:c>
      <x:c r="F221" s="5" t="str">
        <x:v>Somrawee Aramkul; Prompong Sugunnasil</x:v>
      </x:c>
      <x:c r="G221" s="5" t="str">
        <x:v>Somrawee Aramkul</x:v>
      </x:c>
      <x:c r="H221" s="5" t="n">
        <x:v>2026</x:v>
      </x:c>
      <x:c r="I221" s="5" t="str">
        <x:v>Multimodal Controllable Defect Synthesis via Diffusion-Based Generation for Industrial Surface Inspection: Bridging Data Scarcity Through Material-Aware Synthetic Data Generation</x:v>
      </x:c>
      <x:c r="J221" s="5" t="str">
        <x:v>IEEE Access</x:v>
      </x:c>
      <x:c r="K221" s="5" t="str">
        <x:v>10.1109/access.2026.3721567</x:v>
      </x:c>
      <x:c r="L221" s="5" t="str"/>
      <x:c r="M221" s="5" t="str">
        <x:v>https://ieeexplore.ieee.org/document/11644614/</x:v>
      </x:c>
      <x:c r="N221" s="5" t="str">
        <x:v>https://doi.org/10.1109/access.2026.3721567</x:v>
      </x:c>
      <x:c r="O221" s="5" t="str">
        <x:v>Not extracted</x:v>
      </x:c>
      <x:c r="P221" s="5" t="str">
        <x:v>Not extracted</x:v>
      </x:c>
      <x:c r="Q221" s="5" t="str">
        <x:v>Not extracted</x:v>
      </x:c>
      <x:c r="R221" s="5" t="str">
        <x:v>Not extracted</x:v>
      </x:c>
      <x:c r="S221" s="5" t="str">
        <x:v>Unassigned</x:v>
      </x:c>
      <x:c r="T221" s="5" t="str">
        <x:v>Unassigned</x:v>
      </x:c>
      <x:c r="U221" s="5" t="str"/>
      <x:c r="V221" s="5" t="str"/>
      <x:c r="W221" s="5" t="str">
        <x:v>Not extracted</x:v>
      </x:c>
      <x:c r="X221" s="5" t="str">
        <x:v>Pending eligibility screening</x:v>
      </x:c>
      <x:c r="Y221" s="5" t="str">
        <x:v>aramkul2026_C0309</x:v>
      </x:c>
      <x:c r="Z221" s="5" t="str">
        <x:v>Generated; needs verification</x:v>
      </x:c>
      <x:c r="AA221" s="5" t="str">
        <x:v>No manuscript yet</x:v>
      </x:c>
      <x:c r="AB221" s="5" t="str">
        <x:v>No</x:v>
      </x:c>
      <x:c r="AC221" s="5" t="str">
        <x:v>Not checked</x:v>
      </x:c>
      <x:c r="AD221" s="5" t="str">
        <x:v>Unscreened</x:v>
      </x:c>
      <x:c r="AE221" s="5" t="str">
        <x:v>Not linked</x:v>
      </x:c>
      <x:c r="AF221" s="5" t="str">
        <x:v>S11</x:v>
      </x:c>
      <x:c r="AG221" s="5" t="str">
        <x:v>Crossref REST API</x:v>
      </x:c>
      <x:c r="AH221" s="5" t="str">
        <x:v>Journal / conference record; peer review not audited</x:v>
      </x:c>
      <x:c r="AI221" s="5" t="str">
        <x:v>Metadata only</x:v>
      </x:c>
      <x:c r="AJ221" s="5" t="str">
        <x:v>Verified against deposited metadata; publisher citation check pending</x:v>
      </x:c>
      <x:c r="AK221" s="5" t="str">
        <x:v>journal-article</x:v>
      </x:c>
      <x:c r="AL221" s="5" t="str">
        <x:v>Title-scope candidate</x:v>
      </x:c>
      <x:c r="AM221" s="5" t="str">
        <x:v>review-paper/search-strategy/runs/PILOT-20261013-02/S11.json</x:v>
      </x:c>
      <x:c r="AN221" s="8" t="d">
        <x:v>2026-10-13T00:00:00.000Z</x:v>
      </x:c>
    </x:row>
    <x:row r="222" ht="53" customHeight="1">
      <x:c r="A222" s="5" t="str">
        <x:v>C0310</x:v>
      </x:c>
      <x:c r="B222" s="5" t="str">
        <x:v>Unassigned</x:v>
      </x:c>
      <x:c r="C222" s="5" t="str">
        <x:v>Unassigned</x:v>
      </x:c>
      <x:c r="D222" s="5" t="str">
        <x:v>Unassigned</x:v>
      </x:c>
      <x:c r="E222" s="5" t="str">
        <x:v>Unassigned</x:v>
      </x:c>
      <x:c r="F222" s="5" t="str">
        <x:v>Muhammed Zemzemoglu; Mustafa Unel</x:v>
      </x:c>
      <x:c r="G222" s="5" t="str">
        <x:v>Muhammed Zemzemoglu</x:v>
      </x:c>
      <x:c r="H222" s="5" t="n">
        <x:v>2024</x:v>
      </x:c>
      <x:c r="I222" s="5" t="str">
        <x:v>Thermal Inspection and Quality Assessment for AFP Processes via Automatic Defect Detection and Segmentation</x:v>
      </x:c>
      <x:c r="J222" s="5" t="str">
        <x:v>IECON 2024 - 50th Annual Conference of the IEEE Industrial Electronics Society</x:v>
      </x:c>
      <x:c r="K222" s="5" t="str">
        <x:v>10.1109/iecon55916.2024.10905789</x:v>
      </x:c>
      <x:c r="L222" s="5" t="str"/>
      <x:c r="M222" s="5" t="str">
        <x:v>https://ieeexplore.ieee.org/document/10905789/</x:v>
      </x:c>
      <x:c r="N222" s="5" t="str">
        <x:v>https://doi.org/10.1109/iecon55916.2024.10905789</x:v>
      </x:c>
      <x:c r="O222" s="5" t="str">
        <x:v>Not extracted</x:v>
      </x:c>
      <x:c r="P222" s="5" t="str">
        <x:v>Not extracted</x:v>
      </x:c>
      <x:c r="Q222" s="5" t="str">
        <x:v>Not extracted</x:v>
      </x:c>
      <x:c r="R222" s="5" t="str">
        <x:v>Not extracted</x:v>
      </x:c>
      <x:c r="S222" s="5" t="str">
        <x:v>Unassigned</x:v>
      </x:c>
      <x:c r="T222" s="5" t="str">
        <x:v>Unassigned</x:v>
      </x:c>
      <x:c r="U222" s="5" t="str"/>
      <x:c r="V222" s="5" t="str"/>
      <x:c r="W222" s="5" t="str">
        <x:v>Not extracted</x:v>
      </x:c>
      <x:c r="X222" s="5" t="str">
        <x:v>Pending eligibility screening</x:v>
      </x:c>
      <x:c r="Y222" s="5" t="str">
        <x:v>zemzemoglu2024_C0310</x:v>
      </x:c>
      <x:c r="Z222" s="5" t="str">
        <x:v>Generated; needs verification</x:v>
      </x:c>
      <x:c r="AA222" s="5" t="str">
        <x:v>No manuscript yet</x:v>
      </x:c>
      <x:c r="AB222" s="5" t="str">
        <x:v>No</x:v>
      </x:c>
      <x:c r="AC222" s="5" t="str">
        <x:v>Not checked</x:v>
      </x:c>
      <x:c r="AD222" s="5" t="str">
        <x:v>Unscreened</x:v>
      </x:c>
      <x:c r="AE222" s="5" t="str">
        <x:v>Not linked</x:v>
      </x:c>
      <x:c r="AF222" s="5" t="str">
        <x:v>S11</x:v>
      </x:c>
      <x:c r="AG222" s="5" t="str">
        <x:v>Crossref REST API</x:v>
      </x:c>
      <x:c r="AH222" s="5" t="str">
        <x:v>Journal / conference record; peer review not audited</x:v>
      </x:c>
      <x:c r="AI222" s="5" t="str">
        <x:v>Metadata only</x:v>
      </x:c>
      <x:c r="AJ222" s="5" t="str">
        <x:v>Verified against deposited metadata; publisher citation check pending</x:v>
      </x:c>
      <x:c r="AK222" s="5" t="str">
        <x:v>proceedings-article</x:v>
      </x:c>
      <x:c r="AL222" s="5" t="str">
        <x:v>Title-scope candidate</x:v>
      </x:c>
      <x:c r="AM222" s="5" t="str">
        <x:v>review-paper/search-strategy/runs/PILOT-20261013-02/S11.json</x:v>
      </x:c>
      <x:c r="AN222" s="8" t="d">
        <x:v>2026-10-13T00:00:00.000Z</x:v>
      </x:c>
    </x:row>
    <x:row r="223" ht="68" customHeight="1">
      <x:c r="A223" s="5" t="str">
        <x:v>C0311</x:v>
      </x:c>
      <x:c r="B223" s="5" t="str">
        <x:v>Unassigned</x:v>
      </x:c>
      <x:c r="C223" s="5" t="str">
        <x:v>Unassigned</x:v>
      </x:c>
      <x:c r="D223" s="5" t="str">
        <x:v>Unassigned</x:v>
      </x:c>
      <x:c r="E223" s="5" t="str">
        <x:v>Unassigned</x:v>
      </x:c>
      <x:c r="F223" s="5" t="str">
        <x:v>Jian Chen; Weiyang Yu; Haifeng Zhou; Jian Zhang; Xi Wang; Wenyang Xu; Ming Huang</x:v>
      </x:c>
      <x:c r="G223" s="5" t="str">
        <x:v>Jian Chen</x:v>
      </x:c>
      <x:c r="H223" s="5" t="n">
        <x:v>2021</x:v>
      </x:c>
      <x:c r="I223" s="5" t="str">
        <x:v>A multimodal method for defect characterization of large-aperture optics</x:v>
      </x:c>
      <x:c r="J223" s="5" t="str">
        <x:v>Optical Metrology and Inspection for Industrial Applications VIII</x:v>
      </x:c>
      <x:c r="K223" s="5" t="str">
        <x:v>10.1117/12.2603703</x:v>
      </x:c>
      <x:c r="L223" s="5" t="str"/>
      <x:c r="M223" s="5" t="str">
        <x:v>https://www.spiedigitallibrary.org/conference-proceedings-of-spie/11899/2603703/A-multimodal-method-for-defect-characterization-of-large-aperture-optics/10.1117/12.2603703.full</x:v>
      </x:c>
      <x:c r="N223" s="5" t="str">
        <x:v>https://doi.org/10.1117/12.2603703</x:v>
      </x:c>
      <x:c r="O223" s="5" t="str">
        <x:v>Not extracted</x:v>
      </x:c>
      <x:c r="P223" s="5" t="str">
        <x:v>Not extracted</x:v>
      </x:c>
      <x:c r="Q223" s="5" t="str">
        <x:v>Not extracted</x:v>
      </x:c>
      <x:c r="R223" s="5" t="str">
        <x:v>Not extracted</x:v>
      </x:c>
      <x:c r="S223" s="5" t="str">
        <x:v>Unassigned</x:v>
      </x:c>
      <x:c r="T223" s="5" t="str">
        <x:v>Unassigned</x:v>
      </x:c>
      <x:c r="U223" s="5" t="str"/>
      <x:c r="V223" s="5" t="str"/>
      <x:c r="W223" s="5" t="str">
        <x:v>Not extracted</x:v>
      </x:c>
      <x:c r="X223" s="5" t="str">
        <x:v>Pending eligibility screening</x:v>
      </x:c>
      <x:c r="Y223" s="5" t="str">
        <x:v>chen2021_C0311</x:v>
      </x:c>
      <x:c r="Z223" s="5" t="str">
        <x:v>Generated; needs verification</x:v>
      </x:c>
      <x:c r="AA223" s="5" t="str">
        <x:v>No manuscript yet</x:v>
      </x:c>
      <x:c r="AB223" s="5" t="str">
        <x:v>No</x:v>
      </x:c>
      <x:c r="AC223" s="5" t="str">
        <x:v>Not checked</x:v>
      </x:c>
      <x:c r="AD223" s="5" t="str">
        <x:v>Unscreened</x:v>
      </x:c>
      <x:c r="AE223" s="5" t="str">
        <x:v>Not linked</x:v>
      </x:c>
      <x:c r="AF223" s="5" t="str">
        <x:v>S11</x:v>
      </x:c>
      <x:c r="AG223" s="5" t="str">
        <x:v>Crossref REST API</x:v>
      </x:c>
      <x:c r="AH223" s="5" t="str">
        <x:v>Journal / conference record; peer review not audited</x:v>
      </x:c>
      <x:c r="AI223" s="5" t="str">
        <x:v>Metadata only</x:v>
      </x:c>
      <x:c r="AJ223" s="5" t="str">
        <x:v>Verified against deposited metadata; publisher citation check pending</x:v>
      </x:c>
      <x:c r="AK223" s="5" t="str">
        <x:v>proceedings-article</x:v>
      </x:c>
      <x:c r="AL223" s="5" t="str">
        <x:v>Title-scope candidate</x:v>
      </x:c>
      <x:c r="AM223" s="5" t="str">
        <x:v>review-paper/search-strategy/runs/PILOT-20261013-02/S11.json</x:v>
      </x:c>
      <x:c r="AN223" s="8" t="d">
        <x:v>2026-10-13T00:00:00.000Z</x:v>
      </x:c>
    </x:row>
    <x:row r="224" ht="53" customHeight="1">
      <x:c r="A224" s="5" t="str">
        <x:v>C0312</x:v>
      </x:c>
      <x:c r="B224" s="5" t="str">
        <x:v>Unassigned</x:v>
      </x:c>
      <x:c r="C224" s="5" t="str">
        <x:v>Unassigned</x:v>
      </x:c>
      <x:c r="D224" s="5" t="str">
        <x:v>Unassigned</x:v>
      </x:c>
      <x:c r="E224" s="5" t="str">
        <x:v>Unassigned</x:v>
      </x:c>
      <x:c r="F224" s="5" t="str">
        <x:v>Khanh Bao Tran; Alexander Carballo; Kazuya Takeda</x:v>
      </x:c>
      <x:c r="G224" s="5" t="str">
        <x:v>Khanh Bao Tran</x:v>
      </x:c>
      <x:c r="H224" s="5" t="n">
        <x:v>2024</x:v>
      </x:c>
      <x:c r="I224" s="5" t="str">
        <x:v>360 LiDAR + 360 RGB + 360 Thermal: Multimodal Targetless Calibration</x:v>
      </x:c>
      <x:c r="J224" s="5" t="str">
        <x:v>2024 IEEE Intelligent Vehicles Symposium (IV)</x:v>
      </x:c>
      <x:c r="K224" s="5" t="str">
        <x:v>10.1109/iv55156.2024.10588438</x:v>
      </x:c>
      <x:c r="L224" s="5" t="str"/>
      <x:c r="M224" s="5" t="str">
        <x:v>https://ieeexplore.ieee.org/document/10588438/</x:v>
      </x:c>
      <x:c r="N224" s="5" t="str">
        <x:v>https://doi.org/10.1109/iv55156.2024.10588438</x:v>
      </x:c>
      <x:c r="O224" s="5" t="str">
        <x:v>Not extracted</x:v>
      </x:c>
      <x:c r="P224" s="5" t="str">
        <x:v>Not extracted</x:v>
      </x:c>
      <x:c r="Q224" s="5" t="str">
        <x:v>Not extracted</x:v>
      </x:c>
      <x:c r="R224" s="5" t="str">
        <x:v>Not extracted</x:v>
      </x:c>
      <x:c r="S224" s="5" t="str">
        <x:v>Unassigned</x:v>
      </x:c>
      <x:c r="T224" s="5" t="str">
        <x:v>Unassigned</x:v>
      </x:c>
      <x:c r="U224" s="5" t="str"/>
      <x:c r="V224" s="5" t="str"/>
      <x:c r="W224" s="5" t="str">
        <x:v>Not extracted</x:v>
      </x:c>
      <x:c r="X224" s="5" t="str">
        <x:v>Pending eligibility screening</x:v>
      </x:c>
      <x:c r="Y224" s="5" t="str">
        <x:v>tran2024_C0312</x:v>
      </x:c>
      <x:c r="Z224" s="5" t="str">
        <x:v>Generated; needs verification</x:v>
      </x:c>
      <x:c r="AA224" s="5" t="str">
        <x:v>No manuscript yet</x:v>
      </x:c>
      <x:c r="AB224" s="5" t="str">
        <x:v>No</x:v>
      </x:c>
      <x:c r="AC224" s="5" t="str">
        <x:v>Not checked</x:v>
      </x:c>
      <x:c r="AD224" s="5" t="str">
        <x:v>Unscreened</x:v>
      </x:c>
      <x:c r="AE224" s="5" t="str">
        <x:v>Not linked</x:v>
      </x:c>
      <x:c r="AF224" s="5" t="str">
        <x:v>S11</x:v>
      </x:c>
      <x:c r="AG224" s="5" t="str">
        <x:v>Crossref REST API</x:v>
      </x:c>
      <x:c r="AH224" s="5" t="str">
        <x:v>Journal / conference record; peer review not audited</x:v>
      </x:c>
      <x:c r="AI224" s="5" t="str">
        <x:v>Metadata only</x:v>
      </x:c>
      <x:c r="AJ224" s="5" t="str">
        <x:v>Verified against deposited metadata; publisher citation check pending</x:v>
      </x:c>
      <x:c r="AK224" s="5" t="str">
        <x:v>proceedings-article</x:v>
      </x:c>
      <x:c r="AL224" s="5" t="str">
        <x:v>Title-scope candidate</x:v>
      </x:c>
      <x:c r="AM224" s="5" t="str">
        <x:v>review-paper/search-strategy/runs/PILOT-20261013-02/S11.json</x:v>
      </x:c>
      <x:c r="AN224" s="8" t="d">
        <x:v>2026-10-13T00:00:00.000Z</x:v>
      </x:c>
    </x:row>
    <x:row r="225" ht="53" customHeight="1">
      <x:c r="A225" s="5" t="str">
        <x:v>C0313</x:v>
      </x:c>
      <x:c r="B225" s="5" t="str">
        <x:v>Unassigned</x:v>
      </x:c>
      <x:c r="C225" s="5" t="str">
        <x:v>Unassigned</x:v>
      </x:c>
      <x:c r="D225" s="5" t="str">
        <x:v>Unassigned</x:v>
      </x:c>
      <x:c r="E225" s="5" t="str">
        <x:v>Unassigned</x:v>
      </x:c>
      <x:c r="F225" s="5" t="str">
        <x:v>Jason Chao-Hsien Pan; Damon HE Tai</x:v>
      </x:c>
      <x:c r="G225" s="5" t="str">
        <x:v>Jason Chao-Hsien Pan</x:v>
      </x:c>
      <x:c r="H225" s="5" t="n">
        <x:v>2011</x:v>
      </x:c>
      <x:c r="I225" s="5" t="str">
        <x:v>A new strategy for defect inspection by the virtual inspection in semiconductor wafer fabrication</x:v>
      </x:c>
      <x:c r="J225" s="5" t="str">
        <x:v>Computers &amp;amp; Industrial Engineering</x:v>
      </x:c>
      <x:c r="K225" s="5" t="str">
        <x:v>10.1016/j.cie.2010.09.008</x:v>
      </x:c>
      <x:c r="L225" s="5" t="str"/>
      <x:c r="M225" s="5" t="str">
        <x:v>https://linkinghub.elsevier.com/retrieve/pii/S036083521000255X</x:v>
      </x:c>
      <x:c r="N225" s="5" t="str">
        <x:v>https://doi.org/10.1016/j.cie.2010.09.008</x:v>
      </x:c>
      <x:c r="O225" s="5" t="str">
        <x:v>Not extracted</x:v>
      </x:c>
      <x:c r="P225" s="5" t="str">
        <x:v>Not extracted</x:v>
      </x:c>
      <x:c r="Q225" s="5" t="str">
        <x:v>Not extracted</x:v>
      </x:c>
      <x:c r="R225" s="5" t="str">
        <x:v>Not extracted</x:v>
      </x:c>
      <x:c r="S225" s="5" t="str">
        <x:v>Unassigned</x:v>
      </x:c>
      <x:c r="T225" s="5" t="str">
        <x:v>Unassigned</x:v>
      </x:c>
      <x:c r="U225" s="5" t="str"/>
      <x:c r="V225" s="5" t="str"/>
      <x:c r="W225" s="5" t="str">
        <x:v>Not extracted</x:v>
      </x:c>
      <x:c r="X225" s="5" t="str">
        <x:v>Pending eligibility screening</x:v>
      </x:c>
      <x:c r="Y225" s="5" t="str">
        <x:v>pan2011_C0313</x:v>
      </x:c>
      <x:c r="Z225" s="5" t="str">
        <x:v>Generated; needs verification</x:v>
      </x:c>
      <x:c r="AA225" s="5" t="str">
        <x:v>No manuscript yet</x:v>
      </x:c>
      <x:c r="AB225" s="5" t="str">
        <x:v>No</x:v>
      </x:c>
      <x:c r="AC225" s="5" t="str">
        <x:v>Not checked</x:v>
      </x:c>
      <x:c r="AD225" s="5" t="str">
        <x:v>Unscreened</x:v>
      </x:c>
      <x:c r="AE225" s="5" t="str">
        <x:v>Not linked</x:v>
      </x:c>
      <x:c r="AF225" s="5" t="str">
        <x:v>S11</x:v>
      </x:c>
      <x:c r="AG225" s="5" t="str">
        <x:v>Crossref REST API</x:v>
      </x:c>
      <x:c r="AH225" s="5" t="str">
        <x:v>Journal / conference record; peer review not audited</x:v>
      </x:c>
      <x:c r="AI225" s="5" t="str">
        <x:v>Metadata only</x:v>
      </x:c>
      <x:c r="AJ225" s="5" t="str">
        <x:v>Verified against deposited metadata; publisher citation check pending</x:v>
      </x:c>
      <x:c r="AK225" s="5" t="str">
        <x:v>journal-article</x:v>
      </x:c>
      <x:c r="AL225" s="5" t="str">
        <x:v>Title-scope candidate</x:v>
      </x:c>
      <x:c r="AM225" s="5" t="str">
        <x:v>review-paper/search-strategy/runs/PILOT-20261013-02/S11.json</x:v>
      </x:c>
      <x:c r="AN225" s="8" t="d">
        <x:v>2026-10-13T00:00:00.000Z</x:v>
      </x:c>
    </x:row>
    <x:row r="226" ht="53" customHeight="1">
      <x:c r="A226" s="5" t="str">
        <x:v>C0314</x:v>
      </x:c>
      <x:c r="B226" s="5" t="str">
        <x:v>Unassigned</x:v>
      </x:c>
      <x:c r="C226" s="5" t="str">
        <x:v>Unassigned</x:v>
      </x:c>
      <x:c r="D226" s="5" t="str">
        <x:v>Unassigned</x:v>
      </x:c>
      <x:c r="E226" s="5" t="str">
        <x:v>Unassigned</x:v>
      </x:c>
      <x:c r="F226" s="5" t="str">
        <x:v>Junyi Wu; Wujie Zhou; Weiwei Qiu; Lu Yu</x:v>
      </x:c>
      <x:c r="G226" s="5" t="str">
        <x:v>Junyi Wu</x:v>
      </x:c>
      <x:c r="H226" s="5" t="n">
        <x:v>2022</x:v>
      </x:c>
      <x:c r="I226" s="5" t="str">
        <x:v>Depth Repeated-Enhancement RGB Network for Rail Surface Defect Inspection</x:v>
      </x:c>
      <x:c r="J226" s="5" t="str">
        <x:v>IEEE Signal Processing Letters</x:v>
      </x:c>
      <x:c r="K226" s="5" t="str">
        <x:v>10.1109/lsp.2022.3211199</x:v>
      </x:c>
      <x:c r="L226" s="5" t="str"/>
      <x:c r="M226" s="5" t="str">
        <x:v>https://ieeexplore.ieee.org/document/9906441/</x:v>
      </x:c>
      <x:c r="N226" s="5" t="str">
        <x:v>https://doi.org/10.1109/lsp.2022.3211199</x:v>
      </x:c>
      <x:c r="O226" s="5" t="str">
        <x:v>Not extracted</x:v>
      </x:c>
      <x:c r="P226" s="5" t="str">
        <x:v>Not extracted</x:v>
      </x:c>
      <x:c r="Q226" s="5" t="str">
        <x:v>Not extracted</x:v>
      </x:c>
      <x:c r="R226" s="5" t="str">
        <x:v>Not extracted</x:v>
      </x:c>
      <x:c r="S226" s="5" t="str">
        <x:v>Unassigned</x:v>
      </x:c>
      <x:c r="T226" s="5" t="str">
        <x:v>Unassigned</x:v>
      </x:c>
      <x:c r="U226" s="5" t="str"/>
      <x:c r="V226" s="5" t="str"/>
      <x:c r="W226" s="5" t="str">
        <x:v>Not extracted</x:v>
      </x:c>
      <x:c r="X226" s="5" t="str">
        <x:v>Pending eligibility screening</x:v>
      </x:c>
      <x:c r="Y226" s="5" t="str">
        <x:v>wu2022_C0314</x:v>
      </x:c>
      <x:c r="Z226" s="5" t="str">
        <x:v>Generated; needs verification</x:v>
      </x:c>
      <x:c r="AA226" s="5" t="str">
        <x:v>No manuscript yet</x:v>
      </x:c>
      <x:c r="AB226" s="5" t="str">
        <x:v>No</x:v>
      </x:c>
      <x:c r="AC226" s="5" t="str">
        <x:v>Not checked</x:v>
      </x:c>
      <x:c r="AD226" s="5" t="str">
        <x:v>Unscreened</x:v>
      </x:c>
      <x:c r="AE226" s="5" t="str">
        <x:v>Not linked</x:v>
      </x:c>
      <x:c r="AF226" s="5" t="str">
        <x:v>S11</x:v>
      </x:c>
      <x:c r="AG226" s="5" t="str">
        <x:v>Crossref REST API</x:v>
      </x:c>
      <x:c r="AH226" s="5" t="str">
        <x:v>Journal / conference record; peer review not audited</x:v>
      </x:c>
      <x:c r="AI226" s="5" t="str">
        <x:v>Metadata only</x:v>
      </x:c>
      <x:c r="AJ226" s="5" t="str">
        <x:v>Verified against deposited metadata; publisher citation check pending</x:v>
      </x:c>
      <x:c r="AK226" s="5" t="str">
        <x:v>journal-article</x:v>
      </x:c>
      <x:c r="AL226" s="5" t="str">
        <x:v>Title-scope candidate</x:v>
      </x:c>
      <x:c r="AM226" s="5" t="str">
        <x:v>review-paper/search-strategy/runs/PILOT-20261013-02/S11.json</x:v>
      </x:c>
      <x:c r="AN226" s="8" t="d">
        <x:v>2026-10-13T00:00:00.000Z</x:v>
      </x:c>
    </x:row>
    <x:row r="227" ht="53" customHeight="1">
      <x:c r="A227" s="5" t="str">
        <x:v>C0315</x:v>
      </x:c>
      <x:c r="B227" s="5" t="str">
        <x:v>Unassigned</x:v>
      </x:c>
      <x:c r="C227" s="5" t="str">
        <x:v>Unassigned</x:v>
      </x:c>
      <x:c r="D227" s="5" t="str">
        <x:v>Unassigned</x:v>
      </x:c>
      <x:c r="E227" s="5" t="str">
        <x:v>Unassigned</x:v>
      </x:c>
      <x:c r="F227" s="5" t="str">
        <x:v>Bartosz Wójcik; Mateusz Żarski</x:v>
      </x:c>
      <x:c r="G227" s="5" t="str">
        <x:v>Bartosz Wójcik</x:v>
      </x:c>
      <x:c r="H227" s="5" t="n">
        <x:v>2021</x:v>
      </x:c>
      <x:c r="I227" s="5" t="str">
        <x:v>The measurements of surface defect area with an RGB-D camera for a BIM-backed bridge inspection</x:v>
      </x:c>
      <x:c r="J227" s="5" t="str">
        <x:v>Bulletin of the Polish Academy of Sciences Technical Sciences</x:v>
      </x:c>
      <x:c r="K227" s="5" t="str">
        <x:v>10.24425/bpasts.2021.137123</x:v>
      </x:c>
      <x:c r="L227" s="5" t="str"/>
      <x:c r="M227" s="5" t="str">
        <x:v>https://journals.pan.pl/dlibra/publication/137123/edition/119682/content</x:v>
      </x:c>
      <x:c r="N227" s="5" t="str">
        <x:v>https://doi.org/10.24425/bpasts.2021.137123</x:v>
      </x:c>
      <x:c r="O227" s="5" t="str">
        <x:v>Not extracted</x:v>
      </x:c>
      <x:c r="P227" s="5" t="str">
        <x:v>Not extracted</x:v>
      </x:c>
      <x:c r="Q227" s="5" t="str">
        <x:v>Not extracted</x:v>
      </x:c>
      <x:c r="R227" s="5" t="str">
        <x:v>Not extracted</x:v>
      </x:c>
      <x:c r="S227" s="5" t="str">
        <x:v>Unassigned</x:v>
      </x:c>
      <x:c r="T227" s="5" t="str">
        <x:v>Unassigned</x:v>
      </x:c>
      <x:c r="U227" s="5" t="str"/>
      <x:c r="V227" s="5" t="str"/>
      <x:c r="W227" s="5" t="str">
        <x:v>Not extracted</x:v>
      </x:c>
      <x:c r="X227" s="5" t="str">
        <x:v>Pending eligibility screening</x:v>
      </x:c>
      <x:c r="Y227" s="5" t="str">
        <x:v>wojcik2021_C0315</x:v>
      </x:c>
      <x:c r="Z227" s="5" t="str">
        <x:v>Generated; needs verification</x:v>
      </x:c>
      <x:c r="AA227" s="5" t="str">
        <x:v>No manuscript yet</x:v>
      </x:c>
      <x:c r="AB227" s="5" t="str">
        <x:v>No</x:v>
      </x:c>
      <x:c r="AC227" s="5" t="str">
        <x:v>Not checked</x:v>
      </x:c>
      <x:c r="AD227" s="5" t="str">
        <x:v>Unscreened</x:v>
      </x:c>
      <x:c r="AE227" s="5" t="str">
        <x:v>Not linked</x:v>
      </x:c>
      <x:c r="AF227" s="5" t="str">
        <x:v>S11</x:v>
      </x:c>
      <x:c r="AG227" s="5" t="str">
        <x:v>Crossref REST API</x:v>
      </x:c>
      <x:c r="AH227" s="5" t="str">
        <x:v>Journal / conference record; peer review not audited</x:v>
      </x:c>
      <x:c r="AI227" s="5" t="str">
        <x:v>Metadata only</x:v>
      </x:c>
      <x:c r="AJ227" s="5" t="str">
        <x:v>Verified against deposited metadata; publisher citation check pending</x:v>
      </x:c>
      <x:c r="AK227" s="5" t="str">
        <x:v>journal-article</x:v>
      </x:c>
      <x:c r="AL227" s="5" t="str">
        <x:v>Title-scope candidate</x:v>
      </x:c>
      <x:c r="AM227" s="5" t="str">
        <x:v>review-paper/search-strategy/runs/PILOT-20261013-02/S11.json</x:v>
      </x:c>
      <x:c r="AN227" s="8" t="d">
        <x:v>2026-10-13T00:00:00.000Z</x:v>
      </x:c>
    </x:row>
    <x:row r="228" ht="53" customHeight="1">
      <x:c r="A228" s="5" t="str">
        <x:v>C0316</x:v>
      </x:c>
      <x:c r="B228" s="5" t="str">
        <x:v>Unassigned</x:v>
      </x:c>
      <x:c r="C228" s="5" t="str">
        <x:v>Unassigned</x:v>
      </x:c>
      <x:c r="D228" s="5" t="str">
        <x:v>Unassigned</x:v>
      </x:c>
      <x:c r="E228" s="5" t="str">
        <x:v>Unassigned</x:v>
      </x:c>
      <x:c r="F228" s="5" t="str">
        <x:v>J.A. Zandhuis</x:v>
      </x:c>
      <x:c r="G228" s="5" t="str">
        <x:v>J.A. Zandhuis</x:v>
      </x:c>
      <x:c r="H228" s="5" t="n">
        <x:v>1997</x:v>
      </x:c>
      <x:c r="I228" s="5" t="str">
        <x:v>A novel thermal calibration technique for electronic module inspection using an optical image</x:v>
      </x:c>
      <x:c r="J228" s="5" t="str">
        <x:v>IEE Colloquium on Industrial Inspection</x:v>
      </x:c>
      <x:c r="K228" s="5" t="str">
        <x:v>10.1049/ic:19970260</x:v>
      </x:c>
      <x:c r="L228" s="5" t="str"/>
      <x:c r="M228" s="5" t="str">
        <x:v>https://digital-library.theiet.org/content/conferences/10.1049/ic_19970260</x:v>
      </x:c>
      <x:c r="N228" s="5" t="str">
        <x:v>https://doi.org/10.1049/ic:19970260</x:v>
      </x:c>
      <x:c r="O228" s="5" t="str">
        <x:v>Not extracted</x:v>
      </x:c>
      <x:c r="P228" s="5" t="str">
        <x:v>Not extracted</x:v>
      </x:c>
      <x:c r="Q228" s="5" t="str">
        <x:v>Not extracted</x:v>
      </x:c>
      <x:c r="R228" s="5" t="str">
        <x:v>Not extracted</x:v>
      </x:c>
      <x:c r="S228" s="5" t="str">
        <x:v>Unassigned</x:v>
      </x:c>
      <x:c r="T228" s="5" t="str">
        <x:v>Unassigned</x:v>
      </x:c>
      <x:c r="U228" s="5" t="str"/>
      <x:c r="V228" s="5" t="str"/>
      <x:c r="W228" s="5" t="str">
        <x:v>Not extracted</x:v>
      </x:c>
      <x:c r="X228" s="5" t="str">
        <x:v>Pending eligibility screening</x:v>
      </x:c>
      <x:c r="Y228" s="5" t="str">
        <x:v>zandhuis1997_C0316</x:v>
      </x:c>
      <x:c r="Z228" s="5" t="str">
        <x:v>Generated; needs verification</x:v>
      </x:c>
      <x:c r="AA228" s="5" t="str">
        <x:v>No manuscript yet</x:v>
      </x:c>
      <x:c r="AB228" s="5" t="str">
        <x:v>No</x:v>
      </x:c>
      <x:c r="AC228" s="5" t="str">
        <x:v>Not checked</x:v>
      </x:c>
      <x:c r="AD228" s="5" t="str">
        <x:v>Unscreened</x:v>
      </x:c>
      <x:c r="AE228" s="5" t="str">
        <x:v>Not linked</x:v>
      </x:c>
      <x:c r="AF228" s="5" t="str">
        <x:v>S11</x:v>
      </x:c>
      <x:c r="AG228" s="5" t="str">
        <x:v>Crossref REST API</x:v>
      </x:c>
      <x:c r="AH228" s="5" t="str">
        <x:v>Journal / conference record; peer review not audited</x:v>
      </x:c>
      <x:c r="AI228" s="5" t="str">
        <x:v>Metadata only</x:v>
      </x:c>
      <x:c r="AJ228" s="5" t="str">
        <x:v>Verified against deposited metadata; publisher citation check pending</x:v>
      </x:c>
      <x:c r="AK228" s="5" t="str">
        <x:v>proceedings-article</x:v>
      </x:c>
      <x:c r="AL228" s="5" t="str">
        <x:v>Title-scope candidate</x:v>
      </x:c>
      <x:c r="AM228" s="5" t="str">
        <x:v>review-paper/search-strategy/runs/PILOT-20261013-02/S11.json</x:v>
      </x:c>
      <x:c r="AN228" s="8" t="d">
        <x:v>2026-10-13T00:00:00.000Z</x:v>
      </x:c>
    </x:row>
    <x:row r="229" ht="53" customHeight="1">
      <x:c r="A229" s="5" t="str">
        <x:v>C0317</x:v>
      </x:c>
      <x:c r="B229" s="5" t="str">
        <x:v>Unassigned</x:v>
      </x:c>
      <x:c r="C229" s="5" t="str">
        <x:v>Unassigned</x:v>
      </x:c>
      <x:c r="D229" s="5" t="str">
        <x:v>Unassigned</x:v>
      </x:c>
      <x:c r="E229" s="5" t="str">
        <x:v>Unassigned</x:v>
      </x:c>
      <x:c r="F229" s="5" t="str">
        <x:v>Zhujun Wang; Rongtai Ni; Tianhe Sun; Bin Liu</x:v>
      </x:c>
      <x:c r="G229" s="5" t="str">
        <x:v>Zhujun Wang</x:v>
      </x:c>
      <x:c r="H229" s="5" t="n">
        <x:v>2026</x:v>
      </x:c>
      <x:c r="I229" s="5" t="str">
        <x:v>Amcf-ResNet: High-Precision 3-D Defect Reconstruction in Magnetic Flux Leakage Inspection via Multimodal Adaptive Learning and Cross-Feedback</x:v>
      </x:c>
      <x:c r="J229" s="5" t="str">
        <x:v>IEEE Transactions on Industrial Informatics</x:v>
      </x:c>
      <x:c r="K229" s="5" t="str">
        <x:v>10.1109/tii.2025.3628398</x:v>
      </x:c>
      <x:c r="L229" s="5" t="str"/>
      <x:c r="M229" s="5" t="str">
        <x:v>https://ieeexplore.ieee.org/document/11265934/</x:v>
      </x:c>
      <x:c r="N229" s="5" t="str">
        <x:v>https://doi.org/10.1109/tii.2025.3628398</x:v>
      </x:c>
      <x:c r="O229" s="5" t="str">
        <x:v>Not extracted</x:v>
      </x:c>
      <x:c r="P229" s="5" t="str">
        <x:v>Not extracted</x:v>
      </x:c>
      <x:c r="Q229" s="5" t="str">
        <x:v>Not extracted</x:v>
      </x:c>
      <x:c r="R229" s="5" t="str">
        <x:v>Not extracted</x:v>
      </x:c>
      <x:c r="S229" s="5" t="str">
        <x:v>Unassigned</x:v>
      </x:c>
      <x:c r="T229" s="5" t="str">
        <x:v>Unassigned</x:v>
      </x:c>
      <x:c r="U229" s="5" t="str"/>
      <x:c r="V229" s="5" t="str"/>
      <x:c r="W229" s="5" t="str">
        <x:v>Not extracted</x:v>
      </x:c>
      <x:c r="X229" s="5" t="str">
        <x:v>Pending eligibility screening</x:v>
      </x:c>
      <x:c r="Y229" s="5" t="str">
        <x:v>wang2026_C0317</x:v>
      </x:c>
      <x:c r="Z229" s="5" t="str">
        <x:v>Generated; needs verification</x:v>
      </x:c>
      <x:c r="AA229" s="5" t="str">
        <x:v>No manuscript yet</x:v>
      </x:c>
      <x:c r="AB229" s="5" t="str">
        <x:v>No</x:v>
      </x:c>
      <x:c r="AC229" s="5" t="str">
        <x:v>Not checked</x:v>
      </x:c>
      <x:c r="AD229" s="5" t="str">
        <x:v>Unscreened</x:v>
      </x:c>
      <x:c r="AE229" s="5" t="str">
        <x:v>Not linked</x:v>
      </x:c>
      <x:c r="AF229" s="5" t="str">
        <x:v>S11</x:v>
      </x:c>
      <x:c r="AG229" s="5" t="str">
        <x:v>Crossref REST API</x:v>
      </x:c>
      <x:c r="AH229" s="5" t="str">
        <x:v>Journal / conference record; peer review not audited</x:v>
      </x:c>
      <x:c r="AI229" s="5" t="str">
        <x:v>Metadata only</x:v>
      </x:c>
      <x:c r="AJ229" s="5" t="str">
        <x:v>Verified against deposited metadata; publisher citation check pending</x:v>
      </x:c>
      <x:c r="AK229" s="5" t="str">
        <x:v>journal-article</x:v>
      </x:c>
      <x:c r="AL229" s="5" t="str">
        <x:v>Title-scope candidate</x:v>
      </x:c>
      <x:c r="AM229" s="5" t="str">
        <x:v>review-paper/search-strategy/runs/PILOT-20261013-02/S11.json</x:v>
      </x:c>
      <x:c r="AN229" s="8" t="d">
        <x:v>2026-10-13T00:00:00.000Z</x:v>
      </x:c>
    </x:row>
    <x:row r="230" ht="53" customHeight="1">
      <x:c r="A230" s="5" t="str">
        <x:v>C0318</x:v>
      </x:c>
      <x:c r="B230" s="5" t="str">
        <x:v>Unassigned</x:v>
      </x:c>
      <x:c r="C230" s="5" t="str">
        <x:v>Unassigned</x:v>
      </x:c>
      <x:c r="D230" s="5" t="str">
        <x:v>Unassigned</x:v>
      </x:c>
      <x:c r="E230" s="5" t="str">
        <x:v>Unassigned</x:v>
      </x:c>
      <x:c r="F230" s="5" t="str">
        <x:v>Hridika Chanda; Nusrat Sultana</x:v>
      </x:c>
      <x:c r="G230" s="5" t="str">
        <x:v>Hridika Chanda</x:v>
      </x:c>
      <x:c r="H230" s="5" t="n">
        <x:v>2026</x:v>
      </x:c>
      <x:c r="I230" s="5" t="str">
        <x:v>ThermalCLIP: Hardware-Agnostic Industrial Anomaly Detection via Physics-Informed Thermal Proxies from RGB</x:v>
      </x:c>
      <x:c r="J230" s="5" t="str"/>
      <x:c r="K230" s="5" t="str">
        <x:v>10.21203/rs.3.rs-9385007/v1</x:v>
      </x:c>
      <x:c r="L230" s="5" t="str"/>
      <x:c r="M230" s="5" t="str">
        <x:v>https://www.researchsquare.com/article/rs-9385007/v1</x:v>
      </x:c>
      <x:c r="N230" s="5" t="str">
        <x:v>https://doi.org/10.21203/rs.3.rs-9385007/v1</x:v>
      </x:c>
      <x:c r="O230" s="5" t="str">
        <x:v>Not extracted</x:v>
      </x:c>
      <x:c r="P230" s="5" t="str">
        <x:v>Not extracted</x:v>
      </x:c>
      <x:c r="Q230" s="5" t="str">
        <x:v>Not extracted</x:v>
      </x:c>
      <x:c r="R230" s="5" t="str">
        <x:v>Not extracted</x:v>
      </x:c>
      <x:c r="S230" s="5" t="str">
        <x:v>Unassigned</x:v>
      </x:c>
      <x:c r="T230" s="5" t="str">
        <x:v>Unassigned</x:v>
      </x:c>
      <x:c r="U230" s="5" t="str"/>
      <x:c r="V230" s="5" t="str"/>
      <x:c r="W230" s="5" t="str">
        <x:v>Not extracted</x:v>
      </x:c>
      <x:c r="X230" s="5" t="str">
        <x:v>Pending eligibility screening</x:v>
      </x:c>
      <x:c r="Y230" s="5" t="str">
        <x:v>chanda2026_C0318</x:v>
      </x:c>
      <x:c r="Z230" s="5" t="str">
        <x:v>Generated; needs verification</x:v>
      </x:c>
      <x:c r="AA230" s="5" t="str">
        <x:v>No manuscript yet</x:v>
      </x:c>
      <x:c r="AB230" s="5" t="str">
        <x:v>No</x:v>
      </x:c>
      <x:c r="AC230" s="5" t="str">
        <x:v>Not checked</x:v>
      </x:c>
      <x:c r="AD230" s="5" t="str">
        <x:v>Unscreened</x:v>
      </x:c>
      <x:c r="AE230" s="5" t="str">
        <x:v>Not linked</x:v>
      </x:c>
      <x:c r="AF230" s="5" t="str">
        <x:v>S11</x:v>
      </x:c>
      <x:c r="AG230" s="5" t="str">
        <x:v>Crossref REST API</x:v>
      </x:c>
      <x:c r="AH230" s="5" t="str">
        <x:v>Preprint / repository record</x:v>
      </x:c>
      <x:c r="AI230" s="5" t="str">
        <x:v>Metadata only</x:v>
      </x:c>
      <x:c r="AJ230" s="5" t="str">
        <x:v>Verified against deposited metadata; publisher citation check pending</x:v>
      </x:c>
      <x:c r="AK230" s="5" t="str">
        <x:v>posted-content</x:v>
      </x:c>
      <x:c r="AL230" s="5" t="str">
        <x:v>Title-scope candidate</x:v>
      </x:c>
      <x:c r="AM230" s="5" t="str">
        <x:v>review-paper/search-strategy/runs/PILOT-20261013-02/S11.json</x:v>
      </x:c>
      <x:c r="AN230" s="8" t="d">
        <x:v>2026-10-13T00:00:00.000Z</x:v>
      </x:c>
    </x:row>
    <x:row r="231" ht="53" customHeight="1">
      <x:c r="A231" s="5" t="str">
        <x:v>C0319</x:v>
      </x:c>
      <x:c r="B231" s="5" t="str">
        <x:v>Unassigned</x:v>
      </x:c>
      <x:c r="C231" s="5" t="str">
        <x:v>Unassigned</x:v>
      </x:c>
      <x:c r="D231" s="5" t="str">
        <x:v>Unassigned</x:v>
      </x:c>
      <x:c r="E231" s="5" t="str">
        <x:v>Unassigned</x:v>
      </x:c>
      <x:c r="F231" s="5" t="str">
        <x:v>Prakash Sandhya; B Venkataramana</x:v>
      </x:c>
      <x:c r="G231" s="5" t="str">
        <x:v>Prakash Sandhya</x:v>
      </x:c>
      <x:c r="H231" s="5" t="n">
        <x:v>2025</x:v>
      </x:c>
      <x:c r="I231" s="5" t="str">
        <x:v>Robust Fall Army Worm detection in maize using multimodal RGB and thermal image fusion</x:v>
      </x:c>
      <x:c r="J231" s="5" t="str">
        <x:v>Scientific Reports</x:v>
      </x:c>
      <x:c r="K231" s="5" t="str">
        <x:v>10.1038/s41598-025-29784-8</x:v>
      </x:c>
      <x:c r="L231" s="5" t="str"/>
      <x:c r="M231" s="5" t="str">
        <x:v>https://www.nature.com/articles/s41598-025-29784-8</x:v>
      </x:c>
      <x:c r="N231" s="5" t="str">
        <x:v>https://doi.org/10.1038/s41598-025-29784-8</x:v>
      </x:c>
      <x:c r="O231" s="5" t="str">
        <x:v>Not extracted</x:v>
      </x:c>
      <x:c r="P231" s="5" t="str">
        <x:v>Not extracted</x:v>
      </x:c>
      <x:c r="Q231" s="5" t="str">
        <x:v>Not extracted</x:v>
      </x:c>
      <x:c r="R231" s="5" t="str">
        <x:v>Not extracted</x:v>
      </x:c>
      <x:c r="S231" s="5" t="str">
        <x:v>Unassigned</x:v>
      </x:c>
      <x:c r="T231" s="5" t="str">
        <x:v>Unassigned</x:v>
      </x:c>
      <x:c r="U231" s="5" t="str"/>
      <x:c r="V231" s="5" t="str"/>
      <x:c r="W231" s="5" t="str">
        <x:v>Not extracted</x:v>
      </x:c>
      <x:c r="X231" s="5" t="str">
        <x:v>Pending eligibility screening</x:v>
      </x:c>
      <x:c r="Y231" s="5" t="str">
        <x:v>sandhya2025_C0319</x:v>
      </x:c>
      <x:c r="Z231" s="5" t="str">
        <x:v>Generated; needs verification</x:v>
      </x:c>
      <x:c r="AA231" s="5" t="str">
        <x:v>No manuscript yet</x:v>
      </x:c>
      <x:c r="AB231" s="5" t="str">
        <x:v>No</x:v>
      </x:c>
      <x:c r="AC231" s="5" t="str">
        <x:v>Not checked</x:v>
      </x:c>
      <x:c r="AD231" s="5" t="str">
        <x:v>Unscreened</x:v>
      </x:c>
      <x:c r="AE231" s="5" t="str">
        <x:v>Not linked</x:v>
      </x:c>
      <x:c r="AF231" s="5" t="str">
        <x:v>S11</x:v>
      </x:c>
      <x:c r="AG231" s="5" t="str">
        <x:v>Crossref REST API</x:v>
      </x:c>
      <x:c r="AH231" s="5" t="str">
        <x:v>Journal / conference record; peer review not audited</x:v>
      </x:c>
      <x:c r="AI231" s="5" t="str">
        <x:v>Metadata only</x:v>
      </x:c>
      <x:c r="AJ231" s="5" t="str">
        <x:v>Verified against deposited metadata; publisher citation check pending</x:v>
      </x:c>
      <x:c r="AK231" s="5" t="str">
        <x:v>journal-article</x:v>
      </x:c>
      <x:c r="AL231" s="5" t="str">
        <x:v>Title-scope candidate</x:v>
      </x:c>
      <x:c r="AM231" s="5" t="str">
        <x:v>review-paper/search-strategy/runs/PILOT-20261013-02/S11.json</x:v>
      </x:c>
      <x:c r="AN231" s="8" t="d">
        <x:v>2026-10-13T00:00:00.000Z</x:v>
      </x:c>
    </x:row>
    <x:row r="232" ht="53" customHeight="1">
      <x:c r="A232" s="5" t="str">
        <x:v>C0320</x:v>
      </x:c>
      <x:c r="B232" s="5" t="str">
        <x:v>Unassigned</x:v>
      </x:c>
      <x:c r="C232" s="5" t="str">
        <x:v>Unassigned</x:v>
      </x:c>
      <x:c r="D232" s="5" t="str">
        <x:v>Unassigned</x:v>
      </x:c>
      <x:c r="E232" s="5" t="str">
        <x:v>Unassigned</x:v>
      </x:c>
      <x:c r="F232" s="5" t="str">
        <x:v>Martin Brenner; Napoleon  H. Reyes; Teo Susnjak; Andre  L. C. Barczak</x:v>
      </x:c>
      <x:c r="G232" s="5" t="str">
        <x:v>Martin Brenner</x:v>
      </x:c>
      <x:c r="H232" s="5" t="n">
        <x:v>2025</x:v>
      </x:c>
      <x:c r="I232" s="5" t="str">
        <x:v>Mm5: Multimodal Image Capture and Dataset Generation for Rgb, Depth, Thermal, Uv, and Nir</x:v>
      </x:c>
      <x:c r="J232" s="5" t="str"/>
      <x:c r="K232" s="5" t="str">
        <x:v>10.2139/ssrn.5227457</x:v>
      </x:c>
      <x:c r="L232" s="5" t="str"/>
      <x:c r="M232" s="5" t="str">
        <x:v>https://www.ssrn.com/abstract=5227457</x:v>
      </x:c>
      <x:c r="N232" s="5" t="str">
        <x:v>https://doi.org/10.2139/ssrn.5227457</x:v>
      </x:c>
      <x:c r="O232" s="5" t="str">
        <x:v>Not extracted</x:v>
      </x:c>
      <x:c r="P232" s="5" t="str">
        <x:v>Not extracted</x:v>
      </x:c>
      <x:c r="Q232" s="5" t="str">
        <x:v>Not extracted</x:v>
      </x:c>
      <x:c r="R232" s="5" t="str">
        <x:v>Not extracted</x:v>
      </x:c>
      <x:c r="S232" s="5" t="str">
        <x:v>Unassigned</x:v>
      </x:c>
      <x:c r="T232" s="5" t="str">
        <x:v>Unassigned</x:v>
      </x:c>
      <x:c r="U232" s="5" t="str"/>
      <x:c r="V232" s="5" t="str"/>
      <x:c r="W232" s="5" t="str">
        <x:v>Not extracted</x:v>
      </x:c>
      <x:c r="X232" s="5" t="str">
        <x:v>Pending eligibility screening</x:v>
      </x:c>
      <x:c r="Y232" s="5" t="str">
        <x:v>brenner2025_C0320</x:v>
      </x:c>
      <x:c r="Z232" s="5" t="str">
        <x:v>Generated; needs verification</x:v>
      </x:c>
      <x:c r="AA232" s="5" t="str">
        <x:v>No manuscript yet</x:v>
      </x:c>
      <x:c r="AB232" s="5" t="str">
        <x:v>No</x:v>
      </x:c>
      <x:c r="AC232" s="5" t="str">
        <x:v>Not checked</x:v>
      </x:c>
      <x:c r="AD232" s="5" t="str">
        <x:v>Unscreened</x:v>
      </x:c>
      <x:c r="AE232" s="5" t="str">
        <x:v>Not linked</x:v>
      </x:c>
      <x:c r="AF232" s="5" t="str">
        <x:v>S11</x:v>
      </x:c>
      <x:c r="AG232" s="5" t="str">
        <x:v>Crossref REST API</x:v>
      </x:c>
      <x:c r="AH232" s="5" t="str">
        <x:v>Preprint / repository record</x:v>
      </x:c>
      <x:c r="AI232" s="5" t="str">
        <x:v>Metadata only</x:v>
      </x:c>
      <x:c r="AJ232" s="5" t="str">
        <x:v>Verified against deposited metadata; publisher citation check pending</x:v>
      </x:c>
      <x:c r="AK232" s="5" t="str">
        <x:v>posted-content</x:v>
      </x:c>
      <x:c r="AL232" s="5" t="str">
        <x:v>Title-scope candidate</x:v>
      </x:c>
      <x:c r="AM232" s="5" t="str">
        <x:v>review-paper/search-strategy/runs/PILOT-20261013-02/S11.json</x:v>
      </x:c>
      <x:c r="AN232" s="8" t="d">
        <x:v>2026-10-13T00:00:00.000Z</x:v>
      </x:c>
    </x:row>
    <x:row r="233" ht="53" customHeight="1">
      <x:c r="A233" s="5" t="str">
        <x:v>C0321</x:v>
      </x:c>
      <x:c r="B233" s="5" t="str">
        <x:v>Unassigned</x:v>
      </x:c>
      <x:c r="C233" s="5" t="str">
        <x:v>Unassigned</x:v>
      </x:c>
      <x:c r="D233" s="5" t="str">
        <x:v>Unassigned</x:v>
      </x:c>
      <x:c r="E233" s="5" t="str">
        <x:v>Unassigned</x:v>
      </x:c>
      <x:c r="F233" s="5" t="str">
        <x:v>Mengyang Wu; Huijian Han; Lei Li</x:v>
      </x:c>
      <x:c r="G233" s="5" t="str">
        <x:v>Mengyang Wu</x:v>
      </x:c>
      <x:c r="H233" s="5" t="n">
        <x:v>2026</x:v>
      </x:c>
      <x:c r="I233" s="5" t="str">
        <x:v>GADE-YOLO: An Efficient Geometry-Adaptive Network for Industrial Wood Surface Defect Inspection</x:v>
      </x:c>
      <x:c r="J233" s="5" t="str"/>
      <x:c r="K233" s="5" t="str">
        <x:v>10.21203/rs.3.rs-10400539/v1</x:v>
      </x:c>
      <x:c r="L233" s="5" t="str"/>
      <x:c r="M233" s="5" t="str">
        <x:v>https://www.researchsquare.com/article/rs-10400539/v1</x:v>
      </x:c>
      <x:c r="N233" s="5" t="str">
        <x:v>https://doi.org/10.21203/rs.3.rs-10400539/v1</x:v>
      </x:c>
      <x:c r="O233" s="5" t="str">
        <x:v>Not extracted</x:v>
      </x:c>
      <x:c r="P233" s="5" t="str">
        <x:v>Not extracted</x:v>
      </x:c>
      <x:c r="Q233" s="5" t="str">
        <x:v>Not extracted</x:v>
      </x:c>
      <x:c r="R233" s="5" t="str">
        <x:v>Not extracted</x:v>
      </x:c>
      <x:c r="S233" s="5" t="str">
        <x:v>Unassigned</x:v>
      </x:c>
      <x:c r="T233" s="5" t="str">
        <x:v>Unassigned</x:v>
      </x:c>
      <x:c r="U233" s="5" t="str"/>
      <x:c r="V233" s="5" t="str"/>
      <x:c r="W233" s="5" t="str">
        <x:v>Not extracted</x:v>
      </x:c>
      <x:c r="X233" s="5" t="str">
        <x:v>Pending eligibility screening</x:v>
      </x:c>
      <x:c r="Y233" s="5" t="str">
        <x:v>wu2026_C0321</x:v>
      </x:c>
      <x:c r="Z233" s="5" t="str">
        <x:v>Generated; needs verification</x:v>
      </x:c>
      <x:c r="AA233" s="5" t="str">
        <x:v>No manuscript yet</x:v>
      </x:c>
      <x:c r="AB233" s="5" t="str">
        <x:v>No</x:v>
      </x:c>
      <x:c r="AC233" s="5" t="str">
        <x:v>Not checked</x:v>
      </x:c>
      <x:c r="AD233" s="5" t="str">
        <x:v>Unscreened</x:v>
      </x:c>
      <x:c r="AE233" s="5" t="str">
        <x:v>Not linked</x:v>
      </x:c>
      <x:c r="AF233" s="5" t="str">
        <x:v>S11</x:v>
      </x:c>
      <x:c r="AG233" s="5" t="str">
        <x:v>Crossref REST API</x:v>
      </x:c>
      <x:c r="AH233" s="5" t="str">
        <x:v>Preprint / repository record</x:v>
      </x:c>
      <x:c r="AI233" s="5" t="str">
        <x:v>Metadata only</x:v>
      </x:c>
      <x:c r="AJ233" s="5" t="str">
        <x:v>Verified against deposited metadata; publisher citation check pending</x:v>
      </x:c>
      <x:c r="AK233" s="5" t="str">
        <x:v>posted-content</x:v>
      </x:c>
      <x:c r="AL233" s="5" t="str">
        <x:v>Title-scope candidate</x:v>
      </x:c>
      <x:c r="AM233" s="5" t="str">
        <x:v>review-paper/search-strategy/runs/PILOT-20261013-02/S11.json</x:v>
      </x:c>
      <x:c r="AN233" s="8" t="d">
        <x:v>2026-10-13T00:00:00.000Z</x:v>
      </x:c>
    </x:row>
    <x:row r="234" ht="53" customHeight="1">
      <x:c r="A234" s="5" t="str">
        <x:v>C0322</x:v>
      </x:c>
      <x:c r="B234" s="5" t="str">
        <x:v>Unassigned</x:v>
      </x:c>
      <x:c r="C234" s="5" t="str">
        <x:v>Unassigned</x:v>
      </x:c>
      <x:c r="D234" s="5" t="str">
        <x:v>Unassigned</x:v>
      </x:c>
      <x:c r="E234" s="5" t="str">
        <x:v>Unassigned</x:v>
      </x:c>
      <x:c r="F234" s="5" t="str">
        <x:v>Jingni Pei; Shujuan Li; Yan Li</x:v>
      </x:c>
      <x:c r="G234" s="5" t="str">
        <x:v>Jingni Pei</x:v>
      </x:c>
      <x:c r="H234" s="5" t="n">
        <x:v>2026</x:v>
      </x:c>
      <x:c r="I234" s="5" t="str">
        <x:v>Blind Industrial Image Restoration with Semantic Prompting and Graph Reasoning for Surface Defect Inspection</x:v>
      </x:c>
      <x:c r="J234" s="5" t="str"/>
      <x:c r="K234" s="5" t="str">
        <x:v>10.2139/ssrn.6232710</x:v>
      </x:c>
      <x:c r="L234" s="5" t="str"/>
      <x:c r="M234" s="5" t="str">
        <x:v>https://www.ssrn.com/abstract=6232710</x:v>
      </x:c>
      <x:c r="N234" s="5" t="str">
        <x:v>https://doi.org/10.2139/ssrn.6232710</x:v>
      </x:c>
      <x:c r="O234" s="5" t="str">
        <x:v>Not extracted</x:v>
      </x:c>
      <x:c r="P234" s="5" t="str">
        <x:v>Not extracted</x:v>
      </x:c>
      <x:c r="Q234" s="5" t="str">
        <x:v>Not extracted</x:v>
      </x:c>
      <x:c r="R234" s="5" t="str">
        <x:v>Not extracted</x:v>
      </x:c>
      <x:c r="S234" s="5" t="str">
        <x:v>Unassigned</x:v>
      </x:c>
      <x:c r="T234" s="5" t="str">
        <x:v>Unassigned</x:v>
      </x:c>
      <x:c r="U234" s="5" t="str"/>
      <x:c r="V234" s="5" t="str"/>
      <x:c r="W234" s="5" t="str">
        <x:v>Not extracted</x:v>
      </x:c>
      <x:c r="X234" s="5" t="str">
        <x:v>Pending eligibility screening</x:v>
      </x:c>
      <x:c r="Y234" s="5" t="str">
        <x:v>pei2026_C0322</x:v>
      </x:c>
      <x:c r="Z234" s="5" t="str">
        <x:v>Generated; needs verification</x:v>
      </x:c>
      <x:c r="AA234" s="5" t="str">
        <x:v>No manuscript yet</x:v>
      </x:c>
      <x:c r="AB234" s="5" t="str">
        <x:v>No</x:v>
      </x:c>
      <x:c r="AC234" s="5" t="str">
        <x:v>Not checked</x:v>
      </x:c>
      <x:c r="AD234" s="5" t="str">
        <x:v>Unscreened</x:v>
      </x:c>
      <x:c r="AE234" s="5" t="str">
        <x:v>Not linked</x:v>
      </x:c>
      <x:c r="AF234" s="5" t="str">
        <x:v>S11</x:v>
      </x:c>
      <x:c r="AG234" s="5" t="str">
        <x:v>Crossref REST API</x:v>
      </x:c>
      <x:c r="AH234" s="5" t="str">
        <x:v>Preprint / repository record</x:v>
      </x:c>
      <x:c r="AI234" s="5" t="str">
        <x:v>Metadata only</x:v>
      </x:c>
      <x:c r="AJ234" s="5" t="str">
        <x:v>Verified against deposited metadata; publisher citation check pending</x:v>
      </x:c>
      <x:c r="AK234" s="5" t="str">
        <x:v>posted-content</x:v>
      </x:c>
      <x:c r="AL234" s="5" t="str">
        <x:v>Title-scope candidate</x:v>
      </x:c>
      <x:c r="AM234" s="5" t="str">
        <x:v>review-paper/search-strategy/runs/PILOT-20261013-02/S11.json</x:v>
      </x:c>
      <x:c r="AN234" s="8" t="d">
        <x:v>2026-10-13T00:00:00.000Z</x:v>
      </x:c>
    </x:row>
    <x:row r="235" ht="53" customHeight="1">
      <x:c r="A235" s="5" t="str">
        <x:v>C0324</x:v>
      </x:c>
      <x:c r="B235" s="5" t="str">
        <x:v>Unassigned</x:v>
      </x:c>
      <x:c r="C235" s="5" t="str">
        <x:v>Unassigned</x:v>
      </x:c>
      <x:c r="D235" s="5" t="str">
        <x:v>Unassigned</x:v>
      </x:c>
      <x:c r="E235" s="5" t="str">
        <x:v>Unassigned</x:v>
      </x:c>
      <x:c r="F235" s="5" t="str">
        <x:v>Zhihao He; Gongyang Li; Zhi Liu</x:v>
      </x:c>
      <x:c r="G235" s="5" t="str">
        <x:v>Zhihao He</x:v>
      </x:c>
      <x:c r="H235" s="5" t="n">
        <x:v>2025</x:v>
      </x:c>
      <x:c r="I235" s="5" t="str">
        <x:v>RGB-D Rail Surface Defect Inspection Driven by Conditional Diffusion Architecture and Frequency Knowledge</x:v>
      </x:c>
      <x:c r="J235" s="5" t="str">
        <x:v>IEEE Sensors Journal</x:v>
      </x:c>
      <x:c r="K235" s="5" t="str">
        <x:v>10.1109/jsen.2025.3554715</x:v>
      </x:c>
      <x:c r="L235" s="5" t="str"/>
      <x:c r="M235" s="5" t="str">
        <x:v>https://ieeexplore.ieee.org/document/10947267/</x:v>
      </x:c>
      <x:c r="N235" s="5" t="str">
        <x:v>https://doi.org/10.1109/jsen.2025.3554715</x:v>
      </x:c>
      <x:c r="O235" s="5" t="str">
        <x:v>Not extracted</x:v>
      </x:c>
      <x:c r="P235" s="5" t="str">
        <x:v>Not extracted</x:v>
      </x:c>
      <x:c r="Q235" s="5" t="str">
        <x:v>Not extracted</x:v>
      </x:c>
      <x:c r="R235" s="5" t="str">
        <x:v>Not extracted</x:v>
      </x:c>
      <x:c r="S235" s="5" t="str">
        <x:v>Unassigned</x:v>
      </x:c>
      <x:c r="T235" s="5" t="str">
        <x:v>Unassigned</x:v>
      </x:c>
      <x:c r="U235" s="5" t="str"/>
      <x:c r="V235" s="5" t="str"/>
      <x:c r="W235" s="5" t="str">
        <x:v>Not extracted</x:v>
      </x:c>
      <x:c r="X235" s="5" t="str">
        <x:v>Pending eligibility screening</x:v>
      </x:c>
      <x:c r="Y235" s="5" t="str">
        <x:v>he2025_C0324</x:v>
      </x:c>
      <x:c r="Z235" s="5" t="str">
        <x:v>Generated; needs verification</x:v>
      </x:c>
      <x:c r="AA235" s="5" t="str">
        <x:v>No manuscript yet</x:v>
      </x:c>
      <x:c r="AB235" s="5" t="str">
        <x:v>No</x:v>
      </x:c>
      <x:c r="AC235" s="5" t="str">
        <x:v>Not checked</x:v>
      </x:c>
      <x:c r="AD235" s="5" t="str">
        <x:v>Unscreened</x:v>
      </x:c>
      <x:c r="AE235" s="5" t="str">
        <x:v>Not linked</x:v>
      </x:c>
      <x:c r="AF235" s="5" t="str">
        <x:v>S11</x:v>
      </x:c>
      <x:c r="AG235" s="5" t="str">
        <x:v>Crossref REST API</x:v>
      </x:c>
      <x:c r="AH235" s="5" t="str">
        <x:v>Journal / conference record; peer review not audited</x:v>
      </x:c>
      <x:c r="AI235" s="5" t="str">
        <x:v>Metadata only</x:v>
      </x:c>
      <x:c r="AJ235" s="5" t="str">
        <x:v>Verified against deposited metadata; publisher citation check pending</x:v>
      </x:c>
      <x:c r="AK235" s="5" t="str">
        <x:v>journal-article</x:v>
      </x:c>
      <x:c r="AL235" s="5" t="str">
        <x:v>Title-scope candidate</x:v>
      </x:c>
      <x:c r="AM235" s="5" t="str">
        <x:v>review-paper/search-strategy/runs/PILOT-20261013-02/S11.json</x:v>
      </x:c>
      <x:c r="AN235" s="8" t="d">
        <x:v>2026-10-13T00:00:00.000Z</x:v>
      </x:c>
    </x:row>
    <x:row r="236" ht="53" customHeight="1">
      <x:c r="A236" s="5" t="str">
        <x:v>C0326</x:v>
      </x:c>
      <x:c r="B236" s="5" t="str">
        <x:v>Unassigned</x:v>
      </x:c>
      <x:c r="C236" s="5" t="str">
        <x:v>Unassigned</x:v>
      </x:c>
      <x:c r="D236" s="5" t="str">
        <x:v>Unassigned</x:v>
      </x:c>
      <x:c r="E236" s="5" t="str">
        <x:v>Unassigned</x:v>
      </x:c>
      <x:c r="F236" s="5" t="str">
        <x:v>Ammad Khan; Mostafa Tazarv; Abir M. Hadi; Kwanghee Won</x:v>
      </x:c>
      <x:c r="G236" s="5" t="str">
        <x:v>Ammad Khan</x:v>
      </x:c>
      <x:c r="H236" s="5" t="n">
        <x:v>2026</x:v>
      </x:c>
      <x:c r="I236" s="5" t="str">
        <x:v>Automation in bridge deck inspection using drone based RGB-thermal images</x:v>
      </x:c>
      <x:c r="J236" s="5" t="str">
        <x:v>Moving Toward Smart, Resilient and Sustainable Bridges</x:v>
      </x:c>
      <x:c r="K236" s="5" t="str">
        <x:v>10.1201/9781003778677-77</x:v>
      </x:c>
      <x:c r="L236" s="5" t="str"/>
      <x:c r="M236" s="5" t="str">
        <x:v>https://www.taylorfrancis.com/books/9781003778677/chapters/10.1201/9781003778677-77</x:v>
      </x:c>
      <x:c r="N236" s="5" t="str">
        <x:v>https://doi.org/10.1201/9781003778677-77</x:v>
      </x:c>
      <x:c r="O236" s="5" t="str">
        <x:v>Not extracted</x:v>
      </x:c>
      <x:c r="P236" s="5" t="str">
        <x:v>Not extracted</x:v>
      </x:c>
      <x:c r="Q236" s="5" t="str">
        <x:v>Not extracted</x:v>
      </x:c>
      <x:c r="R236" s="5" t="str">
        <x:v>Not extracted</x:v>
      </x:c>
      <x:c r="S236" s="5" t="str">
        <x:v>Unassigned</x:v>
      </x:c>
      <x:c r="T236" s="5" t="str">
        <x:v>Unassigned</x:v>
      </x:c>
      <x:c r="U236" s="5" t="str"/>
      <x:c r="V236" s="5" t="str"/>
      <x:c r="W236" s="5" t="str">
        <x:v>Not extracted</x:v>
      </x:c>
      <x:c r="X236" s="5" t="str">
        <x:v>Pending eligibility screening</x:v>
      </x:c>
      <x:c r="Y236" s="5" t="str">
        <x:v>khan2026_C0326</x:v>
      </x:c>
      <x:c r="Z236" s="5" t="str">
        <x:v>Generated; needs verification</x:v>
      </x:c>
      <x:c r="AA236" s="5" t="str">
        <x:v>No manuscript yet</x:v>
      </x:c>
      <x:c r="AB236" s="5" t="str">
        <x:v>No</x:v>
      </x:c>
      <x:c r="AC236" s="5" t="str">
        <x:v>Not checked</x:v>
      </x:c>
      <x:c r="AD236" s="5" t="str">
        <x:v>Unscreened</x:v>
      </x:c>
      <x:c r="AE236" s="5" t="str">
        <x:v>Not linked</x:v>
      </x:c>
      <x:c r="AF236" s="5" t="str">
        <x:v>S11</x:v>
      </x:c>
      <x:c r="AG236" s="5" t="str">
        <x:v>Crossref REST API</x:v>
      </x:c>
      <x:c r="AH236" s="5" t="str">
        <x:v>Publication status unverified</x:v>
      </x:c>
      <x:c r="AI236" s="5" t="str">
        <x:v>Metadata only</x:v>
      </x:c>
      <x:c r="AJ236" s="5" t="str">
        <x:v>Verified against deposited metadata; publisher citation check pending</x:v>
      </x:c>
      <x:c r="AK236" s="5" t="str">
        <x:v>book-chapter</x:v>
      </x:c>
      <x:c r="AL236" s="5" t="str">
        <x:v>Title-scope candidate</x:v>
      </x:c>
      <x:c r="AM236" s="5" t="str">
        <x:v>review-paper/search-strategy/runs/PILOT-20261013-02/S11.json</x:v>
      </x:c>
      <x:c r="AN236" s="8" t="d">
        <x:v>2026-10-13T00:00:00.000Z</x:v>
      </x:c>
    </x:row>
    <x:row r="237" ht="53" customHeight="1">
      <x:c r="A237" s="5" t="str">
        <x:v>C0327</x:v>
      </x:c>
      <x:c r="B237" s="5" t="str">
        <x:v>Unassigned</x:v>
      </x:c>
      <x:c r="C237" s="5" t="str">
        <x:v>Unassigned</x:v>
      </x:c>
      <x:c r="D237" s="5" t="str">
        <x:v>Unassigned</x:v>
      </x:c>
      <x:c r="E237" s="5" t="str">
        <x:v>Unassigned</x:v>
      </x:c>
      <x:c r="F237" s="5" t="str">
        <x:v>Antonella Branca; Oronzo Quarta; William Delaney; Arcangelo Distante</x:v>
      </x:c>
      <x:c r="G237" s="5" t="str">
        <x:v>Antonella Branca</x:v>
      </x:c>
      <x:c r="H237" s="5" t="n">
        <x:v>1995</x:v>
      </x:c>
      <x:c r="I237" s="5" t="str">
        <x:v>&lt;title&gt;Neural network for defect classification in industrial inspection&lt;/title&gt;</x:v>
      </x:c>
      <x:c r="J237" s="5" t="str">
        <x:v>SPIE Proceedings</x:v>
      </x:c>
      <x:c r="K237" s="5" t="str">
        <x:v>10.1117/12.205510</x:v>
      </x:c>
      <x:c r="L237" s="5" t="str"/>
      <x:c r="M237" s="5" t="str">
        <x:v>http://proceedings.spiedigitallibrary.org/proceeding.aspx?articleid=992377</x:v>
      </x:c>
      <x:c r="N237" s="5" t="str">
        <x:v>https://doi.org/10.1117/12.205510</x:v>
      </x:c>
      <x:c r="O237" s="5" t="str">
        <x:v>Not extracted</x:v>
      </x:c>
      <x:c r="P237" s="5" t="str">
        <x:v>Not extracted</x:v>
      </x:c>
      <x:c r="Q237" s="5" t="str">
        <x:v>Not extracted</x:v>
      </x:c>
      <x:c r="R237" s="5" t="str">
        <x:v>Not extracted</x:v>
      </x:c>
      <x:c r="S237" s="5" t="str">
        <x:v>Unassigned</x:v>
      </x:c>
      <x:c r="T237" s="5" t="str">
        <x:v>Unassigned</x:v>
      </x:c>
      <x:c r="U237" s="5" t="str"/>
      <x:c r="V237" s="5" t="str"/>
      <x:c r="W237" s="5" t="str">
        <x:v>Not extracted</x:v>
      </x:c>
      <x:c r="X237" s="5" t="str">
        <x:v>Pending eligibility screening</x:v>
      </x:c>
      <x:c r="Y237" s="5" t="str">
        <x:v>branca1995_C0327</x:v>
      </x:c>
      <x:c r="Z237" s="5" t="str">
        <x:v>Generated; needs verification</x:v>
      </x:c>
      <x:c r="AA237" s="5" t="str">
        <x:v>No manuscript yet</x:v>
      </x:c>
      <x:c r="AB237" s="5" t="str">
        <x:v>No</x:v>
      </x:c>
      <x:c r="AC237" s="5" t="str">
        <x:v>Not checked</x:v>
      </x:c>
      <x:c r="AD237" s="5" t="str">
        <x:v>Unscreened</x:v>
      </x:c>
      <x:c r="AE237" s="5" t="str">
        <x:v>Not linked</x:v>
      </x:c>
      <x:c r="AF237" s="5" t="str">
        <x:v>S11</x:v>
      </x:c>
      <x:c r="AG237" s="5" t="str">
        <x:v>Crossref REST API</x:v>
      </x:c>
      <x:c r="AH237" s="5" t="str">
        <x:v>Journal / conference record; peer review not audited</x:v>
      </x:c>
      <x:c r="AI237" s="5" t="str">
        <x:v>Metadata only</x:v>
      </x:c>
      <x:c r="AJ237" s="5" t="str">
        <x:v>Verified against deposited metadata; publisher citation check pending</x:v>
      </x:c>
      <x:c r="AK237" s="5" t="str">
        <x:v>proceedings-article</x:v>
      </x:c>
      <x:c r="AL237" s="5" t="str">
        <x:v>Title-scope candidate</x:v>
      </x:c>
      <x:c r="AM237" s="5" t="str">
        <x:v>review-paper/search-strategy/runs/PILOT-20261013-02/S11.json</x:v>
      </x:c>
      <x:c r="AN237" s="8" t="d">
        <x:v>2026-10-13T00:00:00.000Z</x:v>
      </x:c>
    </x:row>
  </x:sheetData>
  <x:dataValidations count="4">
    <x:dataValidation type="list" sqref="T8:T1000">
      <x:formula1>"Unassigned,Original study,Benchmark,Review,Methodology"</x:formula1>
    </x:dataValidation>
    <x:dataValidation type="list" sqref="AD8:AD1000">
      <x:formula1>"Unscreened,TA screened,Full-text sought,Full-text screened,Extracted,Excluded"</x:formula1>
    </x:dataValidation>
    <x:dataValidation type="list" sqref="AB8:AB1000">
      <x:formula1>"No,Yes,Needs correction"</x:formula1>
    </x:dataValidation>
    <x:dataValidation type="list" sqref="AI8:AI1000">
      <x:formula1>"Metadata only,Search extract only,Abstract inspected,Full text retrieved,Section extraction,Full extraction 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723ae07a804ac5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58" hidden="0" customWidth="1"/>
    <x:col min="3" max="3" width="28" hidden="0" customWidth="1"/>
    <x:col min="4" max="4" width="18" hidden="0" customWidth="1"/>
    <x:col min="5" max="5" width="2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42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42" hidden="0" customWidth="1"/>
    <x:col min="21" max="21" width="28" hidden="0" customWidth="1"/>
    <x:col min="22" max="22" width="28" hidden="0" customWidth="1"/>
    <x:col min="23" max="23" width="18" hidden="0" customWidth="1"/>
    <x:col min="24" max="24" width="28" hidden="0" customWidth="1"/>
    <x:col min="25" max="25" width="28" hidden="0" customWidth="1"/>
  </x:cols>
  <x:sheetData>
    <x:row r="2">
      <x:c r="A2" s="1" t="str">
        <x:v>Screening</x:v>
      </x:c>
    </x:row>
    <x:row r="4">
      <x:c r="A4" s="2" t="str">
        <x:v>One unique report per row. Human reviewers are not assigned; automatic queue flags do not determine eligibility.</x:v>
      </x:c>
    </x:row>
    <x:row r="7" ht="46" customHeight="1">
      <x:c r="A7" s="7" t="str">
        <x:v>Paper ID</x:v>
      </x:c>
      <x:c r="B7" s="7" t="str">
        <x:v>Full Title</x:v>
      </x:c>
      <x:c r="C7" s="7" t="str">
        <x:v>DOI</x:v>
      </x:c>
      <x:c r="D7" s="7" t="str">
        <x:v>arXiv ID</x:v>
      </x:c>
      <x:c r="E7" s="7" t="str">
        <x:v>Record Type</x:v>
      </x:c>
      <x:c r="F7" s="7" t="str">
        <x:v>Source / Search IDs</x:v>
      </x:c>
      <x:c r="G7" s="7" t="str">
        <x:v>Queue</x:v>
      </x:c>
      <x:c r="H7" s="7" t="str">
        <x:v>Reviewer 1</x:v>
      </x:c>
      <x:c r="I7" s="7" t="str">
        <x:v>TA Decision R1</x:v>
      </x:c>
      <x:c r="J7" s="7" t="str">
        <x:v>Reviewer 2</x:v>
      </x:c>
      <x:c r="K7" s="7" t="str">
        <x:v>TA Decision R2</x:v>
      </x:c>
      <x:c r="L7" s="7" t="str">
        <x:v>TA Final</x:v>
      </x:c>
      <x:c r="M7" s="7" t="str">
        <x:v>TA Reason Code</x:v>
      </x:c>
      <x:c r="N7" s="7" t="str">
        <x:v>Full text sought?</x:v>
      </x:c>
      <x:c r="O7" s="7" t="str">
        <x:v>Retrieval Result</x:v>
      </x:c>
      <x:c r="P7" s="7" t="str">
        <x:v>FT Decision R1</x:v>
      </x:c>
      <x:c r="Q7" s="7" t="str">
        <x:v>FT Decision R2</x:v>
      </x:c>
      <x:c r="R7" s="7" t="str">
        <x:v>FT Final</x:v>
      </x:c>
      <x:c r="S7" s="7" t="str">
        <x:v>FT Exclusion Code</x:v>
      </x:c>
      <x:c r="T7" s="7" t="str">
        <x:v>Decision Rationale</x:v>
      </x:c>
      <x:c r="U7" s="7" t="str">
        <x:v>Decision Date</x:v>
      </x:c>
      <x:c r="V7" s="7" t="str">
        <x:v>Adjudicator</x:v>
      </x:c>
      <x:c r="W7" s="7" t="str">
        <x:v>Study ID</x:v>
      </x:c>
      <x:c r="X7" s="7" t="str">
        <x:v>Included in synthesis?</x:v>
      </x:c>
      <x:c r="Y7" s="7" t="str">
        <x:v>Decision Integrity</x:v>
      </x:c>
    </x:row>
    <x:row r="8" ht="40" customHeight="1">
      <x:c r="A8" s="5" t="str">
        <x:v>C0001</x:v>
      </x:c>
      <x:c r="B8" s="5" t="str">
        <x:v>Calibrated few-shot industrial anomaly detection with frozen visual features</x:v>
      </x:c>
      <x:c r="C8" s="5" t="str">
        <x:v>10.2139/ssrn.7230717</x:v>
      </x:c>
      <x:c r="D8" s="5" t="str"/>
      <x:c r="E8" s="5" t="str">
        <x:v>posted-content</x:v>
      </x:c>
      <x:c r="F8" s="5" t="str">
        <x:v>S01; S02; S05; S10; S12; S16</x:v>
      </x:c>
      <x:c r="G8" s="5" t="str">
        <x:v>Title-scope candidate</x:v>
      </x:c>
      <x:c r="H8" s="5" t="str">
        <x:v>Not assigned</x:v>
      </x:c>
      <x:c r="I8" s="5" t="str">
        <x:v>Not started</x:v>
      </x:c>
      <x:c r="J8" s="5" t="str">
        <x:v>Not assigned</x:v>
      </x:c>
      <x:c r="K8" s="5" t="str">
        <x:v>Not started</x:v>
      </x:c>
      <x:c r="L8" s="5" t="str">
        <x:v>Pending</x:v>
      </x:c>
      <x:c r="M8" s="5" t="str"/>
      <x:c r="N8" s="5" t="str">
        <x:v>Not started</x:v>
      </x:c>
      <x:c r="O8" s="5" t="str">
        <x:v>Not started</x:v>
      </x:c>
      <x:c r="P8" s="5" t="str">
        <x:v>Not started</x:v>
      </x:c>
      <x:c r="Q8" s="5" t="str">
        <x:v>Not started</x:v>
      </x:c>
      <x:c r="R8" s="5" t="str">
        <x:v>Pending</x:v>
      </x:c>
      <x:c r="S8" s="5" t="str"/>
      <x:c r="T8" s="5" t="str"/>
      <x:c r="U8" s="5" t="str"/>
      <x:c r="V8" s="5" t="str"/>
      <x:c r="W8" s="5" t="str">
        <x:v>Not linked</x:v>
      </x:c>
      <x:c r="X8" s="5" t="str">
        <x:v>Pending</x:v>
      </x:c>
      <x:c r="Y8" s="5" t="str">
        <x:f>IF(AND(L8="Pending",R8="Pending"),"Pending screening",IF(H8="Not assigned","Assign reviewer",IF(AND(L8="Exclude",M8=""),"Missing TA exclusion reason",IF(AND(R8="Exclude",S8=""),"Missing FT exclusion reason","Decision recorded"))))</x:f>
        <x:v>Pending screening</x:v>
      </x:c>
    </x:row>
    <x:row r="9" ht="40" customHeight="1">
      <x:c r="A9" s="5" t="str">
        <x:v>C0002</x:v>
      </x:c>
      <x:c r="B9" s="5" t="str">
        <x:v>SSVIT-4.0: A Self-Supervised Hybrid CNN-Transformer Framework for Industrial Visual Anomaly Detection</x:v>
      </x:c>
      <x:c r="C9" s="5" t="str">
        <x:v>10.5220/0014500500005024</x:v>
      </x:c>
      <x:c r="D9" s="5" t="str"/>
      <x:c r="E9" s="5" t="str">
        <x:v>proceedings-article</x:v>
      </x:c>
      <x:c r="F9" s="5" t="str">
        <x:v>S01; S02; S10; S12; S16</x:v>
      </x:c>
      <x:c r="G9" s="5" t="str">
        <x:v>Title-scope candidate</x:v>
      </x:c>
      <x:c r="H9" s="5" t="str">
        <x:v>Not assigned</x:v>
      </x:c>
      <x:c r="I9" s="5" t="str">
        <x:v>Not started</x:v>
      </x:c>
      <x:c r="J9" s="5" t="str">
        <x:v>Not assigned</x:v>
      </x:c>
      <x:c r="K9" s="5" t="str">
        <x:v>Not started</x:v>
      </x:c>
      <x:c r="L9" s="5" t="str">
        <x:v>Pending</x:v>
      </x:c>
      <x:c r="M9" s="5" t="str"/>
      <x:c r="N9" s="5" t="str">
        <x:v>Not started</x:v>
      </x:c>
      <x:c r="O9" s="5" t="str">
        <x:v>Not started</x:v>
      </x:c>
      <x:c r="P9" s="5" t="str">
        <x:v>Not started</x:v>
      </x:c>
      <x:c r="Q9" s="5" t="str">
        <x:v>Not started</x:v>
      </x:c>
      <x:c r="R9" s="5" t="str">
        <x:v>Pending</x:v>
      </x:c>
      <x:c r="S9" s="5" t="str"/>
      <x:c r="T9" s="5" t="str"/>
      <x:c r="U9" s="5" t="str"/>
      <x:c r="V9" s="5" t="str"/>
      <x:c r="W9" s="5" t="str">
        <x:v>Not linked</x:v>
      </x:c>
      <x:c r="X9" s="5" t="str">
        <x:v>Pending</x:v>
      </x:c>
      <x:c r="Y9" s="5" t="str">
        <x:f>IF(AND(L9="Pending",R9="Pending"),"Pending screening",IF(H9="Not assigned","Assign reviewer",IF(AND(L9="Exclude",M9=""),"Missing TA exclusion reason",IF(AND(R9="Exclude",S9=""),"Missing FT exclusion reason","Decision recorded"))))</x:f>
        <x:v>Pending screening</x:v>
      </x:c>
    </x:row>
    <x:row r="10" ht="40" customHeight="1">
      <x:c r="A10" s="5" t="str">
        <x:v>C0003</x:v>
      </x:c>
      <x:c r="B10" s="5" t="str">
        <x:v>Anomaly Detection Utilizing PatchCore for Reimagining Industrial Visual Inspection</x:v>
      </x:c>
      <x:c r="C10" s="5" t="str">
        <x:v>10.47852/bonviewaia52026321</x:v>
      </x:c>
      <x:c r="D10" s="5" t="str"/>
      <x:c r="E10" s="5" t="str">
        <x:v>journal-article</x:v>
      </x:c>
      <x:c r="F10" s="5" t="str">
        <x:v>S01; S02; S06; S10; S12; S16</x:v>
      </x:c>
      <x:c r="G10" s="5" t="str">
        <x:v>Title-scope candidate</x:v>
      </x:c>
      <x:c r="H10" s="5" t="str">
        <x:v>Not assigned</x:v>
      </x:c>
      <x:c r="I10" s="5" t="str">
        <x:v>Not started</x:v>
      </x:c>
      <x:c r="J10" s="5" t="str">
        <x:v>Not assigned</x:v>
      </x:c>
      <x:c r="K10" s="5" t="str">
        <x:v>Not started</x:v>
      </x:c>
      <x:c r="L10" s="5" t="str">
        <x:v>Pending</x:v>
      </x:c>
      <x:c r="M10" s="5" t="str"/>
      <x:c r="N10" s="5" t="str">
        <x:v>Not started</x:v>
      </x:c>
      <x:c r="O10" s="5" t="str">
        <x:v>Not started</x:v>
      </x:c>
      <x:c r="P10" s="5" t="str">
        <x:v>Not started</x:v>
      </x:c>
      <x:c r="Q10" s="5" t="str">
        <x:v>Not started</x:v>
      </x:c>
      <x:c r="R10" s="5" t="str">
        <x:v>Pending</x:v>
      </x:c>
      <x:c r="S10" s="5" t="str"/>
      <x:c r="T10" s="5" t="str"/>
      <x:c r="U10" s="5" t="str"/>
      <x:c r="V10" s="5" t="str"/>
      <x:c r="W10" s="5" t="str">
        <x:v>Not linked</x:v>
      </x:c>
      <x:c r="X10" s="5" t="str">
        <x:v>Pending</x:v>
      </x:c>
      <x:c r="Y10" s="5" t="str">
        <x:f>IF(AND(L10="Pending",R10="Pending"),"Pending screening",IF(H10="Not assigned","Assign reviewer",IF(AND(L10="Exclude",M10=""),"Missing TA exclusion reason",IF(AND(R10="Exclude",S10=""),"Missing FT exclusion reason","Decision recorded"))))</x:f>
        <x:v>Pending screening</x:v>
      </x:c>
    </x:row>
    <x:row r="11" ht="40" customHeight="1">
      <x:c r="A11" s="5" t="str">
        <x:v>C0004</x:v>
      </x:c>
      <x:c r="B11" s="5" t="str">
        <x:v>Dynamic Anomaly-Aware Segmentation: Enabling Contextual Text-Visual Alignment for Industrial Defect Detection</x:v>
      </x:c>
      <x:c r="C11" s="5" t="str">
        <x:v>10.2139/ssrn.6597747</x:v>
      </x:c>
      <x:c r="D11" s="5" t="str"/>
      <x:c r="E11" s="5" t="str">
        <x:v>posted-content</x:v>
      </x:c>
      <x:c r="F11" s="5" t="str">
        <x:v>S01; S02; S04; S12; S16</x:v>
      </x:c>
      <x:c r="G11" s="5" t="str">
        <x:v>Title-scope candidate</x:v>
      </x:c>
      <x:c r="H11" s="5" t="str">
        <x:v>Not assigned</x:v>
      </x:c>
      <x:c r="I11" s="5" t="str">
        <x:v>Not started</x:v>
      </x:c>
      <x:c r="J11" s="5" t="str">
        <x:v>Not assigned</x:v>
      </x:c>
      <x:c r="K11" s="5" t="str">
        <x:v>Not started</x:v>
      </x:c>
      <x:c r="L11" s="5" t="str">
        <x:v>Pending</x:v>
      </x:c>
      <x:c r="M11" s="5" t="str"/>
      <x:c r="N11" s="5" t="str">
        <x:v>Not started</x:v>
      </x:c>
      <x:c r="O11" s="5" t="str">
        <x:v>Not started</x:v>
      </x:c>
      <x:c r="P11" s="5" t="str">
        <x:v>Not started</x:v>
      </x:c>
      <x:c r="Q11" s="5" t="str">
        <x:v>Not started</x:v>
      </x:c>
      <x:c r="R11" s="5" t="str">
        <x:v>Pending</x:v>
      </x:c>
      <x:c r="S11" s="5" t="str"/>
      <x:c r="T11" s="5" t="str"/>
      <x:c r="U11" s="5" t="str"/>
      <x:c r="V11" s="5" t="str"/>
      <x:c r="W11" s="5" t="str">
        <x:v>Not linked</x:v>
      </x:c>
      <x:c r="X11" s="5" t="str">
        <x:v>Pending</x:v>
      </x:c>
      <x:c r="Y11" s="5" t="str">
        <x:f>IF(AND(L11="Pending",R11="Pending"),"Pending screening",IF(H11="Not assigned","Assign reviewer",IF(AND(L11="Exclude",M11=""),"Missing TA exclusion reason",IF(AND(R11="Exclude",S11=""),"Missing FT exclusion reason","Decision recorded"))))</x:f>
        <x:v>Pending screening</x:v>
      </x:c>
    </x:row>
    <x:row r="12" ht="40" customHeight="1">
      <x:c r="A12" s="5" t="str">
        <x:v>C0005</x:v>
      </x:c>
      <x:c r="B12" s="5" t="str">
        <x:v>Unsupervised Learning Paradigm for Industrial Visual Anomaly Detection</x:v>
      </x:c>
      <x:c r="C12" s="5" t="str">
        <x:v>10.1201/9781003644972-11</x:v>
      </x:c>
      <x:c r="D12" s="5" t="str"/>
      <x:c r="E12" s="5" t="str">
        <x:v>book-chapter</x:v>
      </x:c>
      <x:c r="F12" s="5" t="str">
        <x:v>S01; S02; S12; S16</x:v>
      </x:c>
      <x:c r="G12" s="5" t="str">
        <x:v>Title-scope candidate</x:v>
      </x:c>
      <x:c r="H12" s="5" t="str">
        <x:v>Not assigned</x:v>
      </x:c>
      <x:c r="I12" s="5" t="str">
        <x:v>Not started</x:v>
      </x:c>
      <x:c r="J12" s="5" t="str">
        <x:v>Not assigned</x:v>
      </x:c>
      <x:c r="K12" s="5" t="str">
        <x:v>Not started</x:v>
      </x:c>
      <x:c r="L12" s="5" t="str">
        <x:v>Pending</x:v>
      </x:c>
      <x:c r="M12" s="5" t="str"/>
      <x:c r="N12" s="5" t="str">
        <x:v>Not started</x:v>
      </x:c>
      <x:c r="O12" s="5" t="str">
        <x:v>Not started</x:v>
      </x:c>
      <x:c r="P12" s="5" t="str">
        <x:v>Not started</x:v>
      </x:c>
      <x:c r="Q12" s="5" t="str">
        <x:v>Not started</x:v>
      </x:c>
      <x:c r="R12" s="5" t="str">
        <x:v>Pending</x:v>
      </x:c>
      <x:c r="S12" s="5" t="str"/>
      <x:c r="T12" s="5" t="str"/>
      <x:c r="U12" s="5" t="str"/>
      <x:c r="V12" s="5" t="str"/>
      <x:c r="W12" s="5" t="str">
        <x:v>Not linked</x:v>
      </x:c>
      <x:c r="X12" s="5" t="str">
        <x:v>Pending</x:v>
      </x:c>
      <x:c r="Y12" s="5" t="str">
        <x:f>IF(AND(L12="Pending",R12="Pending"),"Pending screening",IF(H12="Not assigned","Assign reviewer",IF(AND(L12="Exclude",M12=""),"Missing TA exclusion reason",IF(AND(R12="Exclude",S12=""),"Missing FT exclusion reason","Decision recorded"))))</x:f>
        <x:v>Pending screening</x:v>
      </x:c>
    </x:row>
    <x:row r="13" ht="40" customHeight="1">
      <x:c r="A13" s="5" t="str">
        <x:v>C0006</x:v>
      </x:c>
      <x:c r="B13" s="5" t="str">
        <x:v>Foundation Models for Cold-Start Industrial Visual Anomaly Detection: A Survey</x:v>
      </x:c>
      <x:c r="C13" s="5" t="str">
        <x:v>10.21203/rs.3.rs-10598232/v1</x:v>
      </x:c>
      <x:c r="D13" s="5" t="str"/>
      <x:c r="E13" s="5" t="str">
        <x:v>posted-content</x:v>
      </x:c>
      <x:c r="F13" s="5" t="str">
        <x:v>S01; S02; S12; S16</x:v>
      </x:c>
      <x:c r="G13" s="5" t="str">
        <x:v>Title-scope candidate</x:v>
      </x:c>
      <x:c r="H13" s="5" t="str">
        <x:v>Not assigned</x:v>
      </x:c>
      <x:c r="I13" s="5" t="str">
        <x:v>Not started</x:v>
      </x:c>
      <x:c r="J13" s="5" t="str">
        <x:v>Not assigned</x:v>
      </x:c>
      <x:c r="K13" s="5" t="str">
        <x:v>Not started</x:v>
      </x:c>
      <x:c r="L13" s="5" t="str">
        <x:v>Pending</x:v>
      </x:c>
      <x:c r="M13" s="5" t="str"/>
      <x:c r="N13" s="5" t="str">
        <x:v>Not started</x:v>
      </x:c>
      <x:c r="O13" s="5" t="str">
        <x:v>Not started</x:v>
      </x:c>
      <x:c r="P13" s="5" t="str">
        <x:v>Not started</x:v>
      </x:c>
      <x:c r="Q13" s="5" t="str">
        <x:v>Not started</x:v>
      </x:c>
      <x:c r="R13" s="5" t="str">
        <x:v>Pending</x:v>
      </x:c>
      <x:c r="S13" s="5" t="str"/>
      <x:c r="T13" s="5" t="str"/>
      <x:c r="U13" s="5" t="str"/>
      <x:c r="V13" s="5" t="str"/>
      <x:c r="W13" s="5" t="str">
        <x:v>Not linked</x:v>
      </x:c>
      <x:c r="X13" s="5" t="str">
        <x:v>Pending</x:v>
      </x:c>
      <x:c r="Y13" s="5" t="str">
        <x:f>IF(AND(L13="Pending",R13="Pending"),"Pending screening",IF(H13="Not assigned","Assign reviewer",IF(AND(L13="Exclude",M13=""),"Missing TA exclusion reason",IF(AND(R13="Exclude",S13=""),"Missing FT exclusion reason","Decision recorded"))))</x:f>
        <x:v>Pending screening</x:v>
      </x:c>
    </x:row>
    <x:row r="14" ht="40" customHeight="1">
      <x:c r="A14" s="5" t="str">
        <x:v>C0007</x:v>
      </x:c>
      <x:c r="B14" s="5" t="str">
        <x:v>Fair: Frequency-Aware Image Restoration for Industrial Visual Anomaly Detection</x:v>
      </x:c>
      <x:c r="C14" s="5" t="str">
        <x:v>10.2139/ssrn.4742821</x:v>
      </x:c>
      <x:c r="D14" s="5" t="str"/>
      <x:c r="E14" s="5" t="str">
        <x:v>posted-content</x:v>
      </x:c>
      <x:c r="F14" s="5" t="str">
        <x:v>S01; S02; S12; S16</x:v>
      </x:c>
      <x:c r="G14" s="5" t="str">
        <x:v>Title-scope candidate</x:v>
      </x:c>
      <x:c r="H14" s="5" t="str">
        <x:v>Not assigned</x:v>
      </x:c>
      <x:c r="I14" s="5" t="str">
        <x:v>Not started</x:v>
      </x:c>
      <x:c r="J14" s="5" t="str">
        <x:v>Not assigned</x:v>
      </x:c>
      <x:c r="K14" s="5" t="str">
        <x:v>Not started</x:v>
      </x:c>
      <x:c r="L14" s="5" t="str">
        <x:v>Pending</x:v>
      </x:c>
      <x:c r="M14" s="5" t="str"/>
      <x:c r="N14" s="5" t="str">
        <x:v>Not started</x:v>
      </x:c>
      <x:c r="O14" s="5" t="str">
        <x:v>Not started</x:v>
      </x:c>
      <x:c r="P14" s="5" t="str">
        <x:v>Not started</x:v>
      </x:c>
      <x:c r="Q14" s="5" t="str">
        <x:v>Not started</x:v>
      </x:c>
      <x:c r="R14" s="5" t="str">
        <x:v>Pending</x:v>
      </x:c>
      <x:c r="S14" s="5" t="str"/>
      <x:c r="T14" s="5" t="str"/>
      <x:c r="U14" s="5" t="str"/>
      <x:c r="V14" s="5" t="str"/>
      <x:c r="W14" s="5" t="str">
        <x:v>Not linked</x:v>
      </x:c>
      <x:c r="X14" s="5" t="str">
        <x:v>Pending</x:v>
      </x:c>
      <x:c r="Y14" s="5" t="str">
        <x:f>IF(AND(L14="Pending",R14="Pending"),"Pending screening",IF(H14="Not assigned","Assign reviewer",IF(AND(L14="Exclude",M14=""),"Missing TA exclusion reason",IF(AND(R14="Exclude",S14=""),"Missing FT exclusion reason","Decision recorded"))))</x:f>
        <x:v>Pending screening</x:v>
      </x:c>
    </x:row>
    <x:row r="15" ht="40" customHeight="1">
      <x:c r="A15" s="5" t="str">
        <x:v>C0008</x:v>
      </x:c>
      <x:c r="B15" s="5" t="str">
        <x:v>Embedding Stability-Guided Early-Stopping for Industrial Visual Anomaly Detection</x:v>
      </x:c>
      <x:c r="C15" s="5" t="str">
        <x:v>10.1109/icmlt69916.2026.11688969</x:v>
      </x:c>
      <x:c r="D15" s="5" t="str"/>
      <x:c r="E15" s="5" t="str">
        <x:v>proceedings-article</x:v>
      </x:c>
      <x:c r="F15" s="5" t="str">
        <x:v>S01; S02; S12; S16</x:v>
      </x:c>
      <x:c r="G15" s="5" t="str">
        <x:v>Title-scope candidate</x:v>
      </x:c>
      <x:c r="H15" s="5" t="str">
        <x:v>Not assigned</x:v>
      </x:c>
      <x:c r="I15" s="5" t="str">
        <x:v>Not started</x:v>
      </x:c>
      <x:c r="J15" s="5" t="str">
        <x:v>Not assigned</x:v>
      </x:c>
      <x:c r="K15" s="5" t="str">
        <x:v>Not started</x:v>
      </x:c>
      <x:c r="L15" s="5" t="str">
        <x:v>Pending</x:v>
      </x:c>
      <x:c r="M15" s="5" t="str"/>
      <x:c r="N15" s="5" t="str">
        <x:v>Not started</x:v>
      </x:c>
      <x:c r="O15" s="5" t="str">
        <x:v>Not started</x:v>
      </x:c>
      <x:c r="P15" s="5" t="str">
        <x:v>Not started</x:v>
      </x:c>
      <x:c r="Q15" s="5" t="str">
        <x:v>Not started</x:v>
      </x:c>
      <x:c r="R15" s="5" t="str">
        <x:v>Pending</x:v>
      </x:c>
      <x:c r="S15" s="5" t="str"/>
      <x:c r="T15" s="5" t="str"/>
      <x:c r="U15" s="5" t="str"/>
      <x:c r="V15" s="5" t="str"/>
      <x:c r="W15" s="5" t="str">
        <x:v>Not linked</x:v>
      </x:c>
      <x:c r="X15" s="5" t="str">
        <x:v>Pending</x:v>
      </x:c>
      <x:c r="Y15" s="5" t="str">
        <x:f>IF(AND(L15="Pending",R15="Pending"),"Pending screening",IF(H15="Not assigned","Assign reviewer",IF(AND(L15="Exclude",M15=""),"Missing TA exclusion reason",IF(AND(R15="Exclude",S15=""),"Missing FT exclusion reason","Decision recorded"))))</x:f>
        <x:v>Pending screening</x:v>
      </x:c>
    </x:row>
    <x:row r="16" ht="40" customHeight="1">
      <x:c r="A16" s="5" t="str">
        <x:v>C0009</x:v>
      </x:c>
      <x:c r="B16" s="5" t="str">
        <x:v>Outlier Exposure in Visual Industrial Anomaly Detection - Survey</x:v>
      </x:c>
      <x:c r="C16" s="5" t="str">
        <x:v>10.1109/icdmw65004.2024.00008</x:v>
      </x:c>
      <x:c r="D16" s="5" t="str"/>
      <x:c r="E16" s="5" t="str">
        <x:v>proceedings-article</x:v>
      </x:c>
      <x:c r="F16" s="5" t="str">
        <x:v>S01; S02; S12; S16</x:v>
      </x:c>
      <x:c r="G16" s="5" t="str">
        <x:v>Title-scope candidate</x:v>
      </x:c>
      <x:c r="H16" s="5" t="str">
        <x:v>Not assigned</x:v>
      </x:c>
      <x:c r="I16" s="5" t="str">
        <x:v>Not started</x:v>
      </x:c>
      <x:c r="J16" s="5" t="str">
        <x:v>Not assigned</x:v>
      </x:c>
      <x:c r="K16" s="5" t="str">
        <x:v>Not started</x:v>
      </x:c>
      <x:c r="L16" s="5" t="str">
        <x:v>Pending</x:v>
      </x:c>
      <x:c r="M16" s="5" t="str"/>
      <x:c r="N16" s="5" t="str">
        <x:v>Not started</x:v>
      </x:c>
      <x:c r="O16" s="5" t="str">
        <x:v>Not started</x:v>
      </x:c>
      <x:c r="P16" s="5" t="str">
        <x:v>Not started</x:v>
      </x:c>
      <x:c r="Q16" s="5" t="str">
        <x:v>Not started</x:v>
      </x:c>
      <x:c r="R16" s="5" t="str">
        <x:v>Pending</x:v>
      </x:c>
      <x:c r="S16" s="5" t="str"/>
      <x:c r="T16" s="5" t="str"/>
      <x:c r="U16" s="5" t="str"/>
      <x:c r="V16" s="5" t="str"/>
      <x:c r="W16" s="5" t="str">
        <x:v>Not linked</x:v>
      </x:c>
      <x:c r="X16" s="5" t="str">
        <x:v>Pending</x:v>
      </x:c>
      <x:c r="Y16" s="5" t="str">
        <x:f>IF(AND(L16="Pending",R16="Pending"),"Pending screening",IF(H16="Not assigned","Assign reviewer",IF(AND(L16="Exclude",M16=""),"Missing TA exclusion reason",IF(AND(R16="Exclude",S16=""),"Missing FT exclusion reason","Decision recorded"))))</x:f>
        <x:v>Pending screening</x:v>
      </x:c>
    </x:row>
    <x:row r="17" ht="40" customHeight="1">
      <x:c r="A17" s="5" t="str">
        <x:v>C0010</x:v>
      </x:c>
      <x:c r="B17" s="5" t="str">
        <x:v>Unsupervised industrial anomaly detection with diffusion models</x:v>
      </x:c>
      <x:c r="C17" s="5" t="str">
        <x:v>10.1016/j.jvcir.2023.103983</x:v>
      </x:c>
      <x:c r="D17" s="5" t="str"/>
      <x:c r="E17" s="5" t="str">
        <x:v>journal-article</x:v>
      </x:c>
      <x:c r="F17" s="5" t="str">
        <x:v>S01; S02; S12; S16</x:v>
      </x:c>
      <x:c r="G17" s="5" t="str">
        <x:v>Title-scope candidate</x:v>
      </x:c>
      <x:c r="H17" s="5" t="str">
        <x:v>Not assigned</x:v>
      </x:c>
      <x:c r="I17" s="5" t="str">
        <x:v>Not started</x:v>
      </x:c>
      <x:c r="J17" s="5" t="str">
        <x:v>Not assigned</x:v>
      </x:c>
      <x:c r="K17" s="5" t="str">
        <x:v>Not started</x:v>
      </x:c>
      <x:c r="L17" s="5" t="str">
        <x:v>Pending</x:v>
      </x:c>
      <x:c r="M17" s="5" t="str"/>
      <x:c r="N17" s="5" t="str">
        <x:v>Not started</x:v>
      </x:c>
      <x:c r="O17" s="5" t="str">
        <x:v>Not started</x:v>
      </x:c>
      <x:c r="P17" s="5" t="str">
        <x:v>Not started</x:v>
      </x:c>
      <x:c r="Q17" s="5" t="str">
        <x:v>Not started</x:v>
      </x:c>
      <x:c r="R17" s="5" t="str">
        <x:v>Pending</x:v>
      </x:c>
      <x:c r="S17" s="5" t="str"/>
      <x:c r="T17" s="5" t="str"/>
      <x:c r="U17" s="5" t="str"/>
      <x:c r="V17" s="5" t="str"/>
      <x:c r="W17" s="5" t="str">
        <x:v>Not linked</x:v>
      </x:c>
      <x:c r="X17" s="5" t="str">
        <x:v>Pending</x:v>
      </x:c>
      <x:c r="Y17" s="5" t="str">
        <x:f>IF(AND(L17="Pending",R17="Pending"),"Pending screening",IF(H17="Not assigned","Assign reviewer",IF(AND(L17="Exclude",M17=""),"Missing TA exclusion reason",IF(AND(R17="Exclude",S17=""),"Missing FT exclusion reason","Decision recorded"))))</x:f>
        <x:v>Pending screening</x:v>
      </x:c>
    </x:row>
    <x:row r="18" ht="40" customHeight="1">
      <x:c r="A18" s="5" t="str">
        <x:v>C0011</x:v>
      </x:c>
      <x:c r="B18" s="5" t="str">
        <x:v>Anomaly-prior guided inpainting for industrial visual anomaly detection</x:v>
      </x:c>
      <x:c r="C18" s="5" t="str">
        <x:v>10.1016/j.optlastec.2023.110296</x:v>
      </x:c>
      <x:c r="D18" s="5" t="str"/>
      <x:c r="E18" s="5" t="str">
        <x:v>journal-article</x:v>
      </x:c>
      <x:c r="F18" s="5" t="str">
        <x:v>S01; S02; S16</x:v>
      </x:c>
      <x:c r="G18" s="5" t="str">
        <x:v>Title-scope candidate</x:v>
      </x:c>
      <x:c r="H18" s="5" t="str">
        <x:v>Not assigned</x:v>
      </x:c>
      <x:c r="I18" s="5" t="str">
        <x:v>Not started</x:v>
      </x:c>
      <x:c r="J18" s="5" t="str">
        <x:v>Not assigned</x:v>
      </x:c>
      <x:c r="K18" s="5" t="str">
        <x:v>Not started</x:v>
      </x:c>
      <x:c r="L18" s="5" t="str">
        <x:v>Pending</x:v>
      </x:c>
      <x:c r="M18" s="5" t="str"/>
      <x:c r="N18" s="5" t="str">
        <x:v>Not started</x:v>
      </x:c>
      <x:c r="O18" s="5" t="str">
        <x:v>Not started</x:v>
      </x:c>
      <x:c r="P18" s="5" t="str">
        <x:v>Not started</x:v>
      </x:c>
      <x:c r="Q18" s="5" t="str">
        <x:v>Not started</x:v>
      </x:c>
      <x:c r="R18" s="5" t="str">
        <x:v>Pending</x:v>
      </x:c>
      <x:c r="S18" s="5" t="str"/>
      <x:c r="T18" s="5" t="str"/>
      <x:c r="U18" s="5" t="str"/>
      <x:c r="V18" s="5" t="str"/>
      <x:c r="W18" s="5" t="str">
        <x:v>Not linked</x:v>
      </x:c>
      <x:c r="X18" s="5" t="str">
        <x:v>Pending</x:v>
      </x:c>
      <x:c r="Y18" s="5" t="str">
        <x:f>IF(AND(L18="Pending",R18="Pending"),"Pending screening",IF(H18="Not assigned","Assign reviewer",IF(AND(L18="Exclude",M18=""),"Missing TA exclusion reason",IF(AND(R18="Exclude",S18=""),"Missing FT exclusion reason","Decision recorded"))))</x:f>
        <x:v>Pending screening</x:v>
      </x:c>
    </x:row>
    <x:row r="19" ht="53" customHeight="1">
      <x:c r="A19" s="5" t="str">
        <x:v>C0012</x:v>
      </x:c>
      <x:c r="B19" s="5" t="str">
        <x:v>Online Industrial Visual Anomaly Detection Using Temporal Aggregation Representations: A Case Study of Yarn Breakage Detection in Warp Knitting</x:v>
      </x:c>
      <x:c r="C19" s="5" t="str">
        <x:v>10.2139/ssrn.7597210</x:v>
      </x:c>
      <x:c r="D19" s="5" t="str"/>
      <x:c r="E19" s="5" t="str">
        <x:v>posted-content</x:v>
      </x:c>
      <x:c r="F19" s="5" t="str">
        <x:v>S01; S02; S16</x:v>
      </x:c>
      <x:c r="G19" s="5" t="str">
        <x:v>Title-scope candidate</x:v>
      </x:c>
      <x:c r="H19" s="5" t="str">
        <x:v>Not assigned</x:v>
      </x:c>
      <x:c r="I19" s="5" t="str">
        <x:v>Not started</x:v>
      </x:c>
      <x:c r="J19" s="5" t="str">
        <x:v>Not assigned</x:v>
      </x:c>
      <x:c r="K19" s="5" t="str">
        <x:v>Not started</x:v>
      </x:c>
      <x:c r="L19" s="5" t="str">
        <x:v>Pending</x:v>
      </x:c>
      <x:c r="M19" s="5" t="str"/>
      <x:c r="N19" s="5" t="str">
        <x:v>Not started</x:v>
      </x:c>
      <x:c r="O19" s="5" t="str">
        <x:v>Not started</x:v>
      </x:c>
      <x:c r="P19" s="5" t="str">
        <x:v>Not started</x:v>
      </x:c>
      <x:c r="Q19" s="5" t="str">
        <x:v>Not started</x:v>
      </x:c>
      <x:c r="R19" s="5" t="str">
        <x:v>Pending</x:v>
      </x:c>
      <x:c r="S19" s="5" t="str"/>
      <x:c r="T19" s="5" t="str"/>
      <x:c r="U19" s="5" t="str"/>
      <x:c r="V19" s="5" t="str"/>
      <x:c r="W19" s="5" t="str">
        <x:v>Not linked</x:v>
      </x:c>
      <x:c r="X19" s="5" t="str">
        <x:v>Pending</x:v>
      </x:c>
      <x:c r="Y19" s="5" t="str">
        <x:f>IF(AND(L19="Pending",R19="Pending"),"Pending screening",IF(H19="Not assigned","Assign reviewer",IF(AND(L19="Exclude",M19=""),"Missing TA exclusion reason",IF(AND(R19="Exclude",S19=""),"Missing FT exclusion reason","Decision recorded"))))</x:f>
        <x:v>Pending screening</x:v>
      </x:c>
    </x:row>
    <x:row r="20" ht="40" customHeight="1">
      <x:c r="A20" s="5" t="str">
        <x:v>C0013</x:v>
      </x:c>
      <x:c r="B20" s="5" t="str">
        <x:v>Anomaly Detection with Visual Question Answering</x:v>
      </x:c>
      <x:c r="C20" s="5" t="str">
        <x:v>10.21236/ad1214022</x:v>
      </x:c>
      <x:c r="D20" s="5" t="str"/>
      <x:c r="E20" s="5" t="str">
        <x:v>report</x:v>
      </x:c>
      <x:c r="F20" s="5" t="str">
        <x:v>S01; S16</x:v>
      </x:c>
      <x:c r="G20" s="5" t="str">
        <x:v>Lower-priority; inspect scope</x:v>
      </x:c>
      <x:c r="H20" s="5" t="str">
        <x:v>Not assigned</x:v>
      </x:c>
      <x:c r="I20" s="5" t="str">
        <x:v>Not started</x:v>
      </x:c>
      <x:c r="J20" s="5" t="str">
        <x:v>Not assigned</x:v>
      </x:c>
      <x:c r="K20" s="5" t="str">
        <x:v>Not started</x:v>
      </x:c>
      <x:c r="L20" s="5" t="str">
        <x:v>Pending</x:v>
      </x:c>
      <x:c r="M20" s="5" t="str"/>
      <x:c r="N20" s="5" t="str">
        <x:v>Not started</x:v>
      </x:c>
      <x:c r="O20" s="5" t="str">
        <x:v>Not started</x:v>
      </x:c>
      <x:c r="P20" s="5" t="str">
        <x:v>Not started</x:v>
      </x:c>
      <x:c r="Q20" s="5" t="str">
        <x:v>Not started</x:v>
      </x:c>
      <x:c r="R20" s="5" t="str">
        <x:v>Pending</x:v>
      </x:c>
      <x:c r="S20" s="5" t="str"/>
      <x:c r="T20" s="5" t="str"/>
      <x:c r="U20" s="5" t="str"/>
      <x:c r="V20" s="5" t="str"/>
      <x:c r="W20" s="5" t="str">
        <x:v>Not linked</x:v>
      </x:c>
      <x:c r="X20" s="5" t="str">
        <x:v>Pending</x:v>
      </x:c>
      <x:c r="Y20" s="5" t="str">
        <x:f>IF(AND(L20="Pending",R20="Pending"),"Pending screening",IF(H20="Not assigned","Assign reviewer",IF(AND(L20="Exclude",M20=""),"Missing TA exclusion reason",IF(AND(R20="Exclude",S20=""),"Missing FT exclusion reason","Decision recorded"))))</x:f>
        <x:v>Pending screening</x:v>
      </x:c>
    </x:row>
    <x:row r="21" ht="40" customHeight="1">
      <x:c r="A21" s="5" t="str">
        <x:v>C0014</x:v>
      </x:c>
      <x:c r="B21" s="5" t="str">
        <x:v>Light-MLLMAD: A Lightweight Multimodal Large Language Model for One-Shot Industrial Visual Anomaly Detection</x:v>
      </x:c>
      <x:c r="C21" s="5" t="str">
        <x:v>10.21203/rs.3.rs-7853870/v1</x:v>
      </x:c>
      <x:c r="D21" s="5" t="str"/>
      <x:c r="E21" s="5" t="str">
        <x:v>posted-content</x:v>
      </x:c>
      <x:c r="F21" s="5" t="str">
        <x:v>S01; S02; S16</x:v>
      </x:c>
      <x:c r="G21" s="5" t="str">
        <x:v>Title-scope candidate</x:v>
      </x:c>
      <x:c r="H21" s="5" t="str">
        <x:v>Not assigned</x:v>
      </x:c>
      <x:c r="I21" s="5" t="str">
        <x:v>Not started</x:v>
      </x:c>
      <x:c r="J21" s="5" t="str">
        <x:v>Not assigned</x:v>
      </x:c>
      <x:c r="K21" s="5" t="str">
        <x:v>Not started</x:v>
      </x:c>
      <x:c r="L21" s="5" t="str">
        <x:v>Pending</x:v>
      </x:c>
      <x:c r="M21" s="5" t="str"/>
      <x:c r="N21" s="5" t="str">
        <x:v>Not started</x:v>
      </x:c>
      <x:c r="O21" s="5" t="str">
        <x:v>Not started</x:v>
      </x:c>
      <x:c r="P21" s="5" t="str">
        <x:v>Not started</x:v>
      </x:c>
      <x:c r="Q21" s="5" t="str">
        <x:v>Not started</x:v>
      </x:c>
      <x:c r="R21" s="5" t="str">
        <x:v>Pending</x:v>
      </x:c>
      <x:c r="S21" s="5" t="str"/>
      <x:c r="T21" s="5" t="str"/>
      <x:c r="U21" s="5" t="str"/>
      <x:c r="V21" s="5" t="str"/>
      <x:c r="W21" s="5" t="str">
        <x:v>Not linked</x:v>
      </x:c>
      <x:c r="X21" s="5" t="str">
        <x:v>Pending</x:v>
      </x:c>
      <x:c r="Y21" s="5" t="str">
        <x:f>IF(AND(L21="Pending",R21="Pending"),"Pending screening",IF(H21="Not assigned","Assign reviewer",IF(AND(L21="Exclude",M21=""),"Missing TA exclusion reason",IF(AND(R21="Exclude",S21=""),"Missing FT exclusion reason","Decision recorded"))))</x:f>
        <x:v>Pending screening</x:v>
      </x:c>
    </x:row>
    <x:row r="22" ht="40" customHeight="1">
      <x:c r="A22" s="5" t="str">
        <x:v>C0015</x:v>
      </x:c>
      <x:c r="B22" s="5" t="str">
        <x:v>Simple and Effective Frequency-Aware Image Restoration for Industrial Visual Anomaly Detection</x:v>
      </x:c>
      <x:c r="C22" s="5" t="str">
        <x:v>10.2139/ssrn.4826922</x:v>
      </x:c>
      <x:c r="D22" s="5" t="str"/>
      <x:c r="E22" s="5" t="str">
        <x:v>posted-content</x:v>
      </x:c>
      <x:c r="F22" s="5" t="str">
        <x:v>S01; S16</x:v>
      </x:c>
      <x:c r="G22" s="5" t="str">
        <x:v>Title-scope candidate</x:v>
      </x:c>
      <x:c r="H22" s="5" t="str">
        <x:v>Not assigned</x:v>
      </x:c>
      <x:c r="I22" s="5" t="str">
        <x:v>Not started</x:v>
      </x:c>
      <x:c r="J22" s="5" t="str">
        <x:v>Not assigned</x:v>
      </x:c>
      <x:c r="K22" s="5" t="str">
        <x:v>Not started</x:v>
      </x:c>
      <x:c r="L22" s="5" t="str">
        <x:v>Pending</x:v>
      </x:c>
      <x:c r="M22" s="5" t="str"/>
      <x:c r="N22" s="5" t="str">
        <x:v>Not started</x:v>
      </x:c>
      <x:c r="O22" s="5" t="str">
        <x:v>Not started</x:v>
      </x:c>
      <x:c r="P22" s="5" t="str">
        <x:v>Not started</x:v>
      </x:c>
      <x:c r="Q22" s="5" t="str">
        <x:v>Not started</x:v>
      </x:c>
      <x:c r="R22" s="5" t="str">
        <x:v>Pending</x:v>
      </x:c>
      <x:c r="S22" s="5" t="str"/>
      <x:c r="T22" s="5" t="str"/>
      <x:c r="U22" s="5" t="str"/>
      <x:c r="V22" s="5" t="str"/>
      <x:c r="W22" s="5" t="str">
        <x:v>Not linked</x:v>
      </x:c>
      <x:c r="X22" s="5" t="str">
        <x:v>Pending</x:v>
      </x:c>
      <x:c r="Y22" s="5" t="str">
        <x:f>IF(AND(L22="Pending",R22="Pending"),"Pending screening",IF(H22="Not assigned","Assign reviewer",IF(AND(L22="Exclude",M22=""),"Missing TA exclusion reason",IF(AND(R22="Exclude",S22=""),"Missing FT exclusion reason","Decision recorded"))))</x:f>
        <x:v>Pending screening</x:v>
      </x:c>
    </x:row>
    <x:row r="23" ht="40" customHeight="1">
      <x:c r="A23" s="5" t="str">
        <x:v>C0016</x:v>
      </x:c>
      <x:c r="B23" s="5" t="str">
        <x:v>A Two-Stage CLIP–DINOv2 Framework for Zero-Shot Industrial Visual Anomaly Detection</x:v>
      </x:c>
      <x:c r="C23" s="5" t="str">
        <x:v>10.1109/siu71813.2026.11636715</x:v>
      </x:c>
      <x:c r="D23" s="5" t="str"/>
      <x:c r="E23" s="5" t="str">
        <x:v>proceedings-article</x:v>
      </x:c>
      <x:c r="F23" s="5" t="str">
        <x:v>S01; S16</x:v>
      </x:c>
      <x:c r="G23" s="5" t="str">
        <x:v>Title-scope candidate</x:v>
      </x:c>
      <x:c r="H23" s="5" t="str">
        <x:v>Not assigned</x:v>
      </x:c>
      <x:c r="I23" s="5" t="str">
        <x:v>Not started</x:v>
      </x:c>
      <x:c r="J23" s="5" t="str">
        <x:v>Not assigned</x:v>
      </x:c>
      <x:c r="K23" s="5" t="str">
        <x:v>Not started</x:v>
      </x:c>
      <x:c r="L23" s="5" t="str">
        <x:v>Pending</x:v>
      </x:c>
      <x:c r="M23" s="5" t="str"/>
      <x:c r="N23" s="5" t="str">
        <x:v>Not started</x:v>
      </x:c>
      <x:c r="O23" s="5" t="str">
        <x:v>Not started</x:v>
      </x:c>
      <x:c r="P23" s="5" t="str">
        <x:v>Not started</x:v>
      </x:c>
      <x:c r="Q23" s="5" t="str">
        <x:v>Not started</x:v>
      </x:c>
      <x:c r="R23" s="5" t="str">
        <x:v>Pending</x:v>
      </x:c>
      <x:c r="S23" s="5" t="str"/>
      <x:c r="T23" s="5" t="str"/>
      <x:c r="U23" s="5" t="str"/>
      <x:c r="V23" s="5" t="str"/>
      <x:c r="W23" s="5" t="str">
        <x:v>Not linked</x:v>
      </x:c>
      <x:c r="X23" s="5" t="str">
        <x:v>Pending</x:v>
      </x:c>
      <x:c r="Y23" s="5" t="str">
        <x:f>IF(AND(L23="Pending",R23="Pending"),"Pending screening",IF(H23="Not assigned","Assign reviewer",IF(AND(L23="Exclude",M23=""),"Missing TA exclusion reason",IF(AND(R23="Exclude",S23=""),"Missing FT exclusion reason","Decision recorded"))))</x:f>
        <x:v>Pending screening</x:v>
      </x:c>
    </x:row>
    <x:row r="24" ht="40" customHeight="1">
      <x:c r="A24" s="5" t="str">
        <x:v>C0017</x:v>
      </x:c>
      <x:c r="B24" s="5" t="str">
        <x:v>S2TKD: Dual-Student Knowledge Distillation for Industrial Visual Anomaly Detection and Localization</x:v>
      </x:c>
      <x:c r="C24" s="5" t="str">
        <x:v>10.1109/bigdata66926.2025.11400946</x:v>
      </x:c>
      <x:c r="D24" s="5" t="str"/>
      <x:c r="E24" s="5" t="str">
        <x:v>proceedings-article</x:v>
      </x:c>
      <x:c r="F24" s="5" t="str">
        <x:v>S01; S16</x:v>
      </x:c>
      <x:c r="G24" s="5" t="str">
        <x:v>Title-scope candidate</x:v>
      </x:c>
      <x:c r="H24" s="5" t="str">
        <x:v>Not assigned</x:v>
      </x:c>
      <x:c r="I24" s="5" t="str">
        <x:v>Not started</x:v>
      </x:c>
      <x:c r="J24" s="5" t="str">
        <x:v>Not assigned</x:v>
      </x:c>
      <x:c r="K24" s="5" t="str">
        <x:v>Not started</x:v>
      </x:c>
      <x:c r="L24" s="5" t="str">
        <x:v>Pending</x:v>
      </x:c>
      <x:c r="M24" s="5" t="str"/>
      <x:c r="N24" s="5" t="str">
        <x:v>Not started</x:v>
      </x:c>
      <x:c r="O24" s="5" t="str">
        <x:v>Not started</x:v>
      </x:c>
      <x:c r="P24" s="5" t="str">
        <x:v>Not started</x:v>
      </x:c>
      <x:c r="Q24" s="5" t="str">
        <x:v>Not started</x:v>
      </x:c>
      <x:c r="R24" s="5" t="str">
        <x:v>Pending</x:v>
      </x:c>
      <x:c r="S24" s="5" t="str"/>
      <x:c r="T24" s="5" t="str"/>
      <x:c r="U24" s="5" t="str"/>
      <x:c r="V24" s="5" t="str"/>
      <x:c r="W24" s="5" t="str">
        <x:v>Not linked</x:v>
      </x:c>
      <x:c r="X24" s="5" t="str">
        <x:v>Pending</x:v>
      </x:c>
      <x:c r="Y24" s="5" t="str">
        <x:f>IF(AND(L24="Pending",R24="Pending"),"Pending screening",IF(H24="Not assigned","Assign reviewer",IF(AND(L24="Exclude",M24=""),"Missing TA exclusion reason",IF(AND(R24="Exclude",S24=""),"Missing FT exclusion reason","Decision recorded"))))</x:f>
        <x:v>Pending screening</x:v>
      </x:c>
    </x:row>
    <x:row r="25" ht="40" customHeight="1">
      <x:c r="A25" s="5" t="str">
        <x:v>C0018</x:v>
      </x:c>
      <x:c r="B25" s="5" t="str">
        <x:v>Anomaly Detection for Industrial Big Data</x:v>
      </x:c>
      <x:c r="C25" s="5" t="str">
        <x:v>10.5220/0006835502850293</x:v>
      </x:c>
      <x:c r="D25" s="5" t="str"/>
      <x:c r="E25" s="5" t="str">
        <x:v>proceedings-article</x:v>
      </x:c>
      <x:c r="F25" s="5" t="str">
        <x:v>S01; S05; S16</x:v>
      </x:c>
      <x:c r="G25" s="5" t="str">
        <x:v>Title-scope candidate</x:v>
      </x:c>
      <x:c r="H25" s="5" t="str">
        <x:v>Not assigned</x:v>
      </x:c>
      <x:c r="I25" s="5" t="str">
        <x:v>Not started</x:v>
      </x:c>
      <x:c r="J25" s="5" t="str">
        <x:v>Not assigned</x:v>
      </x:c>
      <x:c r="K25" s="5" t="str">
        <x:v>Not started</x:v>
      </x:c>
      <x:c r="L25" s="5" t="str">
        <x:v>Pending</x:v>
      </x:c>
      <x:c r="M25" s="5" t="str"/>
      <x:c r="N25" s="5" t="str">
        <x:v>Not started</x:v>
      </x:c>
      <x:c r="O25" s="5" t="str">
        <x:v>Not started</x:v>
      </x:c>
      <x:c r="P25" s="5" t="str">
        <x:v>Not started</x:v>
      </x:c>
      <x:c r="Q25" s="5" t="str">
        <x:v>Not started</x:v>
      </x:c>
      <x:c r="R25" s="5" t="str">
        <x:v>Pending</x:v>
      </x:c>
      <x:c r="S25" s="5" t="str"/>
      <x:c r="T25" s="5" t="str"/>
      <x:c r="U25" s="5" t="str"/>
      <x:c r="V25" s="5" t="str"/>
      <x:c r="W25" s="5" t="str">
        <x:v>Not linked</x:v>
      </x:c>
      <x:c r="X25" s="5" t="str">
        <x:v>Pending</x:v>
      </x:c>
      <x:c r="Y25" s="5" t="str">
        <x:f>IF(AND(L25="Pending",R25="Pending"),"Pending screening",IF(H25="Not assigned","Assign reviewer",IF(AND(L25="Exclude",M25=""),"Missing TA exclusion reason",IF(AND(R25="Exclude",S25=""),"Missing FT exclusion reason","Decision recorded"))))</x:f>
        <x:v>Pending screening</x:v>
      </x:c>
    </x:row>
    <x:row r="26" ht="53" customHeight="1">
      <x:c r="A26" s="5" t="str">
        <x:v>C0019</x:v>
      </x:c>
      <x:c r="B26" s="5" t="str">
        <x:v>Cascade RDN: Towards Accurate Localization in Industrial Visual Anomaly Detection With Structural Anomaly Generation</x:v>
      </x:c>
      <x:c r="C26" s="5" t="str">
        <x:v>10.1109/lra.2023.3296935</x:v>
      </x:c>
      <x:c r="D26" s="5" t="str"/>
      <x:c r="E26" s="5" t="str">
        <x:v>journal-article</x:v>
      </x:c>
      <x:c r="F26" s="5" t="str">
        <x:v>S01</x:v>
      </x:c>
      <x:c r="G26" s="5" t="str">
        <x:v>Title-scope candidate</x:v>
      </x:c>
      <x:c r="H26" s="5" t="str">
        <x:v>Not assigned</x:v>
      </x:c>
      <x:c r="I26" s="5" t="str">
        <x:v>Not started</x:v>
      </x:c>
      <x:c r="J26" s="5" t="str">
        <x:v>Not assigned</x:v>
      </x:c>
      <x:c r="K26" s="5" t="str">
        <x:v>Not started</x:v>
      </x:c>
      <x:c r="L26" s="5" t="str">
        <x:v>Pending</x:v>
      </x:c>
      <x:c r="M26" s="5" t="str"/>
      <x:c r="N26" s="5" t="str">
        <x:v>Not started</x:v>
      </x:c>
      <x:c r="O26" s="5" t="str">
        <x:v>Not started</x:v>
      </x:c>
      <x:c r="P26" s="5" t="str">
        <x:v>Not started</x:v>
      </x:c>
      <x:c r="Q26" s="5" t="str">
        <x:v>Not started</x:v>
      </x:c>
      <x:c r="R26" s="5" t="str">
        <x:v>Pending</x:v>
      </x:c>
      <x:c r="S26" s="5" t="str"/>
      <x:c r="T26" s="5" t="str"/>
      <x:c r="U26" s="5" t="str"/>
      <x:c r="V26" s="5" t="str"/>
      <x:c r="W26" s="5" t="str">
        <x:v>Not linked</x:v>
      </x:c>
      <x:c r="X26" s="5" t="str">
        <x:v>Pending</x:v>
      </x:c>
      <x:c r="Y26" s="5" t="str">
        <x:f>IF(AND(L26="Pending",R26="Pending"),"Pending screening",IF(H26="Not assigned","Assign reviewer",IF(AND(L26="Exclude",M26=""),"Missing TA exclusion reason",IF(AND(R26="Exclude",S26=""),"Missing FT exclusion reason","Decision recorded"))))</x:f>
        <x:v>Pending screening</x:v>
      </x:c>
    </x:row>
    <x:row r="27" ht="40" customHeight="1">
      <x:c r="A27" s="5" t="str">
        <x:v>C0020</x:v>
      </x:c>
      <x:c r="B27" s="5" t="str">
        <x:v>TransGAN for Visual Anomaly Detection on Imbalanced Industrial Datasets</x:v>
      </x:c>
      <x:c r="C27" s="5" t="str">
        <x:v>10.1002/9781394422715.ch15</x:v>
      </x:c>
      <x:c r="D27" s="5" t="str"/>
      <x:c r="E27" s="5" t="str">
        <x:v>other</x:v>
      </x:c>
      <x:c r="F27" s="5" t="str">
        <x:v>S01</x:v>
      </x:c>
      <x:c r="G27" s="5" t="str">
        <x:v>Title-scope candidate</x:v>
      </x:c>
      <x:c r="H27" s="5" t="str">
        <x:v>Not assigned</x:v>
      </x:c>
      <x:c r="I27" s="5" t="str">
        <x:v>Not started</x:v>
      </x:c>
      <x:c r="J27" s="5" t="str">
        <x:v>Not assigned</x:v>
      </x:c>
      <x:c r="K27" s="5" t="str">
        <x:v>Not started</x:v>
      </x:c>
      <x:c r="L27" s="5" t="str">
        <x:v>Pending</x:v>
      </x:c>
      <x:c r="M27" s="5" t="str"/>
      <x:c r="N27" s="5" t="str">
        <x:v>Not started</x:v>
      </x:c>
      <x:c r="O27" s="5" t="str">
        <x:v>Not started</x:v>
      </x:c>
      <x:c r="P27" s="5" t="str">
        <x:v>Not started</x:v>
      </x:c>
      <x:c r="Q27" s="5" t="str">
        <x:v>Not started</x:v>
      </x:c>
      <x:c r="R27" s="5" t="str">
        <x:v>Pending</x:v>
      </x:c>
      <x:c r="S27" s="5" t="str"/>
      <x:c r="T27" s="5" t="str"/>
      <x:c r="U27" s="5" t="str"/>
      <x:c r="V27" s="5" t="str"/>
      <x:c r="W27" s="5" t="str">
        <x:v>Not linked</x:v>
      </x:c>
      <x:c r="X27" s="5" t="str">
        <x:v>Pending</x:v>
      </x:c>
      <x:c r="Y27" s="5" t="str">
        <x:f>IF(AND(L27="Pending",R27="Pending"),"Pending screening",IF(H27="Not assigned","Assign reviewer",IF(AND(L27="Exclude",M27=""),"Missing TA exclusion reason",IF(AND(R27="Exclude",S27=""),"Missing FT exclusion reason","Decision recorded"))))</x:f>
        <x:v>Pending screening</x:v>
      </x:c>
    </x:row>
    <x:row r="28" ht="53" customHeight="1">
      <x:c r="A28" s="5" t="str">
        <x:v>C0021</x:v>
      </x:c>
      <x:c r="B28" s="5" t="str">
        <x:v>Nn2vit: Neural Networks and Vision Transformers Based Approach for Visual Anomaly Detection in Industrial Images</x:v>
      </x:c>
      <x:c r="C28" s="5" t="str">
        <x:v>10.2139/ssrn.4811703</x:v>
      </x:c>
      <x:c r="D28" s="5" t="str"/>
      <x:c r="E28" s="5" t="str">
        <x:v>posted-content</x:v>
      </x:c>
      <x:c r="F28" s="5" t="str">
        <x:v>S01</x:v>
      </x:c>
      <x:c r="G28" s="5" t="str">
        <x:v>Title-scope candidate</x:v>
      </x:c>
      <x:c r="H28" s="5" t="str">
        <x:v>Not assigned</x:v>
      </x:c>
      <x:c r="I28" s="5" t="str">
        <x:v>Not started</x:v>
      </x:c>
      <x:c r="J28" s="5" t="str">
        <x:v>Not assigned</x:v>
      </x:c>
      <x:c r="K28" s="5" t="str">
        <x:v>Not started</x:v>
      </x:c>
      <x:c r="L28" s="5" t="str">
        <x:v>Pending</x:v>
      </x:c>
      <x:c r="M28" s="5" t="str"/>
      <x:c r="N28" s="5" t="str">
        <x:v>Not started</x:v>
      </x:c>
      <x:c r="O28" s="5" t="str">
        <x:v>Not started</x:v>
      </x:c>
      <x:c r="P28" s="5" t="str">
        <x:v>Not started</x:v>
      </x:c>
      <x:c r="Q28" s="5" t="str">
        <x:v>Not started</x:v>
      </x:c>
      <x:c r="R28" s="5" t="str">
        <x:v>Pending</x:v>
      </x:c>
      <x:c r="S28" s="5" t="str"/>
      <x:c r="T28" s="5" t="str"/>
      <x:c r="U28" s="5" t="str"/>
      <x:c r="V28" s="5" t="str"/>
      <x:c r="W28" s="5" t="str">
        <x:v>Not linked</x:v>
      </x:c>
      <x:c r="X28" s="5" t="str">
        <x:v>Pending</x:v>
      </x:c>
      <x:c r="Y28" s="5" t="str">
        <x:f>IF(AND(L28="Pending",R28="Pending"),"Pending screening",IF(H28="Not assigned","Assign reviewer",IF(AND(L28="Exclude",M28=""),"Missing TA exclusion reason",IF(AND(R28="Exclude",S28=""),"Missing FT exclusion reason","Decision recorded"))))</x:f>
        <x:v>Pending screening</x:v>
      </x:c>
    </x:row>
    <x:row r="29" ht="53" customHeight="1">
      <x:c r="A29" s="5" t="str">
        <x:v>C0022</x:v>
      </x:c>
      <x:c r="B29" s="5" t="str">
        <x:v>Nn2vit: Neural Networks and Vision Transformers Based Approach for Visual Anomaly Detection in Industrial Images</x:v>
      </x:c>
      <x:c r="C29" s="5" t="str">
        <x:v>10.2139/ssrn.4866728</x:v>
      </x:c>
      <x:c r="D29" s="5" t="str"/>
      <x:c r="E29" s="5" t="str">
        <x:v>posted-content</x:v>
      </x:c>
      <x:c r="F29" s="5" t="str">
        <x:v>S01</x:v>
      </x:c>
      <x:c r="G29" s="5" t="str">
        <x:v>Title-scope candidate</x:v>
      </x:c>
      <x:c r="H29" s="5" t="str">
        <x:v>Not assigned</x:v>
      </x:c>
      <x:c r="I29" s="5" t="str">
        <x:v>Not started</x:v>
      </x:c>
      <x:c r="J29" s="5" t="str">
        <x:v>Not assigned</x:v>
      </x:c>
      <x:c r="K29" s="5" t="str">
        <x:v>Not started</x:v>
      </x:c>
      <x:c r="L29" s="5" t="str">
        <x:v>Pending</x:v>
      </x:c>
      <x:c r="M29" s="5" t="str"/>
      <x:c r="N29" s="5" t="str">
        <x:v>Not started</x:v>
      </x:c>
      <x:c r="O29" s="5" t="str">
        <x:v>Not started</x:v>
      </x:c>
      <x:c r="P29" s="5" t="str">
        <x:v>Not started</x:v>
      </x:c>
      <x:c r="Q29" s="5" t="str">
        <x:v>Not started</x:v>
      </x:c>
      <x:c r="R29" s="5" t="str">
        <x:v>Pending</x:v>
      </x:c>
      <x:c r="S29" s="5" t="str"/>
      <x:c r="T29" s="5" t="str"/>
      <x:c r="U29" s="5" t="str"/>
      <x:c r="V29" s="5" t="str"/>
      <x:c r="W29" s="5" t="str">
        <x:v>Not linked</x:v>
      </x:c>
      <x:c r="X29" s="5" t="str">
        <x:v>Pending</x:v>
      </x:c>
      <x:c r="Y29" s="5" t="str">
        <x:f>IF(AND(L29="Pending",R29="Pending"),"Pending screening",IF(H29="Not assigned","Assign reviewer",IF(AND(L29="Exclude",M29=""),"Missing TA exclusion reason",IF(AND(R29="Exclude",S29=""),"Missing FT exclusion reason","Decision recorded"))))</x:f>
        <x:v>Pending screening</x:v>
      </x:c>
    </x:row>
    <x:row r="30" ht="40" customHeight="1">
      <x:c r="A30" s="5" t="str">
        <x:v>C0023</x:v>
      </x:c>
      <x:c r="B30" s="5" t="str">
        <x:v>Visual-Guided Prompt Learning Based on BBPE Tokenization in Industrial Anomaly Detection</x:v>
      </x:c>
      <x:c r="C30" s="5" t="str">
        <x:v>10.1109/aiita69518.2026.11567267</x:v>
      </x:c>
      <x:c r="D30" s="5" t="str"/>
      <x:c r="E30" s="5" t="str">
        <x:v>proceedings-article</x:v>
      </x:c>
      <x:c r="F30" s="5" t="str">
        <x:v>S01</x:v>
      </x:c>
      <x:c r="G30" s="5" t="str">
        <x:v>Title-scope candidate</x:v>
      </x:c>
      <x:c r="H30" s="5" t="str">
        <x:v>Not assigned</x:v>
      </x:c>
      <x:c r="I30" s="5" t="str">
        <x:v>Not started</x:v>
      </x:c>
      <x:c r="J30" s="5" t="str">
        <x:v>Not assigned</x:v>
      </x:c>
      <x:c r="K30" s="5" t="str">
        <x:v>Not started</x:v>
      </x:c>
      <x:c r="L30" s="5" t="str">
        <x:v>Pending</x:v>
      </x:c>
      <x:c r="M30" s="5" t="str"/>
      <x:c r="N30" s="5" t="str">
        <x:v>Not started</x:v>
      </x:c>
      <x:c r="O30" s="5" t="str">
        <x:v>Not started</x:v>
      </x:c>
      <x:c r="P30" s="5" t="str">
        <x:v>Not started</x:v>
      </x:c>
      <x:c r="Q30" s="5" t="str">
        <x:v>Not started</x:v>
      </x:c>
      <x:c r="R30" s="5" t="str">
        <x:v>Pending</x:v>
      </x:c>
      <x:c r="S30" s="5" t="str"/>
      <x:c r="T30" s="5" t="str"/>
      <x:c r="U30" s="5" t="str"/>
      <x:c r="V30" s="5" t="str"/>
      <x:c r="W30" s="5" t="str">
        <x:v>Not linked</x:v>
      </x:c>
      <x:c r="X30" s="5" t="str">
        <x:v>Pending</x:v>
      </x:c>
      <x:c r="Y30" s="5" t="str">
        <x:f>IF(AND(L30="Pending",R30="Pending"),"Pending screening",IF(H30="Not assigned","Assign reviewer",IF(AND(L30="Exclude",M30=""),"Missing TA exclusion reason",IF(AND(R30="Exclude",S30=""),"Missing FT exclusion reason","Decision recorded"))))</x:f>
        <x:v>Pending screening</x:v>
      </x:c>
    </x:row>
    <x:row r="31" ht="40" customHeight="1">
      <x:c r="A31" s="5" t="str">
        <x:v>C0024</x:v>
      </x:c>
      <x:c r="B31" s="5" t="str">
        <x:v>Industrial Anomaly Detection with Normalizing Flows</x:v>
      </x:c>
      <x:c r="C31" s="5" t="str">
        <x:v>10.51202/9783186886101</x:v>
      </x:c>
      <x:c r="D31" s="5" t="str"/>
      <x:c r="E31" s="5" t="str">
        <x:v>monograph</x:v>
      </x:c>
      <x:c r="F31" s="5" t="str">
        <x:v>S01; S05</x:v>
      </x:c>
      <x:c r="G31" s="5" t="str">
        <x:v>Title-scope candidate</x:v>
      </x:c>
      <x:c r="H31" s="5" t="str">
        <x:v>Not assigned</x:v>
      </x:c>
      <x:c r="I31" s="5" t="str">
        <x:v>Not started</x:v>
      </x:c>
      <x:c r="J31" s="5" t="str">
        <x:v>Not assigned</x:v>
      </x:c>
      <x:c r="K31" s="5" t="str">
        <x:v>Not started</x:v>
      </x:c>
      <x:c r="L31" s="5" t="str">
        <x:v>Pending</x:v>
      </x:c>
      <x:c r="M31" s="5" t="str"/>
      <x:c r="N31" s="5" t="str">
        <x:v>Not started</x:v>
      </x:c>
      <x:c r="O31" s="5" t="str">
        <x:v>Not started</x:v>
      </x:c>
      <x:c r="P31" s="5" t="str">
        <x:v>Not started</x:v>
      </x:c>
      <x:c r="Q31" s="5" t="str">
        <x:v>Not started</x:v>
      </x:c>
      <x:c r="R31" s="5" t="str">
        <x:v>Pending</x:v>
      </x:c>
      <x:c r="S31" s="5" t="str"/>
      <x:c r="T31" s="5" t="str"/>
      <x:c r="U31" s="5" t="str"/>
      <x:c r="V31" s="5" t="str"/>
      <x:c r="W31" s="5" t="str">
        <x:v>Not linked</x:v>
      </x:c>
      <x:c r="X31" s="5" t="str">
        <x:v>Pending</x:v>
      </x:c>
      <x:c r="Y31" s="5" t="str">
        <x:f>IF(AND(L31="Pending",R31="Pending"),"Pending screening",IF(H31="Not assigned","Assign reviewer",IF(AND(L31="Exclude",M31=""),"Missing TA exclusion reason",IF(AND(R31="Exclude",S31=""),"Missing FT exclusion reason","Decision recorded"))))</x:f>
        <x:v>Pending screening</x:v>
      </x:c>
    </x:row>
    <x:row r="32" ht="40" customHeight="1">
      <x:c r="A32" s="5" t="str">
        <x:v>R02</x:v>
      </x:c>
      <x:c r="B32" s="5" t="str">
        <x:v>A survey of deep learning for industrial visual anomaly detection</x:v>
      </x:c>
      <x:c r="C32" s="5" t="str">
        <x:v>10.1007/s10462-025-11287-7</x:v>
      </x:c>
      <x:c r="D32" s="5" t="str"/>
      <x:c r="E32" s="5" t="str">
        <x:v>journal-article</x:v>
      </x:c>
      <x:c r="F32" s="5" t="str">
        <x:v>S01; S02; SEED</x:v>
      </x:c>
      <x:c r="G32" s="5" t="str">
        <x:v>Seed priority</x:v>
      </x:c>
      <x:c r="H32" s="5" t="str">
        <x:v>Not assigned</x:v>
      </x:c>
      <x:c r="I32" s="5" t="str">
        <x:v>Not started</x:v>
      </x:c>
      <x:c r="J32" s="5" t="str">
        <x:v>Not assigned</x:v>
      </x:c>
      <x:c r="K32" s="5" t="str">
        <x:v>Not started</x:v>
      </x:c>
      <x:c r="L32" s="5" t="str">
        <x:v>Pending</x:v>
      </x:c>
      <x:c r="M32" s="5" t="str"/>
      <x:c r="N32" s="5" t="str">
        <x:v>Not started</x:v>
      </x:c>
      <x:c r="O32" s="5" t="str">
        <x:v>Not started</x:v>
      </x:c>
      <x:c r="P32" s="5" t="str">
        <x:v>Not started</x:v>
      </x:c>
      <x:c r="Q32" s="5" t="str">
        <x:v>Not started</x:v>
      </x:c>
      <x:c r="R32" s="5" t="str">
        <x:v>Pending</x:v>
      </x:c>
      <x:c r="S32" s="5" t="str"/>
      <x:c r="T32" s="5" t="str"/>
      <x:c r="U32" s="5" t="str"/>
      <x:c r="V32" s="5" t="str"/>
      <x:c r="W32" s="5" t="str">
        <x:v>Not linked</x:v>
      </x:c>
      <x:c r="X32" s="5" t="str">
        <x:v>Pending</x:v>
      </x:c>
      <x:c r="Y32" s="5" t="str">
        <x:f>IF(AND(L32="Pending",R32="Pending"),"Pending screening",IF(H32="Not assigned","Assign reviewer",IF(AND(L32="Exclude",M32=""),"Missing TA exclusion reason",IF(AND(R32="Exclude",S32=""),"Missing FT exclusion reason","Decision recorded"))))</x:f>
        <x:v>Pending screening</x:v>
      </x:c>
    </x:row>
    <x:row r="33" ht="40" customHeight="1">
      <x:c r="A33" s="5" t="str">
        <x:v>C0025</x:v>
      </x:c>
      <x:c r="B33" s="5" t="str">
        <x:v>Expert-Guided Reverse Distillation for Cross-Domain Industrial Image Anomaly Detection</x:v>
      </x:c>
      <x:c r="C33" s="5" t="str">
        <x:v>10.2139/ssrn.6574201</x:v>
      </x:c>
      <x:c r="D33" s="5" t="str"/>
      <x:c r="E33" s="5" t="str">
        <x:v>posted-content</x:v>
      </x:c>
      <x:c r="F33" s="5" t="str">
        <x:v>S03</x:v>
      </x:c>
      <x:c r="G33" s="5" t="str">
        <x:v>Title-scope candidate</x:v>
      </x:c>
      <x:c r="H33" s="5" t="str">
        <x:v>Not assigned</x:v>
      </x:c>
      <x:c r="I33" s="5" t="str">
        <x:v>Not started</x:v>
      </x:c>
      <x:c r="J33" s="5" t="str">
        <x:v>Not assigned</x:v>
      </x:c>
      <x:c r="K33" s="5" t="str">
        <x:v>Not started</x:v>
      </x:c>
      <x:c r="L33" s="5" t="str">
        <x:v>Pending</x:v>
      </x:c>
      <x:c r="M33" s="5" t="str"/>
      <x:c r="N33" s="5" t="str">
        <x:v>Not started</x:v>
      </x:c>
      <x:c r="O33" s="5" t="str">
        <x:v>Not started</x:v>
      </x:c>
      <x:c r="P33" s="5" t="str">
        <x:v>Not started</x:v>
      </x:c>
      <x:c r="Q33" s="5" t="str">
        <x:v>Not started</x:v>
      </x:c>
      <x:c r="R33" s="5" t="str">
        <x:v>Pending</x:v>
      </x:c>
      <x:c r="S33" s="5" t="str"/>
      <x:c r="T33" s="5" t="str"/>
      <x:c r="U33" s="5" t="str"/>
      <x:c r="V33" s="5" t="str"/>
      <x:c r="W33" s="5" t="str">
        <x:v>Not linked</x:v>
      </x:c>
      <x:c r="X33" s="5" t="str">
        <x:v>Pending</x:v>
      </x:c>
      <x:c r="Y33" s="5" t="str">
        <x:f>IF(AND(L33="Pending",R33="Pending"),"Pending screening",IF(H33="Not assigned","Assign reviewer",IF(AND(L33="Exclude",M33=""),"Missing TA exclusion reason",IF(AND(R33="Exclude",S33=""),"Missing FT exclusion reason","Decision recorded"))))</x:f>
        <x:v>Pending screening</x:v>
      </x:c>
    </x:row>
    <x:row r="34" ht="53" customHeight="1">
      <x:c r="A34" s="5" t="str">
        <x:v>C0026</x:v>
      </x:c>
      <x:c r="B34" s="5" t="str">
        <x:v>Addressing Representation and Aggregation Biases in Streaming Anomaly Detection through Domain Adaptation and Domain Shift Detection</x:v>
      </x:c>
      <x:c r="C34" s="5" t="str">
        <x:v>10.2139/ssrn.7070753</x:v>
      </x:c>
      <x:c r="D34" s="5" t="str"/>
      <x:c r="E34" s="5" t="str">
        <x:v>posted-content</x:v>
      </x:c>
      <x:c r="F34" s="5" t="str">
        <x:v>S03</x:v>
      </x:c>
      <x:c r="G34" s="5" t="str">
        <x:v>Lower-priority; inspect scope</x:v>
      </x:c>
      <x:c r="H34" s="5" t="str">
        <x:v>Not assigned</x:v>
      </x:c>
      <x:c r="I34" s="5" t="str">
        <x:v>Not started</x:v>
      </x:c>
      <x:c r="J34" s="5" t="str">
        <x:v>Not assigned</x:v>
      </x:c>
      <x:c r="K34" s="5" t="str">
        <x:v>Not started</x:v>
      </x:c>
      <x:c r="L34" s="5" t="str">
        <x:v>Pending</x:v>
      </x:c>
      <x:c r="M34" s="5" t="str"/>
      <x:c r="N34" s="5" t="str">
        <x:v>Not started</x:v>
      </x:c>
      <x:c r="O34" s="5" t="str">
        <x:v>Not started</x:v>
      </x:c>
      <x:c r="P34" s="5" t="str">
        <x:v>Not started</x:v>
      </x:c>
      <x:c r="Q34" s="5" t="str">
        <x:v>Not started</x:v>
      </x:c>
      <x:c r="R34" s="5" t="str">
        <x:v>Pending</x:v>
      </x:c>
      <x:c r="S34" s="5" t="str"/>
      <x:c r="T34" s="5" t="str"/>
      <x:c r="U34" s="5" t="str"/>
      <x:c r="V34" s="5" t="str"/>
      <x:c r="W34" s="5" t="str">
        <x:v>Not linked</x:v>
      </x:c>
      <x:c r="X34" s="5" t="str">
        <x:v>Pending</x:v>
      </x:c>
      <x:c r="Y34" s="5" t="str">
        <x:f>IF(AND(L34="Pending",R34="Pending"),"Pending screening",IF(H34="Not assigned","Assign reviewer",IF(AND(L34="Exclude",M34=""),"Missing TA exclusion reason",IF(AND(R34="Exclude",S34=""),"Missing FT exclusion reason","Decision recorded"))))</x:f>
        <x:v>Pending screening</x:v>
      </x:c>
    </x:row>
    <x:row r="35" ht="40" customHeight="1">
      <x:c r="A35" s="5" t="str">
        <x:v>C0027</x:v>
      </x:c>
      <x:c r="B35" s="5" t="str">
        <x:v>Adaptive Fusion Strategy with Masked Encoding for Cross-Domain Industrial Image Anomaly Detection</x:v>
      </x:c>
      <x:c r="C35" s="5" t="str">
        <x:v>10.2139/ssrn.5051153</x:v>
      </x:c>
      <x:c r="D35" s="5" t="str"/>
      <x:c r="E35" s="5" t="str">
        <x:v>posted-content</x:v>
      </x:c>
      <x:c r="F35" s="5" t="str">
        <x:v>S03</x:v>
      </x:c>
      <x:c r="G35" s="5" t="str">
        <x:v>Title-scope candidate</x:v>
      </x:c>
      <x:c r="H35" s="5" t="str">
        <x:v>Not assigned</x:v>
      </x:c>
      <x:c r="I35" s="5" t="str">
        <x:v>Not started</x:v>
      </x:c>
      <x:c r="J35" s="5" t="str">
        <x:v>Not assigned</x:v>
      </x:c>
      <x:c r="K35" s="5" t="str">
        <x:v>Not started</x:v>
      </x:c>
      <x:c r="L35" s="5" t="str">
        <x:v>Pending</x:v>
      </x:c>
      <x:c r="M35" s="5" t="str"/>
      <x:c r="N35" s="5" t="str">
        <x:v>Not started</x:v>
      </x:c>
      <x:c r="O35" s="5" t="str">
        <x:v>Not started</x:v>
      </x:c>
      <x:c r="P35" s="5" t="str">
        <x:v>Not started</x:v>
      </x:c>
      <x:c r="Q35" s="5" t="str">
        <x:v>Not started</x:v>
      </x:c>
      <x:c r="R35" s="5" t="str">
        <x:v>Pending</x:v>
      </x:c>
      <x:c r="S35" s="5" t="str"/>
      <x:c r="T35" s="5" t="str"/>
      <x:c r="U35" s="5" t="str"/>
      <x:c r="V35" s="5" t="str"/>
      <x:c r="W35" s="5" t="str">
        <x:v>Not linked</x:v>
      </x:c>
      <x:c r="X35" s="5" t="str">
        <x:v>Pending</x:v>
      </x:c>
      <x:c r="Y35" s="5" t="str">
        <x:f>IF(AND(L35="Pending",R35="Pending"),"Pending screening",IF(H35="Not assigned","Assign reviewer",IF(AND(L35="Exclude",M35=""),"Missing TA exclusion reason",IF(AND(R35="Exclude",S35=""),"Missing FT exclusion reason","Decision recorded"))))</x:f>
        <x:v>Pending screening</x:v>
      </x:c>
    </x:row>
    <x:row r="36" ht="40" customHeight="1">
      <x:c r="A36" s="5" t="str">
        <x:v>P08</x:v>
      </x:c>
      <x:c r="B36" s="5" t="str">
        <x:v>Industrial anomaly detection with domain shift: A real-world dataset and masked multi-scale reconstruction</x:v>
      </x:c>
      <x:c r="C36" s="5" t="str">
        <x:v>10.1016/j.compind.2023.103990</x:v>
      </x:c>
      <x:c r="D36" s="5" t="str"/>
      <x:c r="E36" s="5" t="str">
        <x:v>journal-article</x:v>
      </x:c>
      <x:c r="F36" s="5" t="str">
        <x:v>S03; SEED</x:v>
      </x:c>
      <x:c r="G36" s="5" t="str">
        <x:v>Seed priority</x:v>
      </x:c>
      <x:c r="H36" s="5" t="str">
        <x:v>Not assigned</x:v>
      </x:c>
      <x:c r="I36" s="5" t="str">
        <x:v>Not started</x:v>
      </x:c>
      <x:c r="J36" s="5" t="str">
        <x:v>Not assigned</x:v>
      </x:c>
      <x:c r="K36" s="5" t="str">
        <x:v>Not started</x:v>
      </x:c>
      <x:c r="L36" s="5" t="str">
        <x:v>Pending</x:v>
      </x:c>
      <x:c r="M36" s="5" t="str"/>
      <x:c r="N36" s="5" t="str">
        <x:v>Not started</x:v>
      </x:c>
      <x:c r="O36" s="5" t="str">
        <x:v>Not started</x:v>
      </x:c>
      <x:c r="P36" s="5" t="str">
        <x:v>Not started</x:v>
      </x:c>
      <x:c r="Q36" s="5" t="str">
        <x:v>Not started</x:v>
      </x:c>
      <x:c r="R36" s="5" t="str">
        <x:v>Pending</x:v>
      </x:c>
      <x:c r="S36" s="5" t="str"/>
      <x:c r="T36" s="5" t="str"/>
      <x:c r="U36" s="5" t="str"/>
      <x:c r="V36" s="5" t="str"/>
      <x:c r="W36" s="5" t="str">
        <x:v>Not linked</x:v>
      </x:c>
      <x:c r="X36" s="5" t="str">
        <x:v>Pending</x:v>
      </x:c>
      <x:c r="Y36" s="5" t="str">
        <x:f>IF(AND(L36="Pending",R36="Pending"),"Pending screening",IF(H36="Not assigned","Assign reviewer",IF(AND(L36="Exclude",M36=""),"Missing TA exclusion reason",IF(AND(R36="Exclude",S36=""),"Missing FT exclusion reason","Decision recorded"))))</x:f>
        <x:v>Pending screening</x:v>
      </x:c>
    </x:row>
    <x:row r="37" ht="40" customHeight="1">
      <x:c r="A37" s="5" t="str">
        <x:v>C0028</x:v>
      </x:c>
      <x:c r="B37" s="5" t="str">
        <x:v>USING UMAP TO INSPECT AUDIO DATA FOR UNSUPERVISED ANOMALY DETECTION UNDER DOMAIN-SHIFT CONDITIONS</x:v>
      </x:c>
      <x:c r="C37" s="5" t="str">
        <x:v>10.31219/osf.io/ren6d</x:v>
      </x:c>
      <x:c r="D37" s="5" t="str"/>
      <x:c r="E37" s="5" t="str">
        <x:v>posted-content</x:v>
      </x:c>
      <x:c r="F37" s="5" t="str">
        <x:v>S03</x:v>
      </x:c>
      <x:c r="G37" s="5" t="str">
        <x:v>Lower-priority; inspect scope</x:v>
      </x:c>
      <x:c r="H37" s="5" t="str">
        <x:v>Not assigned</x:v>
      </x:c>
      <x:c r="I37" s="5" t="str">
        <x:v>Not started</x:v>
      </x:c>
      <x:c r="J37" s="5" t="str">
        <x:v>Not assigned</x:v>
      </x:c>
      <x:c r="K37" s="5" t="str">
        <x:v>Not started</x:v>
      </x:c>
      <x:c r="L37" s="5" t="str">
        <x:v>Pending</x:v>
      </x:c>
      <x:c r="M37" s="5" t="str"/>
      <x:c r="N37" s="5" t="str">
        <x:v>Not started</x:v>
      </x:c>
      <x:c r="O37" s="5" t="str">
        <x:v>Not started</x:v>
      </x:c>
      <x:c r="P37" s="5" t="str">
        <x:v>Not started</x:v>
      </x:c>
      <x:c r="Q37" s="5" t="str">
        <x:v>Not started</x:v>
      </x:c>
      <x:c r="R37" s="5" t="str">
        <x:v>Pending</x:v>
      </x:c>
      <x:c r="S37" s="5" t="str"/>
      <x:c r="T37" s="5" t="str"/>
      <x:c r="U37" s="5" t="str"/>
      <x:c r="V37" s="5" t="str"/>
      <x:c r="W37" s="5" t="str">
        <x:v>Not linked</x:v>
      </x:c>
      <x:c r="X37" s="5" t="str">
        <x:v>Pending</x:v>
      </x:c>
      <x:c r="Y37" s="5" t="str">
        <x:f>IF(AND(L37="Pending",R37="Pending"),"Pending screening",IF(H37="Not assigned","Assign reviewer",IF(AND(L37="Exclude",M37=""),"Missing TA exclusion reason",IF(AND(R37="Exclude",S37=""),"Missing FT exclusion reason","Decision recorded"))))</x:f>
        <x:v>Pending screening</x:v>
      </x:c>
    </x:row>
    <x:row r="38" ht="40" customHeight="1">
      <x:c r="A38" s="5" t="str">
        <x:v>C0029</x:v>
      </x:c>
      <x:c r="B38" s="5" t="str">
        <x:v>AlignPromptGPT: Aligned Prompting for Industrial Image Anomaly Detection</x:v>
      </x:c>
      <x:c r="C38" s="5" t="str">
        <x:v>10.2139/ssrn.6863640</x:v>
      </x:c>
      <x:c r="D38" s="5" t="str"/>
      <x:c r="E38" s="5" t="str">
        <x:v>posted-content</x:v>
      </x:c>
      <x:c r="F38" s="5" t="str">
        <x:v>S03</x:v>
      </x:c>
      <x:c r="G38" s="5" t="str">
        <x:v>Title-scope candidate</x:v>
      </x:c>
      <x:c r="H38" s="5" t="str">
        <x:v>Not assigned</x:v>
      </x:c>
      <x:c r="I38" s="5" t="str">
        <x:v>Not started</x:v>
      </x:c>
      <x:c r="J38" s="5" t="str">
        <x:v>Not assigned</x:v>
      </x:c>
      <x:c r="K38" s="5" t="str">
        <x:v>Not started</x:v>
      </x:c>
      <x:c r="L38" s="5" t="str">
        <x:v>Pending</x:v>
      </x:c>
      <x:c r="M38" s="5" t="str"/>
      <x:c r="N38" s="5" t="str">
        <x:v>Not started</x:v>
      </x:c>
      <x:c r="O38" s="5" t="str">
        <x:v>Not started</x:v>
      </x:c>
      <x:c r="P38" s="5" t="str">
        <x:v>Not started</x:v>
      </x:c>
      <x:c r="Q38" s="5" t="str">
        <x:v>Not started</x:v>
      </x:c>
      <x:c r="R38" s="5" t="str">
        <x:v>Pending</x:v>
      </x:c>
      <x:c r="S38" s="5" t="str"/>
      <x:c r="T38" s="5" t="str"/>
      <x:c r="U38" s="5" t="str"/>
      <x:c r="V38" s="5" t="str"/>
      <x:c r="W38" s="5" t="str">
        <x:v>Not linked</x:v>
      </x:c>
      <x:c r="X38" s="5" t="str">
        <x:v>Pending</x:v>
      </x:c>
      <x:c r="Y38" s="5" t="str">
        <x:f>IF(AND(L38="Pending",R38="Pending"),"Pending screening",IF(H38="Not assigned","Assign reviewer",IF(AND(L38="Exclude",M38=""),"Missing TA exclusion reason",IF(AND(R38="Exclude",S38=""),"Missing FT exclusion reason","Decision recorded"))))</x:f>
        <x:v>Pending screening</x:v>
      </x:c>
    </x:row>
    <x:row r="39" ht="53" customHeight="1">
      <x:c r="A39" s="5" t="str">
        <x:v>C0030</x:v>
      </x:c>
      <x:c r="B39" s="5" t="str">
        <x:v>Unsupervised industrial image ensemble anomaly detection based on object pseudo-anomaly generation and normal image feature combination enhancement</x:v>
      </x:c>
      <x:c r="C39" s="5" t="str">
        <x:v>10.1016/j.cie.2023.109337</x:v>
      </x:c>
      <x:c r="D39" s="5" t="str"/>
      <x:c r="E39" s="5" t="str">
        <x:v>journal-article</x:v>
      </x:c>
      <x:c r="F39" s="5" t="str">
        <x:v>S03</x:v>
      </x:c>
      <x:c r="G39" s="5" t="str">
        <x:v>Title-scope candidate</x:v>
      </x:c>
      <x:c r="H39" s="5" t="str">
        <x:v>Not assigned</x:v>
      </x:c>
      <x:c r="I39" s="5" t="str">
        <x:v>Not started</x:v>
      </x:c>
      <x:c r="J39" s="5" t="str">
        <x:v>Not assigned</x:v>
      </x:c>
      <x:c r="K39" s="5" t="str">
        <x:v>Not started</x:v>
      </x:c>
      <x:c r="L39" s="5" t="str">
        <x:v>Pending</x:v>
      </x:c>
      <x:c r="M39" s="5" t="str"/>
      <x:c r="N39" s="5" t="str">
        <x:v>Not started</x:v>
      </x:c>
      <x:c r="O39" s="5" t="str">
        <x:v>Not started</x:v>
      </x:c>
      <x:c r="P39" s="5" t="str">
        <x:v>Not started</x:v>
      </x:c>
      <x:c r="Q39" s="5" t="str">
        <x:v>Not started</x:v>
      </x:c>
      <x:c r="R39" s="5" t="str">
        <x:v>Pending</x:v>
      </x:c>
      <x:c r="S39" s="5" t="str"/>
      <x:c r="T39" s="5" t="str"/>
      <x:c r="U39" s="5" t="str"/>
      <x:c r="V39" s="5" t="str"/>
      <x:c r="W39" s="5" t="str">
        <x:v>Not linked</x:v>
      </x:c>
      <x:c r="X39" s="5" t="str">
        <x:v>Pending</x:v>
      </x:c>
      <x:c r="Y39" s="5" t="str">
        <x:f>IF(AND(L39="Pending",R39="Pending"),"Pending screening",IF(H39="Not assigned","Assign reviewer",IF(AND(L39="Exclude",M39=""),"Missing TA exclusion reason",IF(AND(R39="Exclude",S39=""),"Missing FT exclusion reason","Decision recorded"))))</x:f>
        <x:v>Pending screening</x:v>
      </x:c>
    </x:row>
    <x:row r="40" ht="53" customHeight="1">
      <x:c r="A40" s="5" t="str">
        <x:v>C0031</x:v>
      </x:c>
      <x:c r="B40" s="5" t="str">
        <x:v>DomainShield-AD: a multi-dimensional domain shift measurement framework with graded response for industrial anomaly detection</x:v>
      </x:c>
      <x:c r="C40" s="5" t="str">
        <x:v>10.1088/1361-6501/ae8e9b</x:v>
      </x:c>
      <x:c r="D40" s="5" t="str"/>
      <x:c r="E40" s="5" t="str">
        <x:v>journal-article</x:v>
      </x:c>
      <x:c r="F40" s="5" t="str">
        <x:v>S03</x:v>
      </x:c>
      <x:c r="G40" s="5" t="str">
        <x:v>Title-scope candidate</x:v>
      </x:c>
      <x:c r="H40" s="5" t="str">
        <x:v>Not assigned</x:v>
      </x:c>
      <x:c r="I40" s="5" t="str">
        <x:v>Not started</x:v>
      </x:c>
      <x:c r="J40" s="5" t="str">
        <x:v>Not assigned</x:v>
      </x:c>
      <x:c r="K40" s="5" t="str">
        <x:v>Not started</x:v>
      </x:c>
      <x:c r="L40" s="5" t="str">
        <x:v>Pending</x:v>
      </x:c>
      <x:c r="M40" s="5" t="str"/>
      <x:c r="N40" s="5" t="str">
        <x:v>Not started</x:v>
      </x:c>
      <x:c r="O40" s="5" t="str">
        <x:v>Not started</x:v>
      </x:c>
      <x:c r="P40" s="5" t="str">
        <x:v>Not started</x:v>
      </x:c>
      <x:c r="Q40" s="5" t="str">
        <x:v>Not started</x:v>
      </x:c>
      <x:c r="R40" s="5" t="str">
        <x:v>Pending</x:v>
      </x:c>
      <x:c r="S40" s="5" t="str"/>
      <x:c r="T40" s="5" t="str"/>
      <x:c r="U40" s="5" t="str"/>
      <x:c r="V40" s="5" t="str"/>
      <x:c r="W40" s="5" t="str">
        <x:v>Not linked</x:v>
      </x:c>
      <x:c r="X40" s="5" t="str">
        <x:v>Pending</x:v>
      </x:c>
      <x:c r="Y40" s="5" t="str">
        <x:f>IF(AND(L40="Pending",R40="Pending"),"Pending screening",IF(H40="Not assigned","Assign reviewer",IF(AND(L40="Exclude",M40=""),"Missing TA exclusion reason",IF(AND(R40="Exclude",S40=""),"Missing FT exclusion reason","Decision recorded"))))</x:f>
        <x:v>Pending screening</x:v>
      </x:c>
    </x:row>
    <x:row r="41" ht="40" customHeight="1">
      <x:c r="A41" s="5" t="str">
        <x:v>C0032</x:v>
      </x:c>
      <x:c r="B41" s="5" t="str">
        <x:v>Multi-Domain Anomaly Detection for Advanced Persistent Threat Detection in Industrial Control Systems</x:v>
      </x:c>
      <x:c r="C41" s="5" t="str">
        <x:v>10.2139/ssrn.7446051</x:v>
      </x:c>
      <x:c r="D41" s="5" t="str"/>
      <x:c r="E41" s="5" t="str">
        <x:v>posted-content</x:v>
      </x:c>
      <x:c r="F41" s="5" t="str">
        <x:v>S03; S07</x:v>
      </x:c>
      <x:c r="G41" s="5" t="str">
        <x:v>Title-scope candidate</x:v>
      </x:c>
      <x:c r="H41" s="5" t="str">
        <x:v>Not assigned</x:v>
      </x:c>
      <x:c r="I41" s="5" t="str">
        <x:v>Not started</x:v>
      </x:c>
      <x:c r="J41" s="5" t="str">
        <x:v>Not assigned</x:v>
      </x:c>
      <x:c r="K41" s="5" t="str">
        <x:v>Not started</x:v>
      </x:c>
      <x:c r="L41" s="5" t="str">
        <x:v>Pending</x:v>
      </x:c>
      <x:c r="M41" s="5" t="str"/>
      <x:c r="N41" s="5" t="str">
        <x:v>Not started</x:v>
      </x:c>
      <x:c r="O41" s="5" t="str">
        <x:v>Not started</x:v>
      </x:c>
      <x:c r="P41" s="5" t="str">
        <x:v>Not started</x:v>
      </x:c>
      <x:c r="Q41" s="5" t="str">
        <x:v>Not started</x:v>
      </x:c>
      <x:c r="R41" s="5" t="str">
        <x:v>Pending</x:v>
      </x:c>
      <x:c r="S41" s="5" t="str"/>
      <x:c r="T41" s="5" t="str"/>
      <x:c r="U41" s="5" t="str"/>
      <x:c r="V41" s="5" t="str"/>
      <x:c r="W41" s="5" t="str">
        <x:v>Not linked</x:v>
      </x:c>
      <x:c r="X41" s="5" t="str">
        <x:v>Pending</x:v>
      </x:c>
      <x:c r="Y41" s="5" t="str">
        <x:f>IF(AND(L41="Pending",R41="Pending"),"Pending screening",IF(H41="Not assigned","Assign reviewer",IF(AND(L41="Exclude",M41=""),"Missing TA exclusion reason",IF(AND(R41="Exclude",S41=""),"Missing FT exclusion reason","Decision recorded"))))</x:f>
        <x:v>Pending screening</x:v>
      </x:c>
    </x:row>
    <x:row r="42" ht="53" customHeight="1">
      <x:c r="A42" s="5" t="str">
        <x:v>C0033</x:v>
      </x:c>
      <x:c r="B42" s="5" t="str">
        <x:v>Image-Based Anomaly Detection in Industrial Equipment Using Convolutional Neural Networks for Predictive Maintenance</x:v>
      </x:c>
      <x:c r="C42" s="5" t="str">
        <x:v>10.2139/ssrn.5266589</x:v>
      </x:c>
      <x:c r="D42" s="5" t="str"/>
      <x:c r="E42" s="5" t="str">
        <x:v>posted-content</x:v>
      </x:c>
      <x:c r="F42" s="5" t="str">
        <x:v>S03</x:v>
      </x:c>
      <x:c r="G42" s="5" t="str">
        <x:v>Title-scope candidate</x:v>
      </x:c>
      <x:c r="H42" s="5" t="str">
        <x:v>Not assigned</x:v>
      </x:c>
      <x:c r="I42" s="5" t="str">
        <x:v>Not started</x:v>
      </x:c>
      <x:c r="J42" s="5" t="str">
        <x:v>Not assigned</x:v>
      </x:c>
      <x:c r="K42" s="5" t="str">
        <x:v>Not started</x:v>
      </x:c>
      <x:c r="L42" s="5" t="str">
        <x:v>Pending</x:v>
      </x:c>
      <x:c r="M42" s="5" t="str"/>
      <x:c r="N42" s="5" t="str">
        <x:v>Not started</x:v>
      </x:c>
      <x:c r="O42" s="5" t="str">
        <x:v>Not started</x:v>
      </x:c>
      <x:c r="P42" s="5" t="str">
        <x:v>Not started</x:v>
      </x:c>
      <x:c r="Q42" s="5" t="str">
        <x:v>Not started</x:v>
      </x:c>
      <x:c r="R42" s="5" t="str">
        <x:v>Pending</x:v>
      </x:c>
      <x:c r="S42" s="5" t="str"/>
      <x:c r="T42" s="5" t="str"/>
      <x:c r="U42" s="5" t="str"/>
      <x:c r="V42" s="5" t="str"/>
      <x:c r="W42" s="5" t="str">
        <x:v>Not linked</x:v>
      </x:c>
      <x:c r="X42" s="5" t="str">
        <x:v>Pending</x:v>
      </x:c>
      <x:c r="Y42" s="5" t="str">
        <x:f>IF(AND(L42="Pending",R42="Pending"),"Pending screening",IF(H42="Not assigned","Assign reviewer",IF(AND(L42="Exclude",M42=""),"Missing TA exclusion reason",IF(AND(R42="Exclude",S42=""),"Missing FT exclusion reason","Decision recorded"))))</x:f>
        <x:v>Pending screening</x:v>
      </x:c>
    </x:row>
    <x:row r="43" ht="53" customHeight="1">
      <x:c r="A43" s="5" t="str">
        <x:v>C0034</x:v>
      </x:c>
      <x:c r="B43" s="5" t="str">
        <x:v>Robust Federated Learning for Intelligent IoT Networks via Domain-Shift Elimination and Clustered Anomaly Detection</x:v>
      </x:c>
      <x:c r="C43" s="5" t="str">
        <x:v>10.2139/ssrn.7090106</x:v>
      </x:c>
      <x:c r="D43" s="5" t="str"/>
      <x:c r="E43" s="5" t="str">
        <x:v>posted-content</x:v>
      </x:c>
      <x:c r="F43" s="5" t="str">
        <x:v>S03</x:v>
      </x:c>
      <x:c r="G43" s="5" t="str">
        <x:v>Lower-priority; inspect scope</x:v>
      </x:c>
      <x:c r="H43" s="5" t="str">
        <x:v>Not assigned</x:v>
      </x:c>
      <x:c r="I43" s="5" t="str">
        <x:v>Not started</x:v>
      </x:c>
      <x:c r="J43" s="5" t="str">
        <x:v>Not assigned</x:v>
      </x:c>
      <x:c r="K43" s="5" t="str">
        <x:v>Not started</x:v>
      </x:c>
      <x:c r="L43" s="5" t="str">
        <x:v>Pending</x:v>
      </x:c>
      <x:c r="M43" s="5" t="str"/>
      <x:c r="N43" s="5" t="str">
        <x:v>Not started</x:v>
      </x:c>
      <x:c r="O43" s="5" t="str">
        <x:v>Not started</x:v>
      </x:c>
      <x:c r="P43" s="5" t="str">
        <x:v>Not started</x:v>
      </x:c>
      <x:c r="Q43" s="5" t="str">
        <x:v>Not started</x:v>
      </x:c>
      <x:c r="R43" s="5" t="str">
        <x:v>Pending</x:v>
      </x:c>
      <x:c r="S43" s="5" t="str"/>
      <x:c r="T43" s="5" t="str"/>
      <x:c r="U43" s="5" t="str"/>
      <x:c r="V43" s="5" t="str"/>
      <x:c r="W43" s="5" t="str">
        <x:v>Not linked</x:v>
      </x:c>
      <x:c r="X43" s="5" t="str">
        <x:v>Pending</x:v>
      </x:c>
      <x:c r="Y43" s="5" t="str">
        <x:f>IF(AND(L43="Pending",R43="Pending"),"Pending screening",IF(H43="Not assigned","Assign reviewer",IF(AND(L43="Exclude",M43=""),"Missing TA exclusion reason",IF(AND(R43="Exclude",S43=""),"Missing FT exclusion reason","Decision recorded"))))</x:f>
        <x:v>Pending screening</x:v>
      </x:c>
    </x:row>
    <x:row r="44" ht="40" customHeight="1">
      <x:c r="A44" s="5" t="str">
        <x:v>C0035</x:v>
      </x:c>
      <x:c r="B44" s="5" t="str">
        <x:v>Seeing Voices: Cross-Modal Audio-to-Image Translation for Zero-Shot Industrial Anomaly Detection</x:v>
      </x:c>
      <x:c r="C44" s="5" t="str">
        <x:v>10.2139/ssrn.6914498</x:v>
      </x:c>
      <x:c r="D44" s="5" t="str"/>
      <x:c r="E44" s="5" t="str">
        <x:v>posted-content</x:v>
      </x:c>
      <x:c r="F44" s="5" t="str">
        <x:v>S03</x:v>
      </x:c>
      <x:c r="G44" s="5" t="str">
        <x:v>Title-scope candidate</x:v>
      </x:c>
      <x:c r="H44" s="5" t="str">
        <x:v>Not assigned</x:v>
      </x:c>
      <x:c r="I44" s="5" t="str">
        <x:v>Not started</x:v>
      </x:c>
      <x:c r="J44" s="5" t="str">
        <x:v>Not assigned</x:v>
      </x:c>
      <x:c r="K44" s="5" t="str">
        <x:v>Not started</x:v>
      </x:c>
      <x:c r="L44" s="5" t="str">
        <x:v>Pending</x:v>
      </x:c>
      <x:c r="M44" s="5" t="str"/>
      <x:c r="N44" s="5" t="str">
        <x:v>Not started</x:v>
      </x:c>
      <x:c r="O44" s="5" t="str">
        <x:v>Not started</x:v>
      </x:c>
      <x:c r="P44" s="5" t="str">
        <x:v>Not started</x:v>
      </x:c>
      <x:c r="Q44" s="5" t="str">
        <x:v>Not started</x:v>
      </x:c>
      <x:c r="R44" s="5" t="str">
        <x:v>Pending</x:v>
      </x:c>
      <x:c r="S44" s="5" t="str"/>
      <x:c r="T44" s="5" t="str"/>
      <x:c r="U44" s="5" t="str"/>
      <x:c r="V44" s="5" t="str"/>
      <x:c r="W44" s="5" t="str">
        <x:v>Not linked</x:v>
      </x:c>
      <x:c r="X44" s="5" t="str">
        <x:v>Pending</x:v>
      </x:c>
      <x:c r="Y44" s="5" t="str">
        <x:f>IF(AND(L44="Pending",R44="Pending"),"Pending screening",IF(H44="Not assigned","Assign reviewer",IF(AND(L44="Exclude",M44=""),"Missing TA exclusion reason",IF(AND(R44="Exclude",S44=""),"Missing FT exclusion reason","Decision recorded"))))</x:f>
        <x:v>Pending screening</x:v>
      </x:c>
    </x:row>
    <x:row r="45" ht="40" customHeight="1">
      <x:c r="A45" s="5" t="str">
        <x:v>C0036</x:v>
      </x:c>
      <x:c r="B45" s="5" t="str">
        <x:v>Industrial Image Anomaly Detection via Synthetic-Anomaly Contrastive Distillation</x:v>
      </x:c>
      <x:c r="C45" s="5" t="str">
        <x:v>10.3390/s25123721</x:v>
      </x:c>
      <x:c r="D45" s="5" t="str"/>
      <x:c r="E45" s="5" t="str">
        <x:v>journal-article</x:v>
      </x:c>
      <x:c r="F45" s="5" t="str">
        <x:v>S03</x:v>
      </x:c>
      <x:c r="G45" s="5" t="str">
        <x:v>Title-scope candidate</x:v>
      </x:c>
      <x:c r="H45" s="5" t="str">
        <x:v>Not assigned</x:v>
      </x:c>
      <x:c r="I45" s="5" t="str">
        <x:v>Not started</x:v>
      </x:c>
      <x:c r="J45" s="5" t="str">
        <x:v>Not assigned</x:v>
      </x:c>
      <x:c r="K45" s="5" t="str">
        <x:v>Not started</x:v>
      </x:c>
      <x:c r="L45" s="5" t="str">
        <x:v>Pending</x:v>
      </x:c>
      <x:c r="M45" s="5" t="str"/>
      <x:c r="N45" s="5" t="str">
        <x:v>Not started</x:v>
      </x:c>
      <x:c r="O45" s="5" t="str">
        <x:v>Not started</x:v>
      </x:c>
      <x:c r="P45" s="5" t="str">
        <x:v>Not started</x:v>
      </x:c>
      <x:c r="Q45" s="5" t="str">
        <x:v>Not started</x:v>
      </x:c>
      <x:c r="R45" s="5" t="str">
        <x:v>Pending</x:v>
      </x:c>
      <x:c r="S45" s="5" t="str"/>
      <x:c r="T45" s="5" t="str"/>
      <x:c r="U45" s="5" t="str"/>
      <x:c r="V45" s="5" t="str"/>
      <x:c r="W45" s="5" t="str">
        <x:v>Not linked</x:v>
      </x:c>
      <x:c r="X45" s="5" t="str">
        <x:v>Pending</x:v>
      </x:c>
      <x:c r="Y45" s="5" t="str">
        <x:f>IF(AND(L45="Pending",R45="Pending"),"Pending screening",IF(H45="Not assigned","Assign reviewer",IF(AND(L45="Exclude",M45=""),"Missing TA exclusion reason",IF(AND(R45="Exclude",S45=""),"Missing FT exclusion reason","Decision recorded"))))</x:f>
        <x:v>Pending screening</x:v>
      </x:c>
    </x:row>
    <x:row r="46" ht="53" customHeight="1">
      <x:c r="A46" s="5" t="str">
        <x:v>C0037</x:v>
      </x:c>
      <x:c r="B46" s="5" t="str">
        <x:v>Lightweight One-Class Anomaly Detection for Industrial Image Inspection Using Enhanced Unified Feature Representation</x:v>
      </x:c>
      <x:c r="C46" s="5" t="str">
        <x:v>10.20944/preprints202607.0655.v1</x:v>
      </x:c>
      <x:c r="D46" s="5" t="str"/>
      <x:c r="E46" s="5" t="str">
        <x:v>posted-content</x:v>
      </x:c>
      <x:c r="F46" s="5" t="str">
        <x:v>S03; S10</x:v>
      </x:c>
      <x:c r="G46" s="5" t="str">
        <x:v>Title-scope candidate</x:v>
      </x:c>
      <x:c r="H46" s="5" t="str">
        <x:v>Not assigned</x:v>
      </x:c>
      <x:c r="I46" s="5" t="str">
        <x:v>Not started</x:v>
      </x:c>
      <x:c r="J46" s="5" t="str">
        <x:v>Not assigned</x:v>
      </x:c>
      <x:c r="K46" s="5" t="str">
        <x:v>Not started</x:v>
      </x:c>
      <x:c r="L46" s="5" t="str">
        <x:v>Pending</x:v>
      </x:c>
      <x:c r="M46" s="5" t="str"/>
      <x:c r="N46" s="5" t="str">
        <x:v>Not started</x:v>
      </x:c>
      <x:c r="O46" s="5" t="str">
        <x:v>Not started</x:v>
      </x:c>
      <x:c r="P46" s="5" t="str">
        <x:v>Not started</x:v>
      </x:c>
      <x:c r="Q46" s="5" t="str">
        <x:v>Not started</x:v>
      </x:c>
      <x:c r="R46" s="5" t="str">
        <x:v>Pending</x:v>
      </x:c>
      <x:c r="S46" s="5" t="str"/>
      <x:c r="T46" s="5" t="str"/>
      <x:c r="U46" s="5" t="str"/>
      <x:c r="V46" s="5" t="str"/>
      <x:c r="W46" s="5" t="str">
        <x:v>Not linked</x:v>
      </x:c>
      <x:c r="X46" s="5" t="str">
        <x:v>Pending</x:v>
      </x:c>
      <x:c r="Y46" s="5" t="str">
        <x:f>IF(AND(L46="Pending",R46="Pending"),"Pending screening",IF(H46="Not assigned","Assign reviewer",IF(AND(L46="Exclude",M46=""),"Missing TA exclusion reason",IF(AND(R46="Exclude",S46=""),"Missing FT exclusion reason","Decision recorded"))))</x:f>
        <x:v>Pending screening</x:v>
      </x:c>
    </x:row>
    <x:row r="47" ht="40" customHeight="1">
      <x:c r="A47" s="5" t="str">
        <x:v>C0038</x:v>
      </x:c>
      <x:c r="B47" s="5" t="str">
        <x:v>Domain generalization for video anomaly detection considering diverse anomaly types</x:v>
      </x:c>
      <x:c r="C47" s="5" t="str">
        <x:v>10.1007/s11760-024-03033-3</x:v>
      </x:c>
      <x:c r="D47" s="5" t="str"/>
      <x:c r="E47" s="5" t="str">
        <x:v>journal-article</x:v>
      </x:c>
      <x:c r="F47" s="5" t="str">
        <x:v>S03</x:v>
      </x:c>
      <x:c r="G47" s="5" t="str">
        <x:v>Lower-priority; inspect scope</x:v>
      </x:c>
      <x:c r="H47" s="5" t="str">
        <x:v>Not assigned</x:v>
      </x:c>
      <x:c r="I47" s="5" t="str">
        <x:v>Not started</x:v>
      </x:c>
      <x:c r="J47" s="5" t="str">
        <x:v>Not assigned</x:v>
      </x:c>
      <x:c r="K47" s="5" t="str">
        <x:v>Not started</x:v>
      </x:c>
      <x:c r="L47" s="5" t="str">
        <x:v>Pending</x:v>
      </x:c>
      <x:c r="M47" s="5" t="str"/>
      <x:c r="N47" s="5" t="str">
        <x:v>Not started</x:v>
      </x:c>
      <x:c r="O47" s="5" t="str">
        <x:v>Not started</x:v>
      </x:c>
      <x:c r="P47" s="5" t="str">
        <x:v>Not started</x:v>
      </x:c>
      <x:c r="Q47" s="5" t="str">
        <x:v>Not started</x:v>
      </x:c>
      <x:c r="R47" s="5" t="str">
        <x:v>Pending</x:v>
      </x:c>
      <x:c r="S47" s="5" t="str"/>
      <x:c r="T47" s="5" t="str"/>
      <x:c r="U47" s="5" t="str"/>
      <x:c r="V47" s="5" t="str"/>
      <x:c r="W47" s="5" t="str">
        <x:v>Not linked</x:v>
      </x:c>
      <x:c r="X47" s="5" t="str">
        <x:v>Pending</x:v>
      </x:c>
      <x:c r="Y47" s="5" t="str">
        <x:f>IF(AND(L47="Pending",R47="Pending"),"Pending screening",IF(H47="Not assigned","Assign reviewer",IF(AND(L47="Exclude",M47=""),"Missing TA exclusion reason",IF(AND(R47="Exclude",S47=""),"Missing FT exclusion reason","Decision recorded"))))</x:f>
        <x:v>Pending screening</x:v>
      </x:c>
    </x:row>
    <x:row r="48" ht="40" customHeight="1">
      <x:c r="A48" s="5" t="str">
        <x:v>C0039</x:v>
      </x:c>
      <x:c r="B48" s="5" t="str">
        <x:v>Boundary-Guided Large-Scale Vision Model for Unified Multi-Domain Industrial Anomaly Detection</x:v>
      </x:c>
      <x:c r="C48" s="5" t="str">
        <x:v>10.2139/ssrn.5287992</x:v>
      </x:c>
      <x:c r="D48" s="5" t="str"/>
      <x:c r="E48" s="5" t="str">
        <x:v>posted-content</x:v>
      </x:c>
      <x:c r="F48" s="5" t="str">
        <x:v>S03</x:v>
      </x:c>
      <x:c r="G48" s="5" t="str">
        <x:v>Title-scope candidate</x:v>
      </x:c>
      <x:c r="H48" s="5" t="str">
        <x:v>Not assigned</x:v>
      </x:c>
      <x:c r="I48" s="5" t="str">
        <x:v>Not started</x:v>
      </x:c>
      <x:c r="J48" s="5" t="str">
        <x:v>Not assigned</x:v>
      </x:c>
      <x:c r="K48" s="5" t="str">
        <x:v>Not started</x:v>
      </x:c>
      <x:c r="L48" s="5" t="str">
        <x:v>Pending</x:v>
      </x:c>
      <x:c r="M48" s="5" t="str"/>
      <x:c r="N48" s="5" t="str">
        <x:v>Not started</x:v>
      </x:c>
      <x:c r="O48" s="5" t="str">
        <x:v>Not started</x:v>
      </x:c>
      <x:c r="P48" s="5" t="str">
        <x:v>Not started</x:v>
      </x:c>
      <x:c r="Q48" s="5" t="str">
        <x:v>Not started</x:v>
      </x:c>
      <x:c r="R48" s="5" t="str">
        <x:v>Pending</x:v>
      </x:c>
      <x:c r="S48" s="5" t="str"/>
      <x:c r="T48" s="5" t="str"/>
      <x:c r="U48" s="5" t="str"/>
      <x:c r="V48" s="5" t="str"/>
      <x:c r="W48" s="5" t="str">
        <x:v>Not linked</x:v>
      </x:c>
      <x:c r="X48" s="5" t="str">
        <x:v>Pending</x:v>
      </x:c>
      <x:c r="Y48" s="5" t="str">
        <x:f>IF(AND(L48="Pending",R48="Pending"),"Pending screening",IF(H48="Not assigned","Assign reviewer",IF(AND(L48="Exclude",M48=""),"Missing TA exclusion reason",IF(AND(R48="Exclude",S48=""),"Missing FT exclusion reason","Decision recorded"))))</x:f>
        <x:v>Pending screening</x:v>
      </x:c>
    </x:row>
    <x:row r="49" ht="40" customHeight="1">
      <x:c r="A49" s="5" t="str">
        <x:v>C0040</x:v>
      </x:c>
      <x:c r="B49" s="5" t="str">
        <x:v>Temporal-spatial interactive shift module for videos anomaly detection</x:v>
      </x:c>
      <x:c r="C49" s="5" t="str">
        <x:v>10.1007/s11760-024-03354-3</x:v>
      </x:c>
      <x:c r="D49" s="5" t="str"/>
      <x:c r="E49" s="5" t="str">
        <x:v>journal-article</x:v>
      </x:c>
      <x:c r="F49" s="5" t="str">
        <x:v>S03</x:v>
      </x:c>
      <x:c r="G49" s="5" t="str">
        <x:v>Lower-priority; inspect scope</x:v>
      </x:c>
      <x:c r="H49" s="5" t="str">
        <x:v>Not assigned</x:v>
      </x:c>
      <x:c r="I49" s="5" t="str">
        <x:v>Not started</x:v>
      </x:c>
      <x:c r="J49" s="5" t="str">
        <x:v>Not assigned</x:v>
      </x:c>
      <x:c r="K49" s="5" t="str">
        <x:v>Not started</x:v>
      </x:c>
      <x:c r="L49" s="5" t="str">
        <x:v>Pending</x:v>
      </x:c>
      <x:c r="M49" s="5" t="str"/>
      <x:c r="N49" s="5" t="str">
        <x:v>Not started</x:v>
      </x:c>
      <x:c r="O49" s="5" t="str">
        <x:v>Not started</x:v>
      </x:c>
      <x:c r="P49" s="5" t="str">
        <x:v>Not started</x:v>
      </x:c>
      <x:c r="Q49" s="5" t="str">
        <x:v>Not started</x:v>
      </x:c>
      <x:c r="R49" s="5" t="str">
        <x:v>Pending</x:v>
      </x:c>
      <x:c r="S49" s="5" t="str"/>
      <x:c r="T49" s="5" t="str"/>
      <x:c r="U49" s="5" t="str"/>
      <x:c r="V49" s="5" t="str"/>
      <x:c r="W49" s="5" t="str">
        <x:v>Not linked</x:v>
      </x:c>
      <x:c r="X49" s="5" t="str">
        <x:v>Pending</x:v>
      </x:c>
      <x:c r="Y49" s="5" t="str">
        <x:f>IF(AND(L49="Pending",R49="Pending"),"Pending screening",IF(H49="Not assigned","Assign reviewer",IF(AND(L49="Exclude",M49=""),"Missing TA exclusion reason",IF(AND(R49="Exclude",S49=""),"Missing FT exclusion reason","Decision recorded"))))</x:f>
        <x:v>Pending screening</x:v>
      </x:c>
    </x:row>
    <x:row r="50" ht="40" customHeight="1">
      <x:c r="A50" s="5" t="str">
        <x:v>C0041</x:v>
      </x:c>
      <x:c r="B50" s="5" t="str">
        <x:v>ROADS: Robust Prompt-Driven Multi-Class Anomaly Detection Under Domain Shift</x:v>
      </x:c>
      <x:c r="C50" s="5" t="str">
        <x:v>10.1109/wacv61041.2025.00768</x:v>
      </x:c>
      <x:c r="D50" s="5" t="str"/>
      <x:c r="E50" s="5" t="str">
        <x:v>proceedings-article</x:v>
      </x:c>
      <x:c r="F50" s="5" t="str">
        <x:v>S03</x:v>
      </x:c>
      <x:c r="G50" s="5" t="str">
        <x:v>Lower-priority; inspect scope</x:v>
      </x:c>
      <x:c r="H50" s="5" t="str">
        <x:v>Not assigned</x:v>
      </x:c>
      <x:c r="I50" s="5" t="str">
        <x:v>Not started</x:v>
      </x:c>
      <x:c r="J50" s="5" t="str">
        <x:v>Not assigned</x:v>
      </x:c>
      <x:c r="K50" s="5" t="str">
        <x:v>Not started</x:v>
      </x:c>
      <x:c r="L50" s="5" t="str">
        <x:v>Pending</x:v>
      </x:c>
      <x:c r="M50" s="5" t="str"/>
      <x:c r="N50" s="5" t="str">
        <x:v>Not started</x:v>
      </x:c>
      <x:c r="O50" s="5" t="str">
        <x:v>Not started</x:v>
      </x:c>
      <x:c r="P50" s="5" t="str">
        <x:v>Not started</x:v>
      </x:c>
      <x:c r="Q50" s="5" t="str">
        <x:v>Not started</x:v>
      </x:c>
      <x:c r="R50" s="5" t="str">
        <x:v>Pending</x:v>
      </x:c>
      <x:c r="S50" s="5" t="str"/>
      <x:c r="T50" s="5" t="str"/>
      <x:c r="U50" s="5" t="str"/>
      <x:c r="V50" s="5" t="str"/>
      <x:c r="W50" s="5" t="str">
        <x:v>Not linked</x:v>
      </x:c>
      <x:c r="X50" s="5" t="str">
        <x:v>Pending</x:v>
      </x:c>
      <x:c r="Y50" s="5" t="str">
        <x:f>IF(AND(L50="Pending",R50="Pending"),"Pending screening",IF(H50="Not assigned","Assign reviewer",IF(AND(L50="Exclude",M50=""),"Missing TA exclusion reason",IF(AND(R50="Exclude",S50=""),"Missing FT exclusion reason","Decision recorded"))))</x:f>
        <x:v>Pending screening</x:v>
      </x:c>
    </x:row>
    <x:row r="51" ht="40" customHeight="1">
      <x:c r="A51" s="5" t="str">
        <x:v>C0042</x:v>
      </x:c>
      <x:c r="B51" s="5" t="str">
        <x:v>Denoising Heterogeneous Knowledge Distillation Network for Unsupervised Industrial Image Anomaly Detection</x:v>
      </x:c>
      <x:c r="C51" s="5" t="str">
        <x:v>10.2139/ssrn.5278821</x:v>
      </x:c>
      <x:c r="D51" s="5" t="str"/>
      <x:c r="E51" s="5" t="str">
        <x:v>posted-content</x:v>
      </x:c>
      <x:c r="F51" s="5" t="str">
        <x:v>S03</x:v>
      </x:c>
      <x:c r="G51" s="5" t="str">
        <x:v>Title-scope candidate</x:v>
      </x:c>
      <x:c r="H51" s="5" t="str">
        <x:v>Not assigned</x:v>
      </x:c>
      <x:c r="I51" s="5" t="str">
        <x:v>Not started</x:v>
      </x:c>
      <x:c r="J51" s="5" t="str">
        <x:v>Not assigned</x:v>
      </x:c>
      <x:c r="K51" s="5" t="str">
        <x:v>Not started</x:v>
      </x:c>
      <x:c r="L51" s="5" t="str">
        <x:v>Pending</x:v>
      </x:c>
      <x:c r="M51" s="5" t="str"/>
      <x:c r="N51" s="5" t="str">
        <x:v>Not started</x:v>
      </x:c>
      <x:c r="O51" s="5" t="str">
        <x:v>Not started</x:v>
      </x:c>
      <x:c r="P51" s="5" t="str">
        <x:v>Not started</x:v>
      </x:c>
      <x:c r="Q51" s="5" t="str">
        <x:v>Not started</x:v>
      </x:c>
      <x:c r="R51" s="5" t="str">
        <x:v>Pending</x:v>
      </x:c>
      <x:c r="S51" s="5" t="str"/>
      <x:c r="T51" s="5" t="str"/>
      <x:c r="U51" s="5" t="str"/>
      <x:c r="V51" s="5" t="str"/>
      <x:c r="W51" s="5" t="str">
        <x:v>Not linked</x:v>
      </x:c>
      <x:c r="X51" s="5" t="str">
        <x:v>Pending</x:v>
      </x:c>
      <x:c r="Y51" s="5" t="str">
        <x:f>IF(AND(L51="Pending",R51="Pending"),"Pending screening",IF(H51="Not assigned","Assign reviewer",IF(AND(L51="Exclude",M51=""),"Missing TA exclusion reason",IF(AND(R51="Exclude",S51=""),"Missing FT exclusion reason","Decision recorded"))))</x:f>
        <x:v>Pending screening</x:v>
      </x:c>
    </x:row>
    <x:row r="52" ht="40" customHeight="1">
      <x:c r="A52" s="5" t="str">
        <x:v>C0043</x:v>
      </x:c>
      <x:c r="B52" s="5" t="str">
        <x:v>Cross-domain object detection using minimized instance shift image–image translation</x:v>
      </x:c>
      <x:c r="C52" s="5" t="str">
        <x:v>10.1007/s00371-022-02643-7</x:v>
      </x:c>
      <x:c r="D52" s="5" t="str"/>
      <x:c r="E52" s="5" t="str">
        <x:v>journal-article</x:v>
      </x:c>
      <x:c r="F52" s="5" t="str">
        <x:v>S03</x:v>
      </x:c>
      <x:c r="G52" s="5" t="str">
        <x:v>Lower-priority; inspect scope</x:v>
      </x:c>
      <x:c r="H52" s="5" t="str">
        <x:v>Not assigned</x:v>
      </x:c>
      <x:c r="I52" s="5" t="str">
        <x:v>Not started</x:v>
      </x:c>
      <x:c r="J52" s="5" t="str">
        <x:v>Not assigned</x:v>
      </x:c>
      <x:c r="K52" s="5" t="str">
        <x:v>Not started</x:v>
      </x:c>
      <x:c r="L52" s="5" t="str">
        <x:v>Pending</x:v>
      </x:c>
      <x:c r="M52" s="5" t="str"/>
      <x:c r="N52" s="5" t="str">
        <x:v>Not started</x:v>
      </x:c>
      <x:c r="O52" s="5" t="str">
        <x:v>Not started</x:v>
      </x:c>
      <x:c r="P52" s="5" t="str">
        <x:v>Not started</x:v>
      </x:c>
      <x:c r="Q52" s="5" t="str">
        <x:v>Not started</x:v>
      </x:c>
      <x:c r="R52" s="5" t="str">
        <x:v>Pending</x:v>
      </x:c>
      <x:c r="S52" s="5" t="str"/>
      <x:c r="T52" s="5" t="str"/>
      <x:c r="U52" s="5" t="str"/>
      <x:c r="V52" s="5" t="str"/>
      <x:c r="W52" s="5" t="str">
        <x:v>Not linked</x:v>
      </x:c>
      <x:c r="X52" s="5" t="str">
        <x:v>Pending</x:v>
      </x:c>
      <x:c r="Y52" s="5" t="str">
        <x:f>IF(AND(L52="Pending",R52="Pending"),"Pending screening",IF(H52="Not assigned","Assign reviewer",IF(AND(L52="Exclude",M52=""),"Missing TA exclusion reason",IF(AND(R52="Exclude",S52=""),"Missing FT exclusion reason","Decision recorded"))))</x:f>
        <x:v>Pending screening</x:v>
      </x:c>
    </x:row>
    <x:row r="53" ht="40" customHeight="1">
      <x:c r="A53" s="5" t="str">
        <x:v>C0044</x:v>
      </x:c>
      <x:c r="B53" s="5" t="str">
        <x:v>MeRD: Memory-Enhanced Reverse Distillation for Industrial Image Anomaly Detection</x:v>
      </x:c>
      <x:c r="C53" s="5" t="str">
        <x:v>10.1109/cvidl70130.2026.11637863</x:v>
      </x:c>
      <x:c r="D53" s="5" t="str"/>
      <x:c r="E53" s="5" t="str">
        <x:v>proceedings-article</x:v>
      </x:c>
      <x:c r="F53" s="5" t="str">
        <x:v>S03</x:v>
      </x:c>
      <x:c r="G53" s="5" t="str">
        <x:v>Title-scope candidate</x:v>
      </x:c>
      <x:c r="H53" s="5" t="str">
        <x:v>Not assigned</x:v>
      </x:c>
      <x:c r="I53" s="5" t="str">
        <x:v>Not started</x:v>
      </x:c>
      <x:c r="J53" s="5" t="str">
        <x:v>Not assigned</x:v>
      </x:c>
      <x:c r="K53" s="5" t="str">
        <x:v>Not started</x:v>
      </x:c>
      <x:c r="L53" s="5" t="str">
        <x:v>Pending</x:v>
      </x:c>
      <x:c r="M53" s="5" t="str"/>
      <x:c r="N53" s="5" t="str">
        <x:v>Not started</x:v>
      </x:c>
      <x:c r="O53" s="5" t="str">
        <x:v>Not started</x:v>
      </x:c>
      <x:c r="P53" s="5" t="str">
        <x:v>Not started</x:v>
      </x:c>
      <x:c r="Q53" s="5" t="str">
        <x:v>Not started</x:v>
      </x:c>
      <x:c r="R53" s="5" t="str">
        <x:v>Pending</x:v>
      </x:c>
      <x:c r="S53" s="5" t="str"/>
      <x:c r="T53" s="5" t="str"/>
      <x:c r="U53" s="5" t="str"/>
      <x:c r="V53" s="5" t="str"/>
      <x:c r="W53" s="5" t="str">
        <x:v>Not linked</x:v>
      </x:c>
      <x:c r="X53" s="5" t="str">
        <x:v>Pending</x:v>
      </x:c>
      <x:c r="Y53" s="5" t="str">
        <x:f>IF(AND(L53="Pending",R53="Pending"),"Pending screening",IF(H53="Not assigned","Assign reviewer",IF(AND(L53="Exclude",M53=""),"Missing TA exclusion reason",IF(AND(R53="Exclude",S53=""),"Missing FT exclusion reason","Decision recorded"))))</x:f>
        <x:v>Pending screening</x:v>
      </x:c>
    </x:row>
    <x:row r="54" ht="40" customHeight="1">
      <x:c r="A54" s="5" t="str">
        <x:v>C0045</x:v>
      </x:c>
      <x:c r="B54" s="5" t="str">
        <x:v>Multi-AD: cross-domain unsupervised anomaly detection for medical and industrial applications</x:v>
      </x:c>
      <x:c r="C54" s="5" t="str">
        <x:v>10.1016/j.patcog.2025.112486</x:v>
      </x:c>
      <x:c r="D54" s="5" t="str"/>
      <x:c r="E54" s="5" t="str">
        <x:v>journal-article</x:v>
      </x:c>
      <x:c r="F54" s="5" t="str">
        <x:v>S03</x:v>
      </x:c>
      <x:c r="G54" s="5" t="str">
        <x:v>Lower-priority; inspect scope</x:v>
      </x:c>
      <x:c r="H54" s="5" t="str">
        <x:v>Not assigned</x:v>
      </x:c>
      <x:c r="I54" s="5" t="str">
        <x:v>Not started</x:v>
      </x:c>
      <x:c r="J54" s="5" t="str">
        <x:v>Not assigned</x:v>
      </x:c>
      <x:c r="K54" s="5" t="str">
        <x:v>Not started</x:v>
      </x:c>
      <x:c r="L54" s="5" t="str">
        <x:v>Pending</x:v>
      </x:c>
      <x:c r="M54" s="5" t="str"/>
      <x:c r="N54" s="5" t="str">
        <x:v>Not started</x:v>
      </x:c>
      <x:c r="O54" s="5" t="str">
        <x:v>Not started</x:v>
      </x:c>
      <x:c r="P54" s="5" t="str">
        <x:v>Not started</x:v>
      </x:c>
      <x:c r="Q54" s="5" t="str">
        <x:v>Not started</x:v>
      </x:c>
      <x:c r="R54" s="5" t="str">
        <x:v>Pending</x:v>
      </x:c>
      <x:c r="S54" s="5" t="str"/>
      <x:c r="T54" s="5" t="str"/>
      <x:c r="U54" s="5" t="str"/>
      <x:c r="V54" s="5" t="str"/>
      <x:c r="W54" s="5" t="str">
        <x:v>Not linked</x:v>
      </x:c>
      <x:c r="X54" s="5" t="str">
        <x:v>Pending</x:v>
      </x:c>
      <x:c r="Y54" s="5" t="str">
        <x:f>IF(AND(L54="Pending",R54="Pending"),"Pending screening",IF(H54="Not assigned","Assign reviewer",IF(AND(L54="Exclude",M54=""),"Missing TA exclusion reason",IF(AND(R54="Exclude",S54=""),"Missing FT exclusion reason","Decision recorded"))))</x:f>
        <x:v>Pending screening</x:v>
      </x:c>
    </x:row>
    <x:row r="55" ht="40" customHeight="1">
      <x:c r="A55" s="5" t="str">
        <x:v>C0046</x:v>
      </x:c>
      <x:c r="B55" s="5" t="str">
        <x:v>Multiscale feature reconstruction contrastive learning for distribution shift anomaly detection</x:v>
      </x:c>
      <x:c r="C55" s="5" t="str">
        <x:v>10.1117/12.3095570</x:v>
      </x:c>
      <x:c r="D55" s="5" t="str"/>
      <x:c r="E55" s="5" t="str">
        <x:v>proceedings-article</x:v>
      </x:c>
      <x:c r="F55" s="5" t="str">
        <x:v>S03</x:v>
      </x:c>
      <x:c r="G55" s="5" t="str">
        <x:v>Lower-priority; inspect scope</x:v>
      </x:c>
      <x:c r="H55" s="5" t="str">
        <x:v>Not assigned</x:v>
      </x:c>
      <x:c r="I55" s="5" t="str">
        <x:v>Not started</x:v>
      </x:c>
      <x:c r="J55" s="5" t="str">
        <x:v>Not assigned</x:v>
      </x:c>
      <x:c r="K55" s="5" t="str">
        <x:v>Not started</x:v>
      </x:c>
      <x:c r="L55" s="5" t="str">
        <x:v>Pending</x:v>
      </x:c>
      <x:c r="M55" s="5" t="str"/>
      <x:c r="N55" s="5" t="str">
        <x:v>Not started</x:v>
      </x:c>
      <x:c r="O55" s="5" t="str">
        <x:v>Not started</x:v>
      </x:c>
      <x:c r="P55" s="5" t="str">
        <x:v>Not started</x:v>
      </x:c>
      <x:c r="Q55" s="5" t="str">
        <x:v>Not started</x:v>
      </x:c>
      <x:c r="R55" s="5" t="str">
        <x:v>Pending</x:v>
      </x:c>
      <x:c r="S55" s="5" t="str"/>
      <x:c r="T55" s="5" t="str"/>
      <x:c r="U55" s="5" t="str"/>
      <x:c r="V55" s="5" t="str"/>
      <x:c r="W55" s="5" t="str">
        <x:v>Not linked</x:v>
      </x:c>
      <x:c r="X55" s="5" t="str">
        <x:v>Pending</x:v>
      </x:c>
      <x:c r="Y55" s="5" t="str">
        <x:f>IF(AND(L55="Pending",R55="Pending"),"Pending screening",IF(H55="Not assigned","Assign reviewer",IF(AND(L55="Exclude",M55=""),"Missing TA exclusion reason",IF(AND(R55="Exclude",S55=""),"Missing FT exclusion reason","Decision recorded"))))</x:f>
        <x:v>Pending screening</x:v>
      </x:c>
    </x:row>
    <x:row r="56" ht="40" customHeight="1">
      <x:c r="A56" s="5" t="str">
        <x:v>C0047</x:v>
      </x:c>
      <x:c r="B56" s="5" t="str">
        <x:v>Network Pruning and Fine-tuning for Few-shot Industrial Image Anomaly Detection</x:v>
      </x:c>
      <x:c r="C56" s="5" t="str">
        <x:v>10.1109/indin51400.2023.10218283</x:v>
      </x:c>
      <x:c r="D56" s="5" t="str"/>
      <x:c r="E56" s="5" t="str">
        <x:v>proceedings-article</x:v>
      </x:c>
      <x:c r="F56" s="5" t="str">
        <x:v>S03</x:v>
      </x:c>
      <x:c r="G56" s="5" t="str">
        <x:v>Title-scope candidate</x:v>
      </x:c>
      <x:c r="H56" s="5" t="str">
        <x:v>Not assigned</x:v>
      </x:c>
      <x:c r="I56" s="5" t="str">
        <x:v>Not started</x:v>
      </x:c>
      <x:c r="J56" s="5" t="str">
        <x:v>Not assigned</x:v>
      </x:c>
      <x:c r="K56" s="5" t="str">
        <x:v>Not started</x:v>
      </x:c>
      <x:c r="L56" s="5" t="str">
        <x:v>Pending</x:v>
      </x:c>
      <x:c r="M56" s="5" t="str"/>
      <x:c r="N56" s="5" t="str">
        <x:v>Not started</x:v>
      </x:c>
      <x:c r="O56" s="5" t="str">
        <x:v>Not started</x:v>
      </x:c>
      <x:c r="P56" s="5" t="str">
        <x:v>Not started</x:v>
      </x:c>
      <x:c r="Q56" s="5" t="str">
        <x:v>Not started</x:v>
      </x:c>
      <x:c r="R56" s="5" t="str">
        <x:v>Pending</x:v>
      </x:c>
      <x:c r="S56" s="5" t="str"/>
      <x:c r="T56" s="5" t="str"/>
      <x:c r="U56" s="5" t="str"/>
      <x:c r="V56" s="5" t="str"/>
      <x:c r="W56" s="5" t="str">
        <x:v>Not linked</x:v>
      </x:c>
      <x:c r="X56" s="5" t="str">
        <x:v>Pending</x:v>
      </x:c>
      <x:c r="Y56" s="5" t="str">
        <x:f>IF(AND(L56="Pending",R56="Pending"),"Pending screening",IF(H56="Not assigned","Assign reviewer",IF(AND(L56="Exclude",M56=""),"Missing TA exclusion reason",IF(AND(R56="Exclude",S56=""),"Missing FT exclusion reason","Decision recorded"))))</x:f>
        <x:v>Pending screening</x:v>
      </x:c>
    </x:row>
    <x:row r="57" ht="40" customHeight="1">
      <x:c r="A57" s="5" t="str">
        <x:v>C0048</x:v>
      </x:c>
      <x:c r="B57" s="5" t="str">
        <x:v>Domain adaptation of attention heads for zero-shot anomaly detection</x:v>
      </x:c>
      <x:c r="C57" s="5" t="str">
        <x:v>10.1016/j.cviu.2026.104751</x:v>
      </x:c>
      <x:c r="D57" s="5" t="str"/>
      <x:c r="E57" s="5" t="str">
        <x:v>journal-article</x:v>
      </x:c>
      <x:c r="F57" s="5" t="str">
        <x:v>S03</x:v>
      </x:c>
      <x:c r="G57" s="5" t="str">
        <x:v>Lower-priority; inspect scope</x:v>
      </x:c>
      <x:c r="H57" s="5" t="str">
        <x:v>Not assigned</x:v>
      </x:c>
      <x:c r="I57" s="5" t="str">
        <x:v>Not started</x:v>
      </x:c>
      <x:c r="J57" s="5" t="str">
        <x:v>Not assigned</x:v>
      </x:c>
      <x:c r="K57" s="5" t="str">
        <x:v>Not started</x:v>
      </x:c>
      <x:c r="L57" s="5" t="str">
        <x:v>Pending</x:v>
      </x:c>
      <x:c r="M57" s="5" t="str"/>
      <x:c r="N57" s="5" t="str">
        <x:v>Not started</x:v>
      </x:c>
      <x:c r="O57" s="5" t="str">
        <x:v>Not started</x:v>
      </x:c>
      <x:c r="P57" s="5" t="str">
        <x:v>Not started</x:v>
      </x:c>
      <x:c r="Q57" s="5" t="str">
        <x:v>Not started</x:v>
      </x:c>
      <x:c r="R57" s="5" t="str">
        <x:v>Pending</x:v>
      </x:c>
      <x:c r="S57" s="5" t="str"/>
      <x:c r="T57" s="5" t="str"/>
      <x:c r="U57" s="5" t="str"/>
      <x:c r="V57" s="5" t="str"/>
      <x:c r="W57" s="5" t="str">
        <x:v>Not linked</x:v>
      </x:c>
      <x:c r="X57" s="5" t="str">
        <x:v>Pending</x:v>
      </x:c>
      <x:c r="Y57" s="5" t="str">
        <x:f>IF(AND(L57="Pending",R57="Pending"),"Pending screening",IF(H57="Not assigned","Assign reviewer",IF(AND(L57="Exclude",M57=""),"Missing TA exclusion reason",IF(AND(R57="Exclude",S57=""),"Missing FT exclusion reason","Decision recorded"))))</x:f>
        <x:v>Pending screening</x:v>
      </x:c>
    </x:row>
    <x:row r="58" ht="40" customHeight="1">
      <x:c r="A58" s="5" t="str">
        <x:v>C0049</x:v>
      </x:c>
      <x:c r="B58" s="5" t="str">
        <x:v>Using uncertainty techniques to aid defect classification in an automated visual inspection system</x:v>
      </x:c>
      <x:c r="C58" s="5" t="str">
        <x:v>10.1049/ic:19970259</x:v>
      </x:c>
      <x:c r="D58" s="5" t="str"/>
      <x:c r="E58" s="5" t="str">
        <x:v>proceedings-article</x:v>
      </x:c>
      <x:c r="F58" s="5" t="str">
        <x:v>S04; S06; S11</x:v>
      </x:c>
      <x:c r="G58" s="5" t="str">
        <x:v>Title-scope candidate</x:v>
      </x:c>
      <x:c r="H58" s="5" t="str">
        <x:v>Not assigned</x:v>
      </x:c>
      <x:c r="I58" s="5" t="str">
        <x:v>Not started</x:v>
      </x:c>
      <x:c r="J58" s="5" t="str">
        <x:v>Not assigned</x:v>
      </x:c>
      <x:c r="K58" s="5" t="str">
        <x:v>Not started</x:v>
      </x:c>
      <x:c r="L58" s="5" t="str">
        <x:v>Pending</x:v>
      </x:c>
      <x:c r="M58" s="5" t="str"/>
      <x:c r="N58" s="5" t="str">
        <x:v>Not started</x:v>
      </x:c>
      <x:c r="O58" s="5" t="str">
        <x:v>Not started</x:v>
      </x:c>
      <x:c r="P58" s="5" t="str">
        <x:v>Not started</x:v>
      </x:c>
      <x:c r="Q58" s="5" t="str">
        <x:v>Not started</x:v>
      </x:c>
      <x:c r="R58" s="5" t="str">
        <x:v>Pending</x:v>
      </x:c>
      <x:c r="S58" s="5" t="str"/>
      <x:c r="T58" s="5" t="str"/>
      <x:c r="U58" s="5" t="str"/>
      <x:c r="V58" s="5" t="str"/>
      <x:c r="W58" s="5" t="str">
        <x:v>Not linked</x:v>
      </x:c>
      <x:c r="X58" s="5" t="str">
        <x:v>Pending</x:v>
      </x:c>
      <x:c r="Y58" s="5" t="str">
        <x:f>IF(AND(L58="Pending",R58="Pending"),"Pending screening",IF(H58="Not assigned","Assign reviewer",IF(AND(L58="Exclude",M58=""),"Missing TA exclusion reason",IF(AND(R58="Exclude",S58=""),"Missing FT exclusion reason","Decision recorded"))))</x:f>
        <x:v>Pending screening</x:v>
      </x:c>
    </x:row>
    <x:row r="59" ht="40" customHeight="1">
      <x:c r="A59" s="5" t="str">
        <x:v>C0050</x:v>
      </x:c>
      <x:c r="B59" s="5" t="str">
        <x:v>OpenTURNS: An Industrial Software for Uncertainty Quantification in Simulation</x:v>
      </x:c>
      <x:c r="C59" s="5" t="str">
        <x:v>10.1007/978-3-319-11259-6_64-1</x:v>
      </x:c>
      <x:c r="D59" s="5" t="str"/>
      <x:c r="E59" s="5" t="str">
        <x:v>book-chapter</x:v>
      </x:c>
      <x:c r="F59" s="5" t="str">
        <x:v>S04</x:v>
      </x:c>
      <x:c r="G59" s="5" t="str">
        <x:v>Lower-priority; inspect scope</x:v>
      </x:c>
      <x:c r="H59" s="5" t="str">
        <x:v>Not assigned</x:v>
      </x:c>
      <x:c r="I59" s="5" t="str">
        <x:v>Not started</x:v>
      </x:c>
      <x:c r="J59" s="5" t="str">
        <x:v>Not assigned</x:v>
      </x:c>
      <x:c r="K59" s="5" t="str">
        <x:v>Not started</x:v>
      </x:c>
      <x:c r="L59" s="5" t="str">
        <x:v>Pending</x:v>
      </x:c>
      <x:c r="M59" s="5" t="str"/>
      <x:c r="N59" s="5" t="str">
        <x:v>Not started</x:v>
      </x:c>
      <x:c r="O59" s="5" t="str">
        <x:v>Not started</x:v>
      </x:c>
      <x:c r="P59" s="5" t="str">
        <x:v>Not started</x:v>
      </x:c>
      <x:c r="Q59" s="5" t="str">
        <x:v>Not started</x:v>
      </x:c>
      <x:c r="R59" s="5" t="str">
        <x:v>Pending</x:v>
      </x:c>
      <x:c r="S59" s="5" t="str"/>
      <x:c r="T59" s="5" t="str"/>
      <x:c r="U59" s="5" t="str"/>
      <x:c r="V59" s="5" t="str"/>
      <x:c r="W59" s="5" t="str">
        <x:v>Not linked</x:v>
      </x:c>
      <x:c r="X59" s="5" t="str">
        <x:v>Pending</x:v>
      </x:c>
      <x:c r="Y59" s="5" t="str">
        <x:f>IF(AND(L59="Pending",R59="Pending"),"Pending screening",IF(H59="Not assigned","Assign reviewer",IF(AND(L59="Exclude",M59=""),"Missing TA exclusion reason",IF(AND(R59="Exclude",S59=""),"Missing FT exclusion reason","Decision recorded"))))</x:f>
        <x:v>Pending screening</x:v>
      </x:c>
    </x:row>
    <x:row r="60" ht="40" customHeight="1">
      <x:c r="A60" s="5" t="str">
        <x:v>C0051</x:v>
      </x:c>
      <x:c r="B60" s="5" t="str">
        <x:v>Uncertainty-Aware Industrial Defect Detection: A Unified Evaluation and Learning Framework</x:v>
      </x:c>
      <x:c r="C60" s="5" t="str">
        <x:v>10.1109/ccdc69976.2026.11559828</x:v>
      </x:c>
      <x:c r="D60" s="5" t="str"/>
      <x:c r="E60" s="5" t="str">
        <x:v>proceedings-article</x:v>
      </x:c>
      <x:c r="F60" s="5" t="str">
        <x:v>S04</x:v>
      </x:c>
      <x:c r="G60" s="5" t="str">
        <x:v>Title-scope candidate</x:v>
      </x:c>
      <x:c r="H60" s="5" t="str">
        <x:v>Not assigned</x:v>
      </x:c>
      <x:c r="I60" s="5" t="str">
        <x:v>Not started</x:v>
      </x:c>
      <x:c r="J60" s="5" t="str">
        <x:v>Not assigned</x:v>
      </x:c>
      <x:c r="K60" s="5" t="str">
        <x:v>Not started</x:v>
      </x:c>
      <x:c r="L60" s="5" t="str">
        <x:v>Pending</x:v>
      </x:c>
      <x:c r="M60" s="5" t="str"/>
      <x:c r="N60" s="5" t="str">
        <x:v>Not started</x:v>
      </x:c>
      <x:c r="O60" s="5" t="str">
        <x:v>Not started</x:v>
      </x:c>
      <x:c r="P60" s="5" t="str">
        <x:v>Not started</x:v>
      </x:c>
      <x:c r="Q60" s="5" t="str">
        <x:v>Not started</x:v>
      </x:c>
      <x:c r="R60" s="5" t="str">
        <x:v>Pending</x:v>
      </x:c>
      <x:c r="S60" s="5" t="str"/>
      <x:c r="T60" s="5" t="str"/>
      <x:c r="U60" s="5" t="str"/>
      <x:c r="V60" s="5" t="str"/>
      <x:c r="W60" s="5" t="str">
        <x:v>Not linked</x:v>
      </x:c>
      <x:c r="X60" s="5" t="str">
        <x:v>Pending</x:v>
      </x:c>
      <x:c r="Y60" s="5" t="str">
        <x:f>IF(AND(L60="Pending",R60="Pending"),"Pending screening",IF(H60="Not assigned","Assign reviewer",IF(AND(L60="Exclude",M60=""),"Missing TA exclusion reason",IF(AND(R60="Exclude",S60=""),"Missing FT exclusion reason","Decision recorded"))))</x:f>
        <x:v>Pending screening</x:v>
      </x:c>
    </x:row>
    <x:row r="61" ht="40" customHeight="1">
      <x:c r="A61" s="5" t="str">
        <x:v>C0052</x:v>
      </x:c>
      <x:c r="B61" s="5" t="str">
        <x:v>OpenTURNS: An Industrial Software for Uncertainty Quantification in Simulation</x:v>
      </x:c>
      <x:c r="C61" s="5" t="str">
        <x:v>10.1007/978-3-319-12385-1_64</x:v>
      </x:c>
      <x:c r="D61" s="5" t="str"/>
      <x:c r="E61" s="5" t="str">
        <x:v>book-chapter</x:v>
      </x:c>
      <x:c r="F61" s="5" t="str">
        <x:v>S04</x:v>
      </x:c>
      <x:c r="G61" s="5" t="str">
        <x:v>Lower-priority; inspect scope</x:v>
      </x:c>
      <x:c r="H61" s="5" t="str">
        <x:v>Not assigned</x:v>
      </x:c>
      <x:c r="I61" s="5" t="str">
        <x:v>Not started</x:v>
      </x:c>
      <x:c r="J61" s="5" t="str">
        <x:v>Not assigned</x:v>
      </x:c>
      <x:c r="K61" s="5" t="str">
        <x:v>Not started</x:v>
      </x:c>
      <x:c r="L61" s="5" t="str">
        <x:v>Pending</x:v>
      </x:c>
      <x:c r="M61" s="5" t="str"/>
      <x:c r="N61" s="5" t="str">
        <x:v>Not started</x:v>
      </x:c>
      <x:c r="O61" s="5" t="str">
        <x:v>Not started</x:v>
      </x:c>
      <x:c r="P61" s="5" t="str">
        <x:v>Not started</x:v>
      </x:c>
      <x:c r="Q61" s="5" t="str">
        <x:v>Not started</x:v>
      </x:c>
      <x:c r="R61" s="5" t="str">
        <x:v>Pending</x:v>
      </x:c>
      <x:c r="S61" s="5" t="str"/>
      <x:c r="T61" s="5" t="str"/>
      <x:c r="U61" s="5" t="str"/>
      <x:c r="V61" s="5" t="str"/>
      <x:c r="W61" s="5" t="str">
        <x:v>Not linked</x:v>
      </x:c>
      <x:c r="X61" s="5" t="str">
        <x:v>Pending</x:v>
      </x:c>
      <x:c r="Y61" s="5" t="str">
        <x:f>IF(AND(L61="Pending",R61="Pending"),"Pending screening",IF(H61="Not assigned","Assign reviewer",IF(AND(L61="Exclude",M61=""),"Missing TA exclusion reason",IF(AND(R61="Exclude",S61=""),"Missing FT exclusion reason","Decision recorded"))))</x:f>
        <x:v>Pending screening</x:v>
      </x:c>
    </x:row>
    <x:row r="62" ht="53" customHeight="1">
      <x:c r="A62" s="5" t="str">
        <x:v>C0053</x:v>
      </x:c>
      <x:c r="B62" s="5" t="str">
        <x:v>Self-supervised vision-language learning with uncertainty-guided strategic annotation for minimal-annotation defect detection</x:v>
      </x:c>
      <x:c r="C62" s="5" t="str">
        <x:v>10.1016/j.cie.2026.111898</x:v>
      </x:c>
      <x:c r="D62" s="5" t="str"/>
      <x:c r="E62" s="5" t="str">
        <x:v>journal-article</x:v>
      </x:c>
      <x:c r="F62" s="5" t="str">
        <x:v>S04</x:v>
      </x:c>
      <x:c r="G62" s="5" t="str">
        <x:v>Title-scope candidate</x:v>
      </x:c>
      <x:c r="H62" s="5" t="str">
        <x:v>Not assigned</x:v>
      </x:c>
      <x:c r="I62" s="5" t="str">
        <x:v>Not started</x:v>
      </x:c>
      <x:c r="J62" s="5" t="str">
        <x:v>Not assigned</x:v>
      </x:c>
      <x:c r="K62" s="5" t="str">
        <x:v>Not started</x:v>
      </x:c>
      <x:c r="L62" s="5" t="str">
        <x:v>Pending</x:v>
      </x:c>
      <x:c r="M62" s="5" t="str"/>
      <x:c r="N62" s="5" t="str">
        <x:v>Not started</x:v>
      </x:c>
      <x:c r="O62" s="5" t="str">
        <x:v>Not started</x:v>
      </x:c>
      <x:c r="P62" s="5" t="str">
        <x:v>Not started</x:v>
      </x:c>
      <x:c r="Q62" s="5" t="str">
        <x:v>Not started</x:v>
      </x:c>
      <x:c r="R62" s="5" t="str">
        <x:v>Pending</x:v>
      </x:c>
      <x:c r="S62" s="5" t="str"/>
      <x:c r="T62" s="5" t="str"/>
      <x:c r="U62" s="5" t="str"/>
      <x:c r="V62" s="5" t="str"/>
      <x:c r="W62" s="5" t="str">
        <x:v>Not linked</x:v>
      </x:c>
      <x:c r="X62" s="5" t="str">
        <x:v>Pending</x:v>
      </x:c>
      <x:c r="Y62" s="5" t="str">
        <x:f>IF(AND(L62="Pending",R62="Pending"),"Pending screening",IF(H62="Not assigned","Assign reviewer",IF(AND(L62="Exclude",M62=""),"Missing TA exclusion reason",IF(AND(R62="Exclude",S62=""),"Missing FT exclusion reason","Decision recorded"))))</x:f>
        <x:v>Pending screening</x:v>
      </x:c>
    </x:row>
    <x:row r="63" ht="40" customHeight="1">
      <x:c r="A63" s="5" t="str">
        <x:v>C0054</x:v>
      </x:c>
      <x:c r="B63" s="5" t="str">
        <x:v>Uncertainty Quantification and Sensitivity Analysis in Subsurface Defect Detection with Sparse Models</x:v>
      </x:c>
      <x:c r="C63" s="5" t="str">
        <x:v>10.1007/s10921-024-01114-4</x:v>
      </x:c>
      <x:c r="D63" s="5" t="str"/>
      <x:c r="E63" s="5" t="str">
        <x:v>journal-article</x:v>
      </x:c>
      <x:c r="F63" s="5" t="str">
        <x:v>S04</x:v>
      </x:c>
      <x:c r="G63" s="5" t="str">
        <x:v>Title-scope candidate</x:v>
      </x:c>
      <x:c r="H63" s="5" t="str">
        <x:v>Not assigned</x:v>
      </x:c>
      <x:c r="I63" s="5" t="str">
        <x:v>Not started</x:v>
      </x:c>
      <x:c r="J63" s="5" t="str">
        <x:v>Not assigned</x:v>
      </x:c>
      <x:c r="K63" s="5" t="str">
        <x:v>Not started</x:v>
      </x:c>
      <x:c r="L63" s="5" t="str">
        <x:v>Pending</x:v>
      </x:c>
      <x:c r="M63" s="5" t="str"/>
      <x:c r="N63" s="5" t="str">
        <x:v>Not started</x:v>
      </x:c>
      <x:c r="O63" s="5" t="str">
        <x:v>Not started</x:v>
      </x:c>
      <x:c r="P63" s="5" t="str">
        <x:v>Not started</x:v>
      </x:c>
      <x:c r="Q63" s="5" t="str">
        <x:v>Not started</x:v>
      </x:c>
      <x:c r="R63" s="5" t="str">
        <x:v>Pending</x:v>
      </x:c>
      <x:c r="S63" s="5" t="str"/>
      <x:c r="T63" s="5" t="str"/>
      <x:c r="U63" s="5" t="str"/>
      <x:c r="V63" s="5" t="str"/>
      <x:c r="W63" s="5" t="str">
        <x:v>Not linked</x:v>
      </x:c>
      <x:c r="X63" s="5" t="str">
        <x:v>Pending</x:v>
      </x:c>
      <x:c r="Y63" s="5" t="str">
        <x:f>IF(AND(L63="Pending",R63="Pending"),"Pending screening",IF(H63="Not assigned","Assign reviewer",IF(AND(L63="Exclude",M63=""),"Missing TA exclusion reason",IF(AND(R63="Exclude",S63=""),"Missing FT exclusion reason","Decision recorded"))))</x:f>
        <x:v>Pending screening</x:v>
      </x:c>
    </x:row>
    <x:row r="64" ht="40" customHeight="1">
      <x:c r="A64" s="5" t="str">
        <x:v>C0055</x:v>
      </x:c>
      <x:c r="B64" s="5" t="str">
        <x:v>QiddNet: enhancing industrial quartz defect detection via unsupervised reconstruction</x:v>
      </x:c>
      <x:c r="C64" s="5" t="str">
        <x:v>10.1007/s00371-026-04356-7</x:v>
      </x:c>
      <x:c r="D64" s="5" t="str"/>
      <x:c r="E64" s="5" t="str">
        <x:v>journal-article</x:v>
      </x:c>
      <x:c r="F64" s="5" t="str">
        <x:v>S04</x:v>
      </x:c>
      <x:c r="G64" s="5" t="str">
        <x:v>Title-scope candidate</x:v>
      </x:c>
      <x:c r="H64" s="5" t="str">
        <x:v>Not assigned</x:v>
      </x:c>
      <x:c r="I64" s="5" t="str">
        <x:v>Not started</x:v>
      </x:c>
      <x:c r="J64" s="5" t="str">
        <x:v>Not assigned</x:v>
      </x:c>
      <x:c r="K64" s="5" t="str">
        <x:v>Not started</x:v>
      </x:c>
      <x:c r="L64" s="5" t="str">
        <x:v>Pending</x:v>
      </x:c>
      <x:c r="M64" s="5" t="str"/>
      <x:c r="N64" s="5" t="str">
        <x:v>Not started</x:v>
      </x:c>
      <x:c r="O64" s="5" t="str">
        <x:v>Not started</x:v>
      </x:c>
      <x:c r="P64" s="5" t="str">
        <x:v>Not started</x:v>
      </x:c>
      <x:c r="Q64" s="5" t="str">
        <x:v>Not started</x:v>
      </x:c>
      <x:c r="R64" s="5" t="str">
        <x:v>Pending</x:v>
      </x:c>
      <x:c r="S64" s="5" t="str"/>
      <x:c r="T64" s="5" t="str"/>
      <x:c r="U64" s="5" t="str"/>
      <x:c r="V64" s="5" t="str"/>
      <x:c r="W64" s="5" t="str">
        <x:v>Not linked</x:v>
      </x:c>
      <x:c r="X64" s="5" t="str">
        <x:v>Pending</x:v>
      </x:c>
      <x:c r="Y64" s="5" t="str">
        <x:f>IF(AND(L64="Pending",R64="Pending"),"Pending screening",IF(H64="Not assigned","Assign reviewer",IF(AND(L64="Exclude",M64=""),"Missing TA exclusion reason",IF(AND(R64="Exclude",S64=""),"Missing FT exclusion reason","Decision recorded"))))</x:f>
        <x:v>Pending screening</x:v>
      </x:c>
    </x:row>
    <x:row r="65" ht="40" customHeight="1">
      <x:c r="A65" s="5" t="str">
        <x:v>C0056</x:v>
      </x:c>
      <x:c r="B65" s="5" t="str">
        <x:v>Visual Saliency Approaches for Defect Detection in Industrial Processes: A Short Review</x:v>
      </x:c>
      <x:c r="C65" s="5" t="str">
        <x:v>10.1109/etfa61755.2024.10710823</x:v>
      </x:c>
      <x:c r="D65" s="5" t="str"/>
      <x:c r="E65" s="5" t="str">
        <x:v>proceedings-article</x:v>
      </x:c>
      <x:c r="F65" s="5" t="str">
        <x:v>S04</x:v>
      </x:c>
      <x:c r="G65" s="5" t="str">
        <x:v>Title-scope candidate</x:v>
      </x:c>
      <x:c r="H65" s="5" t="str">
        <x:v>Not assigned</x:v>
      </x:c>
      <x:c r="I65" s="5" t="str">
        <x:v>Not started</x:v>
      </x:c>
      <x:c r="J65" s="5" t="str">
        <x:v>Not assigned</x:v>
      </x:c>
      <x:c r="K65" s="5" t="str">
        <x:v>Not started</x:v>
      </x:c>
      <x:c r="L65" s="5" t="str">
        <x:v>Pending</x:v>
      </x:c>
      <x:c r="M65" s="5" t="str"/>
      <x:c r="N65" s="5" t="str">
        <x:v>Not started</x:v>
      </x:c>
      <x:c r="O65" s="5" t="str">
        <x:v>Not started</x:v>
      </x:c>
      <x:c r="P65" s="5" t="str">
        <x:v>Not started</x:v>
      </x:c>
      <x:c r="Q65" s="5" t="str">
        <x:v>Not started</x:v>
      </x:c>
      <x:c r="R65" s="5" t="str">
        <x:v>Pending</x:v>
      </x:c>
      <x:c r="S65" s="5" t="str"/>
      <x:c r="T65" s="5" t="str"/>
      <x:c r="U65" s="5" t="str"/>
      <x:c r="V65" s="5" t="str"/>
      <x:c r="W65" s="5" t="str">
        <x:v>Not linked</x:v>
      </x:c>
      <x:c r="X65" s="5" t="str">
        <x:v>Pending</x:v>
      </x:c>
      <x:c r="Y65" s="5" t="str">
        <x:f>IF(AND(L65="Pending",R65="Pending"),"Pending screening",IF(H65="Not assigned","Assign reviewer",IF(AND(L65="Exclude",M65=""),"Missing TA exclusion reason",IF(AND(R65="Exclude",S65=""),"Missing FT exclusion reason","Decision recorded"))))</x:f>
        <x:v>Pending screening</x:v>
      </x:c>
    </x:row>
    <x:row r="66" ht="40" customHeight="1">
      <x:c r="A66" s="5" t="str">
        <x:v>C0057</x:v>
      </x:c>
      <x:c r="B66" s="5" t="str">
        <x:v>Lurking Variable Detection via Dimensional Analysis</x:v>
      </x:c>
      <x:c r="C66" s="5" t="str">
        <x:v>10.1137/17m1155508</x:v>
      </x:c>
      <x:c r="D66" s="5" t="str"/>
      <x:c r="E66" s="5" t="str">
        <x:v>journal-article</x:v>
      </x:c>
      <x:c r="F66" s="5" t="str">
        <x:v>S04</x:v>
      </x:c>
      <x:c r="G66" s="5" t="str">
        <x:v>Lower-priority; inspect scope</x:v>
      </x:c>
      <x:c r="H66" s="5" t="str">
        <x:v>Not assigned</x:v>
      </x:c>
      <x:c r="I66" s="5" t="str">
        <x:v>Not started</x:v>
      </x:c>
      <x:c r="J66" s="5" t="str">
        <x:v>Not assigned</x:v>
      </x:c>
      <x:c r="K66" s="5" t="str">
        <x:v>Not started</x:v>
      </x:c>
      <x:c r="L66" s="5" t="str">
        <x:v>Pending</x:v>
      </x:c>
      <x:c r="M66" s="5" t="str"/>
      <x:c r="N66" s="5" t="str">
        <x:v>Not started</x:v>
      </x:c>
      <x:c r="O66" s="5" t="str">
        <x:v>Not started</x:v>
      </x:c>
      <x:c r="P66" s="5" t="str">
        <x:v>Not started</x:v>
      </x:c>
      <x:c r="Q66" s="5" t="str">
        <x:v>Not started</x:v>
      </x:c>
      <x:c r="R66" s="5" t="str">
        <x:v>Pending</x:v>
      </x:c>
      <x:c r="S66" s="5" t="str"/>
      <x:c r="T66" s="5" t="str"/>
      <x:c r="U66" s="5" t="str"/>
      <x:c r="V66" s="5" t="str"/>
      <x:c r="W66" s="5" t="str">
        <x:v>Not linked</x:v>
      </x:c>
      <x:c r="X66" s="5" t="str">
        <x:v>Pending</x:v>
      </x:c>
      <x:c r="Y66" s="5" t="str">
        <x:f>IF(AND(L66="Pending",R66="Pending"),"Pending screening",IF(H66="Not assigned","Assign reviewer",IF(AND(L66="Exclude",M66=""),"Missing TA exclusion reason",IF(AND(R66="Exclude",S66=""),"Missing FT exclusion reason","Decision recorded"))))</x:f>
        <x:v>Pending screening</x:v>
      </x:c>
    </x:row>
    <x:row r="67" ht="40" customHeight="1">
      <x:c r="A67" s="5" t="str">
        <x:v>C0058</x:v>
      </x:c>
      <x:c r="B67" s="5" t="str">
        <x:v>Predictive Algorithm for Detection of Microcracks from Macroscale Observables</x:v>
      </x:c>
      <x:c r="C67" s="5" t="str">
        <x:v>10.1137/15m1037275</x:v>
      </x:c>
      <x:c r="D67" s="5" t="str"/>
      <x:c r="E67" s="5" t="str">
        <x:v>journal-article</x:v>
      </x:c>
      <x:c r="F67" s="5" t="str">
        <x:v>S04</x:v>
      </x:c>
      <x:c r="G67" s="5" t="str">
        <x:v>Lower-priority; inspect scope</x:v>
      </x:c>
      <x:c r="H67" s="5" t="str">
        <x:v>Not assigned</x:v>
      </x:c>
      <x:c r="I67" s="5" t="str">
        <x:v>Not started</x:v>
      </x:c>
      <x:c r="J67" s="5" t="str">
        <x:v>Not assigned</x:v>
      </x:c>
      <x:c r="K67" s="5" t="str">
        <x:v>Not started</x:v>
      </x:c>
      <x:c r="L67" s="5" t="str">
        <x:v>Pending</x:v>
      </x:c>
      <x:c r="M67" s="5" t="str"/>
      <x:c r="N67" s="5" t="str">
        <x:v>Not started</x:v>
      </x:c>
      <x:c r="O67" s="5" t="str">
        <x:v>Not started</x:v>
      </x:c>
      <x:c r="P67" s="5" t="str">
        <x:v>Not started</x:v>
      </x:c>
      <x:c r="Q67" s="5" t="str">
        <x:v>Not started</x:v>
      </x:c>
      <x:c r="R67" s="5" t="str">
        <x:v>Pending</x:v>
      </x:c>
      <x:c r="S67" s="5" t="str"/>
      <x:c r="T67" s="5" t="str"/>
      <x:c r="U67" s="5" t="str"/>
      <x:c r="V67" s="5" t="str"/>
      <x:c r="W67" s="5" t="str">
        <x:v>Not linked</x:v>
      </x:c>
      <x:c r="X67" s="5" t="str">
        <x:v>Pending</x:v>
      </x:c>
      <x:c r="Y67" s="5" t="str">
        <x:f>IF(AND(L67="Pending",R67="Pending"),"Pending screening",IF(H67="Not assigned","Assign reviewer",IF(AND(L67="Exclude",M67=""),"Missing TA exclusion reason",IF(AND(R67="Exclude",S67=""),"Missing FT exclusion reason","Decision recorded"))))</x:f>
        <x:v>Pending screening</x:v>
      </x:c>
    </x:row>
    <x:row r="68" ht="40" customHeight="1">
      <x:c r="A68" s="5" t="str">
        <x:v>C0059</x:v>
      </x:c>
      <x:c r="B68" s="5" t="str">
        <x:v>A Modified Siamese Neural Network for Real-Time Visual Defect Detection in Manufacturing</x:v>
      </x:c>
      <x:c r="C68" s="5" t="str">
        <x:v>10.1109/iai68403.2025.11277109</x:v>
      </x:c>
      <x:c r="D68" s="5" t="str"/>
      <x:c r="E68" s="5" t="str">
        <x:v>proceedings-article</x:v>
      </x:c>
      <x:c r="F68" s="5" t="str">
        <x:v>S04</x:v>
      </x:c>
      <x:c r="G68" s="5" t="str">
        <x:v>Title-scope candidate</x:v>
      </x:c>
      <x:c r="H68" s="5" t="str">
        <x:v>Not assigned</x:v>
      </x:c>
      <x:c r="I68" s="5" t="str">
        <x:v>Not started</x:v>
      </x:c>
      <x:c r="J68" s="5" t="str">
        <x:v>Not assigned</x:v>
      </x:c>
      <x:c r="K68" s="5" t="str">
        <x:v>Not started</x:v>
      </x:c>
      <x:c r="L68" s="5" t="str">
        <x:v>Pending</x:v>
      </x:c>
      <x:c r="M68" s="5" t="str"/>
      <x:c r="N68" s="5" t="str">
        <x:v>Not started</x:v>
      </x:c>
      <x:c r="O68" s="5" t="str">
        <x:v>Not started</x:v>
      </x:c>
      <x:c r="P68" s="5" t="str">
        <x:v>Not started</x:v>
      </x:c>
      <x:c r="Q68" s="5" t="str">
        <x:v>Not started</x:v>
      </x:c>
      <x:c r="R68" s="5" t="str">
        <x:v>Pending</x:v>
      </x:c>
      <x:c r="S68" s="5" t="str"/>
      <x:c r="T68" s="5" t="str"/>
      <x:c r="U68" s="5" t="str"/>
      <x:c r="V68" s="5" t="str"/>
      <x:c r="W68" s="5" t="str">
        <x:v>Not linked</x:v>
      </x:c>
      <x:c r="X68" s="5" t="str">
        <x:v>Pending</x:v>
      </x:c>
      <x:c r="Y68" s="5" t="str">
        <x:f>IF(AND(L68="Pending",R68="Pending"),"Pending screening",IF(H68="Not assigned","Assign reviewer",IF(AND(L68="Exclude",M68=""),"Missing TA exclusion reason",IF(AND(R68="Exclude",S68=""),"Missing FT exclusion reason","Decision recorded"))))</x:f>
        <x:v>Pending screening</x:v>
      </x:c>
    </x:row>
    <x:row r="69" ht="40" customHeight="1">
      <x:c r="A69" s="5" t="str">
        <x:v>C0060</x:v>
      </x:c>
      <x:c r="B69" s="5" t="str">
        <x:v>UNCERTAINTY QUANTIFICATION OF A INDUSTRIAL SCALE CFD APPLICATION USING STOCHASTIC SPECTRAL METHODS</x:v>
      </x:c>
      <x:c r="C69" s="5" t="str">
        <x:v>10.7712/120223.10364.19705</x:v>
      </x:c>
      <x:c r="D69" s="5" t="str"/>
      <x:c r="E69" s="5" t="str">
        <x:v>proceedings-article</x:v>
      </x:c>
      <x:c r="F69" s="5" t="str">
        <x:v>S04</x:v>
      </x:c>
      <x:c r="G69" s="5" t="str">
        <x:v>Lower-priority; inspect scope</x:v>
      </x:c>
      <x:c r="H69" s="5" t="str">
        <x:v>Not assigned</x:v>
      </x:c>
      <x:c r="I69" s="5" t="str">
        <x:v>Not started</x:v>
      </x:c>
      <x:c r="J69" s="5" t="str">
        <x:v>Not assigned</x:v>
      </x:c>
      <x:c r="K69" s="5" t="str">
        <x:v>Not started</x:v>
      </x:c>
      <x:c r="L69" s="5" t="str">
        <x:v>Pending</x:v>
      </x:c>
      <x:c r="M69" s="5" t="str"/>
      <x:c r="N69" s="5" t="str">
        <x:v>Not started</x:v>
      </x:c>
      <x:c r="O69" s="5" t="str">
        <x:v>Not started</x:v>
      </x:c>
      <x:c r="P69" s="5" t="str">
        <x:v>Not started</x:v>
      </x:c>
      <x:c r="Q69" s="5" t="str">
        <x:v>Not started</x:v>
      </x:c>
      <x:c r="R69" s="5" t="str">
        <x:v>Pending</x:v>
      </x:c>
      <x:c r="S69" s="5" t="str"/>
      <x:c r="T69" s="5" t="str"/>
      <x:c r="U69" s="5" t="str"/>
      <x:c r="V69" s="5" t="str"/>
      <x:c r="W69" s="5" t="str">
        <x:v>Not linked</x:v>
      </x:c>
      <x:c r="X69" s="5" t="str">
        <x:v>Pending</x:v>
      </x:c>
      <x:c r="Y69" s="5" t="str">
        <x:f>IF(AND(L69="Pending",R69="Pending"),"Pending screening",IF(H69="Not assigned","Assign reviewer",IF(AND(L69="Exclude",M69=""),"Missing TA exclusion reason",IF(AND(R69="Exclude",S69=""),"Missing FT exclusion reason","Decision recorded"))))</x:f>
        <x:v>Pending screening</x:v>
      </x:c>
    </x:row>
    <x:row r="70" ht="40" customHeight="1">
      <x:c r="A70" s="5" t="str">
        <x:v>C0061</x:v>
      </x:c>
      <x:c r="B70" s="5" t="str">
        <x:v>A Study on Industrial Defect Detection Methods Based on Multimodal (Visual-Sensor Data) Fusion</x:v>
      </x:c>
      <x:c r="C70" s="5" t="str">
        <x:v>10.1109/isceic67854.2025.11405498</x:v>
      </x:c>
      <x:c r="D70" s="5" t="str"/>
      <x:c r="E70" s="5" t="str">
        <x:v>proceedings-article</x:v>
      </x:c>
      <x:c r="F70" s="5" t="str">
        <x:v>S04</x:v>
      </x:c>
      <x:c r="G70" s="5" t="str">
        <x:v>Title-scope candidate</x:v>
      </x:c>
      <x:c r="H70" s="5" t="str">
        <x:v>Not assigned</x:v>
      </x:c>
      <x:c r="I70" s="5" t="str">
        <x:v>Not started</x:v>
      </x:c>
      <x:c r="J70" s="5" t="str">
        <x:v>Not assigned</x:v>
      </x:c>
      <x:c r="K70" s="5" t="str">
        <x:v>Not started</x:v>
      </x:c>
      <x:c r="L70" s="5" t="str">
        <x:v>Pending</x:v>
      </x:c>
      <x:c r="M70" s="5" t="str"/>
      <x:c r="N70" s="5" t="str">
        <x:v>Not started</x:v>
      </x:c>
      <x:c r="O70" s="5" t="str">
        <x:v>Not started</x:v>
      </x:c>
      <x:c r="P70" s="5" t="str">
        <x:v>Not started</x:v>
      </x:c>
      <x:c r="Q70" s="5" t="str">
        <x:v>Not started</x:v>
      </x:c>
      <x:c r="R70" s="5" t="str">
        <x:v>Pending</x:v>
      </x:c>
      <x:c r="S70" s="5" t="str"/>
      <x:c r="T70" s="5" t="str"/>
      <x:c r="U70" s="5" t="str"/>
      <x:c r="V70" s="5" t="str"/>
      <x:c r="W70" s="5" t="str">
        <x:v>Not linked</x:v>
      </x:c>
      <x:c r="X70" s="5" t="str">
        <x:v>Pending</x:v>
      </x:c>
      <x:c r="Y70" s="5" t="str">
        <x:f>IF(AND(L70="Pending",R70="Pending"),"Pending screening",IF(H70="Not assigned","Assign reviewer",IF(AND(L70="Exclude",M70=""),"Missing TA exclusion reason",IF(AND(R70="Exclude",S70=""),"Missing FT exclusion reason","Decision recorded"))))</x:f>
        <x:v>Pending screening</x:v>
      </x:c>
    </x:row>
    <x:row r="71" ht="40" customHeight="1">
      <x:c r="A71" s="5" t="str">
        <x:v>C0062</x:v>
      </x:c>
      <x:c r="B71" s="5" t="str">
        <x:v>Industrial surface defect detection by multi-scale Inpainting-GAN</x:v>
      </x:c>
      <x:c r="C71" s="5" t="str">
        <x:v>10.1007/s00371-024-03743-2</x:v>
      </x:c>
      <x:c r="D71" s="5" t="str"/>
      <x:c r="E71" s="5" t="str">
        <x:v>journal-article</x:v>
      </x:c>
      <x:c r="F71" s="5" t="str">
        <x:v>S04</x:v>
      </x:c>
      <x:c r="G71" s="5" t="str">
        <x:v>Title-scope candidate</x:v>
      </x:c>
      <x:c r="H71" s="5" t="str">
        <x:v>Not assigned</x:v>
      </x:c>
      <x:c r="I71" s="5" t="str">
        <x:v>Not started</x:v>
      </x:c>
      <x:c r="J71" s="5" t="str">
        <x:v>Not assigned</x:v>
      </x:c>
      <x:c r="K71" s="5" t="str">
        <x:v>Not started</x:v>
      </x:c>
      <x:c r="L71" s="5" t="str">
        <x:v>Pending</x:v>
      </x:c>
      <x:c r="M71" s="5" t="str"/>
      <x:c r="N71" s="5" t="str">
        <x:v>Not started</x:v>
      </x:c>
      <x:c r="O71" s="5" t="str">
        <x:v>Not started</x:v>
      </x:c>
      <x:c r="P71" s="5" t="str">
        <x:v>Not started</x:v>
      </x:c>
      <x:c r="Q71" s="5" t="str">
        <x:v>Not started</x:v>
      </x:c>
      <x:c r="R71" s="5" t="str">
        <x:v>Pending</x:v>
      </x:c>
      <x:c r="S71" s="5" t="str"/>
      <x:c r="T71" s="5" t="str"/>
      <x:c r="U71" s="5" t="str"/>
      <x:c r="V71" s="5" t="str"/>
      <x:c r="W71" s="5" t="str">
        <x:v>Not linked</x:v>
      </x:c>
      <x:c r="X71" s="5" t="str">
        <x:v>Pending</x:v>
      </x:c>
      <x:c r="Y71" s="5" t="str">
        <x:f>IF(AND(L71="Pending",R71="Pending"),"Pending screening",IF(H71="Not assigned","Assign reviewer",IF(AND(L71="Exclude",M71=""),"Missing TA exclusion reason",IF(AND(R71="Exclude",S71=""),"Missing FT exclusion reason","Decision recorded"))))</x:f>
        <x:v>Pending screening</x:v>
      </x:c>
    </x:row>
    <x:row r="72" ht="53" customHeight="1">
      <x:c r="A72" s="5" t="str">
        <x:v>C0063</x:v>
      </x:c>
      <x:c r="B72" s="5" t="str">
        <x:v>A summary of industrial verification, validation, and uncertainty quantification procedures in computational fluid dynamics.</x:v>
      </x:c>
      <x:c r="C72" s="5" t="str">
        <x:v>10.6028/nist.ir.8298</x:v>
      </x:c>
      <x:c r="D72" s="5" t="str"/>
      <x:c r="E72" s="5" t="str">
        <x:v>report</x:v>
      </x:c>
      <x:c r="F72" s="5" t="str">
        <x:v>S04</x:v>
      </x:c>
      <x:c r="G72" s="5" t="str">
        <x:v>Lower-priority; inspect scope</x:v>
      </x:c>
      <x:c r="H72" s="5" t="str">
        <x:v>Not assigned</x:v>
      </x:c>
      <x:c r="I72" s="5" t="str">
        <x:v>Not started</x:v>
      </x:c>
      <x:c r="J72" s="5" t="str">
        <x:v>Not assigned</x:v>
      </x:c>
      <x:c r="K72" s="5" t="str">
        <x:v>Not started</x:v>
      </x:c>
      <x:c r="L72" s="5" t="str">
        <x:v>Pending</x:v>
      </x:c>
      <x:c r="M72" s="5" t="str"/>
      <x:c r="N72" s="5" t="str">
        <x:v>Not started</x:v>
      </x:c>
      <x:c r="O72" s="5" t="str">
        <x:v>Not started</x:v>
      </x:c>
      <x:c r="P72" s="5" t="str">
        <x:v>Not started</x:v>
      </x:c>
      <x:c r="Q72" s="5" t="str">
        <x:v>Not started</x:v>
      </x:c>
      <x:c r="R72" s="5" t="str">
        <x:v>Pending</x:v>
      </x:c>
      <x:c r="S72" s="5" t="str"/>
      <x:c r="T72" s="5" t="str"/>
      <x:c r="U72" s="5" t="str"/>
      <x:c r="V72" s="5" t="str"/>
      <x:c r="W72" s="5" t="str">
        <x:v>Not linked</x:v>
      </x:c>
      <x:c r="X72" s="5" t="str">
        <x:v>Pending</x:v>
      </x:c>
      <x:c r="Y72" s="5" t="str">
        <x:f>IF(AND(L72="Pending",R72="Pending"),"Pending screening",IF(H72="Not assigned","Assign reviewer",IF(AND(L72="Exclude",M72=""),"Missing TA exclusion reason",IF(AND(R72="Exclude",S72=""),"Missing FT exclusion reason","Decision recorded"))))</x:f>
        <x:v>Pending screening</x:v>
      </x:c>
    </x:row>
    <x:row r="73" ht="40" customHeight="1">
      <x:c r="A73" s="5" t="str">
        <x:v>C0064</x:v>
      </x:c>
      <x:c r="B73" s="5" t="str">
        <x:v>Active Learning in Industrial Defect Detection: A Dynamic Approach to Uncertainty and Representativeness</x:v>
      </x:c>
      <x:c r="C73" s="5" t="str">
        <x:v>10.1109/ichci63580.2024.10808080</x:v>
      </x:c>
      <x:c r="D73" s="5" t="str"/>
      <x:c r="E73" s="5" t="str">
        <x:v>proceedings-article</x:v>
      </x:c>
      <x:c r="F73" s="5" t="str">
        <x:v>S04</x:v>
      </x:c>
      <x:c r="G73" s="5" t="str">
        <x:v>Title-scope candidate</x:v>
      </x:c>
      <x:c r="H73" s="5" t="str">
        <x:v>Not assigned</x:v>
      </x:c>
      <x:c r="I73" s="5" t="str">
        <x:v>Not started</x:v>
      </x:c>
      <x:c r="J73" s="5" t="str">
        <x:v>Not assigned</x:v>
      </x:c>
      <x:c r="K73" s="5" t="str">
        <x:v>Not started</x:v>
      </x:c>
      <x:c r="L73" s="5" t="str">
        <x:v>Pending</x:v>
      </x:c>
      <x:c r="M73" s="5" t="str"/>
      <x:c r="N73" s="5" t="str">
        <x:v>Not started</x:v>
      </x:c>
      <x:c r="O73" s="5" t="str">
        <x:v>Not started</x:v>
      </x:c>
      <x:c r="P73" s="5" t="str">
        <x:v>Not started</x:v>
      </x:c>
      <x:c r="Q73" s="5" t="str">
        <x:v>Not started</x:v>
      </x:c>
      <x:c r="R73" s="5" t="str">
        <x:v>Pending</x:v>
      </x:c>
      <x:c r="S73" s="5" t="str"/>
      <x:c r="T73" s="5" t="str"/>
      <x:c r="U73" s="5" t="str"/>
      <x:c r="V73" s="5" t="str"/>
      <x:c r="W73" s="5" t="str">
        <x:v>Not linked</x:v>
      </x:c>
      <x:c r="X73" s="5" t="str">
        <x:v>Pending</x:v>
      </x:c>
      <x:c r="Y73" s="5" t="str">
        <x:f>IF(AND(L73="Pending",R73="Pending"),"Pending screening",IF(H73="Not assigned","Assign reviewer",IF(AND(L73="Exclude",M73=""),"Missing TA exclusion reason",IF(AND(R73="Exclude",S73=""),"Missing FT exclusion reason","Decision recorded"))))</x:f>
        <x:v>Pending screening</x:v>
      </x:c>
    </x:row>
    <x:row r="74" ht="40" customHeight="1">
      <x:c r="A74" s="5" t="str">
        <x:v>C0065</x:v>
      </x:c>
      <x:c r="B74" s="5" t="str">
        <x:v>Research Progress of Automated Visual Surface Defect Detection for Industrial Metal Planar Materials</x:v>
      </x:c>
      <x:c r="C74" s="5" t="str">
        <x:v>10.3390/s20185136</x:v>
      </x:c>
      <x:c r="D74" s="5" t="str"/>
      <x:c r="E74" s="5" t="str">
        <x:v>journal-article</x:v>
      </x:c>
      <x:c r="F74" s="5" t="str">
        <x:v>S04</x:v>
      </x:c>
      <x:c r="G74" s="5" t="str">
        <x:v>Title-scope candidate</x:v>
      </x:c>
      <x:c r="H74" s="5" t="str">
        <x:v>Not assigned</x:v>
      </x:c>
      <x:c r="I74" s="5" t="str">
        <x:v>Not started</x:v>
      </x:c>
      <x:c r="J74" s="5" t="str">
        <x:v>Not assigned</x:v>
      </x:c>
      <x:c r="K74" s="5" t="str">
        <x:v>Not started</x:v>
      </x:c>
      <x:c r="L74" s="5" t="str">
        <x:v>Pending</x:v>
      </x:c>
      <x:c r="M74" s="5" t="str"/>
      <x:c r="N74" s="5" t="str">
        <x:v>Not started</x:v>
      </x:c>
      <x:c r="O74" s="5" t="str">
        <x:v>Not started</x:v>
      </x:c>
      <x:c r="P74" s="5" t="str">
        <x:v>Not started</x:v>
      </x:c>
      <x:c r="Q74" s="5" t="str">
        <x:v>Not started</x:v>
      </x:c>
      <x:c r="R74" s="5" t="str">
        <x:v>Pending</x:v>
      </x:c>
      <x:c r="S74" s="5" t="str"/>
      <x:c r="T74" s="5" t="str"/>
      <x:c r="U74" s="5" t="str"/>
      <x:c r="V74" s="5" t="str"/>
      <x:c r="W74" s="5" t="str">
        <x:v>Not linked</x:v>
      </x:c>
      <x:c r="X74" s="5" t="str">
        <x:v>Pending</x:v>
      </x:c>
      <x:c r="Y74" s="5" t="str">
        <x:f>IF(AND(L74="Pending",R74="Pending"),"Pending screening",IF(H74="Not assigned","Assign reviewer",IF(AND(L74="Exclude",M74=""),"Missing TA exclusion reason",IF(AND(R74="Exclude",S74=""),"Missing FT exclusion reason","Decision recorded"))))</x:f>
        <x:v>Pending screening</x:v>
      </x:c>
    </x:row>
    <x:row r="75" ht="53" customHeight="1">
      <x:c r="A75" s="5" t="str">
        <x:v>C0066</x:v>
      </x:c>
      <x:c r="B75" s="5" t="str">
        <x:v>Multi-Element Stochastic Galerkin Method Based on Edge Detection for Uncertainty Quantification of Discontinuous Responses</x:v>
      </x:c>
      <x:c r="C75" s="5" t="str">
        <x:v>10.1115/1.4049200</x:v>
      </x:c>
      <x:c r="D75" s="5" t="str"/>
      <x:c r="E75" s="5" t="str">
        <x:v>journal-article</x:v>
      </x:c>
      <x:c r="F75" s="5" t="str">
        <x:v>S04</x:v>
      </x:c>
      <x:c r="G75" s="5" t="str">
        <x:v>Lower-priority; inspect scope</x:v>
      </x:c>
      <x:c r="H75" s="5" t="str">
        <x:v>Not assigned</x:v>
      </x:c>
      <x:c r="I75" s="5" t="str">
        <x:v>Not started</x:v>
      </x:c>
      <x:c r="J75" s="5" t="str">
        <x:v>Not assigned</x:v>
      </x:c>
      <x:c r="K75" s="5" t="str">
        <x:v>Not started</x:v>
      </x:c>
      <x:c r="L75" s="5" t="str">
        <x:v>Pending</x:v>
      </x:c>
      <x:c r="M75" s="5" t="str"/>
      <x:c r="N75" s="5" t="str">
        <x:v>Not started</x:v>
      </x:c>
      <x:c r="O75" s="5" t="str">
        <x:v>Not started</x:v>
      </x:c>
      <x:c r="P75" s="5" t="str">
        <x:v>Not started</x:v>
      </x:c>
      <x:c r="Q75" s="5" t="str">
        <x:v>Not started</x:v>
      </x:c>
      <x:c r="R75" s="5" t="str">
        <x:v>Pending</x:v>
      </x:c>
      <x:c r="S75" s="5" t="str"/>
      <x:c r="T75" s="5" t="str"/>
      <x:c r="U75" s="5" t="str"/>
      <x:c r="V75" s="5" t="str"/>
      <x:c r="W75" s="5" t="str">
        <x:v>Not linked</x:v>
      </x:c>
      <x:c r="X75" s="5" t="str">
        <x:v>Pending</x:v>
      </x:c>
      <x:c r="Y75" s="5" t="str">
        <x:f>IF(AND(L75="Pending",R75="Pending"),"Pending screening",IF(H75="Not assigned","Assign reviewer",IF(AND(L75="Exclude",M75=""),"Missing TA exclusion reason",IF(AND(R75="Exclude",S75=""),"Missing FT exclusion reason","Decision recorded"))))</x:f>
        <x:v>Pending screening</x:v>
      </x:c>
    </x:row>
    <x:row r="76" ht="53" customHeight="1">
      <x:c r="A76" s="5" t="str">
        <x:v>C0067</x:v>
      </x:c>
      <x:c r="B76" s="5" t="str">
        <x:v>Defect detection and quantification system to support subjective visual quality inspection via a digital image processing: A tiling work case study</x:v>
      </x:c>
      <x:c r="C76" s="5" t="str">
        <x:v>10.1016/j.autcon.2012.02.012</x:v>
      </x:c>
      <x:c r="D76" s="5" t="str"/>
      <x:c r="E76" s="5" t="str">
        <x:v>journal-article</x:v>
      </x:c>
      <x:c r="F76" s="5" t="str">
        <x:v>S04</x:v>
      </x:c>
      <x:c r="G76" s="5" t="str">
        <x:v>Title-scope candidate</x:v>
      </x:c>
      <x:c r="H76" s="5" t="str">
        <x:v>Not assigned</x:v>
      </x:c>
      <x:c r="I76" s="5" t="str">
        <x:v>Not started</x:v>
      </x:c>
      <x:c r="J76" s="5" t="str">
        <x:v>Not assigned</x:v>
      </x:c>
      <x:c r="K76" s="5" t="str">
        <x:v>Not started</x:v>
      </x:c>
      <x:c r="L76" s="5" t="str">
        <x:v>Pending</x:v>
      </x:c>
      <x:c r="M76" s="5" t="str"/>
      <x:c r="N76" s="5" t="str">
        <x:v>Not started</x:v>
      </x:c>
      <x:c r="O76" s="5" t="str">
        <x:v>Not started</x:v>
      </x:c>
      <x:c r="P76" s="5" t="str">
        <x:v>Not started</x:v>
      </x:c>
      <x:c r="Q76" s="5" t="str">
        <x:v>Not started</x:v>
      </x:c>
      <x:c r="R76" s="5" t="str">
        <x:v>Pending</x:v>
      </x:c>
      <x:c r="S76" s="5" t="str"/>
      <x:c r="T76" s="5" t="str"/>
      <x:c r="U76" s="5" t="str"/>
      <x:c r="V76" s="5" t="str"/>
      <x:c r="W76" s="5" t="str">
        <x:v>Not linked</x:v>
      </x:c>
      <x:c r="X76" s="5" t="str">
        <x:v>Pending</x:v>
      </x:c>
      <x:c r="Y76" s="5" t="str">
        <x:f>IF(AND(L76="Pending",R76="Pending"),"Pending screening",IF(H76="Not assigned","Assign reviewer",IF(AND(L76="Exclude",M76=""),"Missing TA exclusion reason",IF(AND(R76="Exclude",S76=""),"Missing FT exclusion reason","Decision recorded"))))</x:f>
        <x:v>Pending screening</x:v>
      </x:c>
    </x:row>
    <x:row r="77" ht="40" customHeight="1">
      <x:c r="A77" s="5" t="str">
        <x:v>C0068</x:v>
      </x:c>
      <x:c r="B77" s="5" t="str">
        <x:v>An Industrial Viewpoint on Uncertainty Quantification in Simulation: Stakes, Methods, Tools, Examples</x:v>
      </x:c>
      <x:c r="C77" s="5" t="str">
        <x:v>10.1007/978-3-642-32677-6_3</x:v>
      </x:c>
      <x:c r="D77" s="5" t="str"/>
      <x:c r="E77" s="5" t="str">
        <x:v>book-chapter</x:v>
      </x:c>
      <x:c r="F77" s="5" t="str">
        <x:v>S04</x:v>
      </x:c>
      <x:c r="G77" s="5" t="str">
        <x:v>Lower-priority; inspect scope</x:v>
      </x:c>
      <x:c r="H77" s="5" t="str">
        <x:v>Not assigned</x:v>
      </x:c>
      <x:c r="I77" s="5" t="str">
        <x:v>Not started</x:v>
      </x:c>
      <x:c r="J77" s="5" t="str">
        <x:v>Not assigned</x:v>
      </x:c>
      <x:c r="K77" s="5" t="str">
        <x:v>Not started</x:v>
      </x:c>
      <x:c r="L77" s="5" t="str">
        <x:v>Pending</x:v>
      </x:c>
      <x:c r="M77" s="5" t="str"/>
      <x:c r="N77" s="5" t="str">
        <x:v>Not started</x:v>
      </x:c>
      <x:c r="O77" s="5" t="str">
        <x:v>Not started</x:v>
      </x:c>
      <x:c r="P77" s="5" t="str">
        <x:v>Not started</x:v>
      </x:c>
      <x:c r="Q77" s="5" t="str">
        <x:v>Not started</x:v>
      </x:c>
      <x:c r="R77" s="5" t="str">
        <x:v>Pending</x:v>
      </x:c>
      <x:c r="S77" s="5" t="str"/>
      <x:c r="T77" s="5" t="str"/>
      <x:c r="U77" s="5" t="str"/>
      <x:c r="V77" s="5" t="str"/>
      <x:c r="W77" s="5" t="str">
        <x:v>Not linked</x:v>
      </x:c>
      <x:c r="X77" s="5" t="str">
        <x:v>Pending</x:v>
      </x:c>
      <x:c r="Y77" s="5" t="str">
        <x:f>IF(AND(L77="Pending",R77="Pending"),"Pending screening",IF(H77="Not assigned","Assign reviewer",IF(AND(L77="Exclude",M77=""),"Missing TA exclusion reason",IF(AND(R77="Exclude",S77=""),"Missing FT exclusion reason","Decision recorded"))))</x:f>
        <x:v>Pending screening</x:v>
      </x:c>
    </x:row>
    <x:row r="78" ht="40" customHeight="1">
      <x:c r="A78" s="5" t="str">
        <x:v>C0069</x:v>
      </x:c>
      <x:c r="B78" s="5" t="str">
        <x:v>Monocular 3D Object Detection Algorithm Based on Uncertainty Quantification and Few-Shot Learning</x:v>
      </x:c>
      <x:c r="C78" s="5" t="str">
        <x:v>10.1109/iarce68366.2025.11485676</x:v>
      </x:c>
      <x:c r="D78" s="5" t="str"/>
      <x:c r="E78" s="5" t="str">
        <x:v>proceedings-article</x:v>
      </x:c>
      <x:c r="F78" s="5" t="str">
        <x:v>S04</x:v>
      </x:c>
      <x:c r="G78" s="5" t="str">
        <x:v>Lower-priority; inspect scope</x:v>
      </x:c>
      <x:c r="H78" s="5" t="str">
        <x:v>Not assigned</x:v>
      </x:c>
      <x:c r="I78" s="5" t="str">
        <x:v>Not started</x:v>
      </x:c>
      <x:c r="J78" s="5" t="str">
        <x:v>Not assigned</x:v>
      </x:c>
      <x:c r="K78" s="5" t="str">
        <x:v>Not started</x:v>
      </x:c>
      <x:c r="L78" s="5" t="str">
        <x:v>Pending</x:v>
      </x:c>
      <x:c r="M78" s="5" t="str"/>
      <x:c r="N78" s="5" t="str">
        <x:v>Not started</x:v>
      </x:c>
      <x:c r="O78" s="5" t="str">
        <x:v>Not started</x:v>
      </x:c>
      <x:c r="P78" s="5" t="str">
        <x:v>Not started</x:v>
      </x:c>
      <x:c r="Q78" s="5" t="str">
        <x:v>Not started</x:v>
      </x:c>
      <x:c r="R78" s="5" t="str">
        <x:v>Pending</x:v>
      </x:c>
      <x:c r="S78" s="5" t="str"/>
      <x:c r="T78" s="5" t="str"/>
      <x:c r="U78" s="5" t="str"/>
      <x:c r="V78" s="5" t="str"/>
      <x:c r="W78" s="5" t="str">
        <x:v>Not linked</x:v>
      </x:c>
      <x:c r="X78" s="5" t="str">
        <x:v>Pending</x:v>
      </x:c>
      <x:c r="Y78" s="5" t="str">
        <x:f>IF(AND(L78="Pending",R78="Pending"),"Pending screening",IF(H78="Not assigned","Assign reviewer",IF(AND(L78="Exclude",M78=""),"Missing TA exclusion reason",IF(AND(R78="Exclude",S78=""),"Missing FT exclusion reason","Decision recorded"))))</x:f>
        <x:v>Pending screening</x:v>
      </x:c>
    </x:row>
    <x:row r="79" ht="40" customHeight="1">
      <x:c r="A79" s="5" t="str">
        <x:v>C0070</x:v>
      </x:c>
      <x:c r="B79" s="5" t="str">
        <x:v>Tiny Defect-VQA: Mask-Grounded Edge Visual Question Answering for Industrial Surface Inspection</x:v>
      </x:c>
      <x:c r="C79" s="5" t="str">
        <x:v>10.2139/ssrn.7218460</x:v>
      </x:c>
      <x:c r="D79" s="5" t="str"/>
      <x:c r="E79" s="5" t="str">
        <x:v>posted-content</x:v>
      </x:c>
      <x:c r="F79" s="5" t="str">
        <x:v>S04; S06; S11</x:v>
      </x:c>
      <x:c r="G79" s="5" t="str">
        <x:v>Title-scope candidate</x:v>
      </x:c>
      <x:c r="H79" s="5" t="str">
        <x:v>Not assigned</x:v>
      </x:c>
      <x:c r="I79" s="5" t="str">
        <x:v>Not started</x:v>
      </x:c>
      <x:c r="J79" s="5" t="str">
        <x:v>Not assigned</x:v>
      </x:c>
      <x:c r="K79" s="5" t="str">
        <x:v>Not started</x:v>
      </x:c>
      <x:c r="L79" s="5" t="str">
        <x:v>Pending</x:v>
      </x:c>
      <x:c r="M79" s="5" t="str"/>
      <x:c r="N79" s="5" t="str">
        <x:v>Not started</x:v>
      </x:c>
      <x:c r="O79" s="5" t="str">
        <x:v>Not started</x:v>
      </x:c>
      <x:c r="P79" s="5" t="str">
        <x:v>Not started</x:v>
      </x:c>
      <x:c r="Q79" s="5" t="str">
        <x:v>Not started</x:v>
      </x:c>
      <x:c r="R79" s="5" t="str">
        <x:v>Pending</x:v>
      </x:c>
      <x:c r="S79" s="5" t="str"/>
      <x:c r="T79" s="5" t="str"/>
      <x:c r="U79" s="5" t="str"/>
      <x:c r="V79" s="5" t="str"/>
      <x:c r="W79" s="5" t="str">
        <x:v>Not linked</x:v>
      </x:c>
      <x:c r="X79" s="5" t="str">
        <x:v>Pending</x:v>
      </x:c>
      <x:c r="Y79" s="5" t="str">
        <x:f>IF(AND(L79="Pending",R79="Pending"),"Pending screening",IF(H79="Not assigned","Assign reviewer",IF(AND(L79="Exclude",M79=""),"Missing TA exclusion reason",IF(AND(R79="Exclude",S79=""),"Missing FT exclusion reason","Decision recorded"))))</x:f>
        <x:v>Pending screening</x:v>
      </x:c>
    </x:row>
    <x:row r="80" ht="40" customHeight="1">
      <x:c r="A80" s="5" t="str">
        <x:v>C0071</x:v>
      </x:c>
      <x:c r="B80" s="5" t="str">
        <x:v>Toward Affordable Uncertainty Quantification for Industrial Problems: Part II — Turbomachinery Application</x:v>
      </x:c>
      <x:c r="C80" s="5" t="str">
        <x:v>10.1115/gt2017-64845</x:v>
      </x:c>
      <x:c r="D80" s="5" t="str"/>
      <x:c r="E80" s="5" t="str">
        <x:v>proceedings-article</x:v>
      </x:c>
      <x:c r="F80" s="5" t="str">
        <x:v>S04</x:v>
      </x:c>
      <x:c r="G80" s="5" t="str">
        <x:v>Lower-priority; inspect scope</x:v>
      </x:c>
      <x:c r="H80" s="5" t="str">
        <x:v>Not assigned</x:v>
      </x:c>
      <x:c r="I80" s="5" t="str">
        <x:v>Not started</x:v>
      </x:c>
      <x:c r="J80" s="5" t="str">
        <x:v>Not assigned</x:v>
      </x:c>
      <x:c r="K80" s="5" t="str">
        <x:v>Not started</x:v>
      </x:c>
      <x:c r="L80" s="5" t="str">
        <x:v>Pending</x:v>
      </x:c>
      <x:c r="M80" s="5" t="str"/>
      <x:c r="N80" s="5" t="str">
        <x:v>Not started</x:v>
      </x:c>
      <x:c r="O80" s="5" t="str">
        <x:v>Not started</x:v>
      </x:c>
      <x:c r="P80" s="5" t="str">
        <x:v>Not started</x:v>
      </x:c>
      <x:c r="Q80" s="5" t="str">
        <x:v>Not started</x:v>
      </x:c>
      <x:c r="R80" s="5" t="str">
        <x:v>Pending</x:v>
      </x:c>
      <x:c r="S80" s="5" t="str"/>
      <x:c r="T80" s="5" t="str"/>
      <x:c r="U80" s="5" t="str"/>
      <x:c r="V80" s="5" t="str"/>
      <x:c r="W80" s="5" t="str">
        <x:v>Not linked</x:v>
      </x:c>
      <x:c r="X80" s="5" t="str">
        <x:v>Pending</x:v>
      </x:c>
      <x:c r="Y80" s="5" t="str">
        <x:f>IF(AND(L80="Pending",R80="Pending"),"Pending screening",IF(H80="Not assigned","Assign reviewer",IF(AND(L80="Exclude",M80=""),"Missing TA exclusion reason",IF(AND(R80="Exclude",S80=""),"Missing FT exclusion reason","Decision recorded"))))</x:f>
        <x:v>Pending screening</x:v>
      </x:c>
    </x:row>
    <x:row r="81" ht="40" customHeight="1">
      <x:c r="A81" s="5" t="str">
        <x:v>C0072</x:v>
      </x:c>
      <x:c r="B81" s="5" t="str">
        <x:v>Tiny Defect-VQA: Mask-Grounded Edge Visual Question Answering for Industrial Surface Inspection</x:v>
      </x:c>
      <x:c r="C81" s="5" t="str">
        <x:v>10.2139/ssrn.7218465</x:v>
      </x:c>
      <x:c r="D81" s="5" t="str"/>
      <x:c r="E81" s="5" t="str">
        <x:v>posted-content</x:v>
      </x:c>
      <x:c r="F81" s="5" t="str">
        <x:v>S04; S06; S11</x:v>
      </x:c>
      <x:c r="G81" s="5" t="str">
        <x:v>Title-scope candidate</x:v>
      </x:c>
      <x:c r="H81" s="5" t="str">
        <x:v>Not assigned</x:v>
      </x:c>
      <x:c r="I81" s="5" t="str">
        <x:v>Not started</x:v>
      </x:c>
      <x:c r="J81" s="5" t="str">
        <x:v>Not assigned</x:v>
      </x:c>
      <x:c r="K81" s="5" t="str">
        <x:v>Not started</x:v>
      </x:c>
      <x:c r="L81" s="5" t="str">
        <x:v>Pending</x:v>
      </x:c>
      <x:c r="M81" s="5" t="str"/>
      <x:c r="N81" s="5" t="str">
        <x:v>Not started</x:v>
      </x:c>
      <x:c r="O81" s="5" t="str">
        <x:v>Not started</x:v>
      </x:c>
      <x:c r="P81" s="5" t="str">
        <x:v>Not started</x:v>
      </x:c>
      <x:c r="Q81" s="5" t="str">
        <x:v>Not started</x:v>
      </x:c>
      <x:c r="R81" s="5" t="str">
        <x:v>Pending</x:v>
      </x:c>
      <x:c r="S81" s="5" t="str"/>
      <x:c r="T81" s="5" t="str"/>
      <x:c r="U81" s="5" t="str"/>
      <x:c r="V81" s="5" t="str"/>
      <x:c r="W81" s="5" t="str">
        <x:v>Not linked</x:v>
      </x:c>
      <x:c r="X81" s="5" t="str">
        <x:v>Pending</x:v>
      </x:c>
      <x:c r="Y81" s="5" t="str">
        <x:f>IF(AND(L81="Pending",R81="Pending"),"Pending screening",IF(H81="Not assigned","Assign reviewer",IF(AND(L81="Exclude",M81=""),"Missing TA exclusion reason",IF(AND(R81="Exclude",S81=""),"Missing FT exclusion reason","Decision recorded"))))</x:f>
        <x:v>Pending screening</x:v>
      </x:c>
    </x:row>
    <x:row r="82" ht="40" customHeight="1">
      <x:c r="A82" s="5" t="str">
        <x:v>C0073</x:v>
      </x:c>
      <x:c r="B82" s="5" t="str">
        <x:v>ViTranCoC: Vision Transformers and Conformal Calibration for Industrial Anomaly Detection</x:v>
      </x:c>
      <x:c r="C82" s="5" t="str">
        <x:v>10.2139/ssrn.5495023</x:v>
      </x:c>
      <x:c r="D82" s="5" t="str"/>
      <x:c r="E82" s="5" t="str">
        <x:v>posted-content</x:v>
      </x:c>
      <x:c r="F82" s="5" t="str">
        <x:v>S05; S07; S16</x:v>
      </x:c>
      <x:c r="G82" s="5" t="str">
        <x:v>Title-scope candidate</x:v>
      </x:c>
      <x:c r="H82" s="5" t="str">
        <x:v>Not assigned</x:v>
      </x:c>
      <x:c r="I82" s="5" t="str">
        <x:v>Not started</x:v>
      </x:c>
      <x:c r="J82" s="5" t="str">
        <x:v>Not assigned</x:v>
      </x:c>
      <x:c r="K82" s="5" t="str">
        <x:v>Not started</x:v>
      </x:c>
      <x:c r="L82" s="5" t="str">
        <x:v>Pending</x:v>
      </x:c>
      <x:c r="M82" s="5" t="str"/>
      <x:c r="N82" s="5" t="str">
        <x:v>Not started</x:v>
      </x:c>
      <x:c r="O82" s="5" t="str">
        <x:v>Not started</x:v>
      </x:c>
      <x:c r="P82" s="5" t="str">
        <x:v>Not started</x:v>
      </x:c>
      <x:c r="Q82" s="5" t="str">
        <x:v>Not started</x:v>
      </x:c>
      <x:c r="R82" s="5" t="str">
        <x:v>Pending</x:v>
      </x:c>
      <x:c r="S82" s="5" t="str"/>
      <x:c r="T82" s="5" t="str"/>
      <x:c r="U82" s="5" t="str"/>
      <x:c r="V82" s="5" t="str"/>
      <x:c r="W82" s="5" t="str">
        <x:v>Not linked</x:v>
      </x:c>
      <x:c r="X82" s="5" t="str">
        <x:v>Pending</x:v>
      </x:c>
      <x:c r="Y82" s="5" t="str">
        <x:f>IF(AND(L82="Pending",R82="Pending"),"Pending screening",IF(H82="Not assigned","Assign reviewer",IF(AND(L82="Exclude",M82=""),"Missing TA exclusion reason",IF(AND(R82="Exclude",S82=""),"Missing FT exclusion reason","Decision recorded"))))</x:f>
        <x:v>Pending screening</x:v>
      </x:c>
    </x:row>
    <x:row r="83" ht="40" customHeight="1">
      <x:c r="A83" s="5" t="str">
        <x:v>C0074</x:v>
      </x:c>
      <x:c r="B83" s="5" t="str">
        <x:v>Subgroup Anomaly Detection using High-confidence Rules: Application to Healthcare Data</x:v>
      </x:c>
      <x:c r="C83" s="5" t="str">
        <x:v>10.5220/0007555104310435</x:v>
      </x:c>
      <x:c r="D83" s="5" t="str"/>
      <x:c r="E83" s="5" t="str">
        <x:v>proceedings-article</x:v>
      </x:c>
      <x:c r="F83" s="5" t="str">
        <x:v>S05</x:v>
      </x:c>
      <x:c r="G83" s="5" t="str">
        <x:v>Lower-priority; inspect scope</x:v>
      </x:c>
      <x:c r="H83" s="5" t="str">
        <x:v>Not assigned</x:v>
      </x:c>
      <x:c r="I83" s="5" t="str">
        <x:v>Not started</x:v>
      </x:c>
      <x:c r="J83" s="5" t="str">
        <x:v>Not assigned</x:v>
      </x:c>
      <x:c r="K83" s="5" t="str">
        <x:v>Not started</x:v>
      </x:c>
      <x:c r="L83" s="5" t="str">
        <x:v>Pending</x:v>
      </x:c>
      <x:c r="M83" s="5" t="str"/>
      <x:c r="N83" s="5" t="str">
        <x:v>Not started</x:v>
      </x:c>
      <x:c r="O83" s="5" t="str">
        <x:v>Not started</x:v>
      </x:c>
      <x:c r="P83" s="5" t="str">
        <x:v>Not started</x:v>
      </x:c>
      <x:c r="Q83" s="5" t="str">
        <x:v>Not started</x:v>
      </x:c>
      <x:c r="R83" s="5" t="str">
        <x:v>Pending</x:v>
      </x:c>
      <x:c r="S83" s="5" t="str"/>
      <x:c r="T83" s="5" t="str"/>
      <x:c r="U83" s="5" t="str"/>
      <x:c r="V83" s="5" t="str"/>
      <x:c r="W83" s="5" t="str">
        <x:v>Not linked</x:v>
      </x:c>
      <x:c r="X83" s="5" t="str">
        <x:v>Pending</x:v>
      </x:c>
      <x:c r="Y83" s="5" t="str">
        <x:f>IF(AND(L83="Pending",R83="Pending"),"Pending screening",IF(H83="Not assigned","Assign reviewer",IF(AND(L83="Exclude",M83=""),"Missing TA exclusion reason",IF(AND(R83="Exclude",S83=""),"Missing FT exclusion reason","Decision recorded"))))</x:f>
        <x:v>Pending screening</x:v>
      </x:c>
    </x:row>
    <x:row r="84" ht="53" customHeight="1">
      <x:c r="A84" s="5" t="str">
        <x:v>C0075</x:v>
      </x:c>
      <x:c r="B84" s="5" t="str">
        <x:v>Benchmarking YOLOv4–YOLOv11 for Autonomous Driving: Small-Object Detection, Adverse Conditions and Confidence Calibration</x:v>
      </x:c>
      <x:c r="C84" s="5" t="str">
        <x:v>10.52783/tangence.19</x:v>
      </x:c>
      <x:c r="D84" s="5" t="str"/>
      <x:c r="E84" s="5" t="str">
        <x:v>journal-article</x:v>
      </x:c>
      <x:c r="F84" s="5" t="str">
        <x:v>S05</x:v>
      </x:c>
      <x:c r="G84" s="5" t="str">
        <x:v>Lower-priority; inspect scope</x:v>
      </x:c>
      <x:c r="H84" s="5" t="str">
        <x:v>Not assigned</x:v>
      </x:c>
      <x:c r="I84" s="5" t="str">
        <x:v>Not started</x:v>
      </x:c>
      <x:c r="J84" s="5" t="str">
        <x:v>Not assigned</x:v>
      </x:c>
      <x:c r="K84" s="5" t="str">
        <x:v>Not started</x:v>
      </x:c>
      <x:c r="L84" s="5" t="str">
        <x:v>Pending</x:v>
      </x:c>
      <x:c r="M84" s="5" t="str"/>
      <x:c r="N84" s="5" t="str">
        <x:v>Not started</x:v>
      </x:c>
      <x:c r="O84" s="5" t="str">
        <x:v>Not started</x:v>
      </x:c>
      <x:c r="P84" s="5" t="str">
        <x:v>Not started</x:v>
      </x:c>
      <x:c r="Q84" s="5" t="str">
        <x:v>Not started</x:v>
      </x:c>
      <x:c r="R84" s="5" t="str">
        <x:v>Pending</x:v>
      </x:c>
      <x:c r="S84" s="5" t="str"/>
      <x:c r="T84" s="5" t="str"/>
      <x:c r="U84" s="5" t="str"/>
      <x:c r="V84" s="5" t="str"/>
      <x:c r="W84" s="5" t="str">
        <x:v>Not linked</x:v>
      </x:c>
      <x:c r="X84" s="5" t="str">
        <x:v>Pending</x:v>
      </x:c>
      <x:c r="Y84" s="5" t="str">
        <x:f>IF(AND(L84="Pending",R84="Pending"),"Pending screening",IF(H84="Not assigned","Assign reviewer",IF(AND(L84="Exclude",M84=""),"Missing TA exclusion reason",IF(AND(R84="Exclude",S84=""),"Missing FT exclusion reason","Decision recorded"))))</x:f>
        <x:v>Pending screening</x:v>
      </x:c>
    </x:row>
    <x:row r="85" ht="53" customHeight="1">
      <x:c r="A85" s="5" t="str">
        <x:v>C0076</x:v>
      </x:c>
      <x:c r="B85" s="5" t="str">
        <x:v>FTF-GRU-AE: A Calibration-Aware Frequency-Recurrent Autoencoder for Lightweight Industrial Time-Series Anomaly Detection</x:v>
      </x:c>
      <x:c r="C85" s="5" t="str">
        <x:v>10.1109/aiea70743.2026.11632327</x:v>
      </x:c>
      <x:c r="D85" s="5" t="str"/>
      <x:c r="E85" s="5" t="str">
        <x:v>proceedings-article</x:v>
      </x:c>
      <x:c r="F85" s="5" t="str">
        <x:v>S05; S16</x:v>
      </x:c>
      <x:c r="G85" s="5" t="str">
        <x:v>Title-scope candidate</x:v>
      </x:c>
      <x:c r="H85" s="5" t="str">
        <x:v>Not assigned</x:v>
      </x:c>
      <x:c r="I85" s="5" t="str">
        <x:v>Not started</x:v>
      </x:c>
      <x:c r="J85" s="5" t="str">
        <x:v>Not assigned</x:v>
      </x:c>
      <x:c r="K85" s="5" t="str">
        <x:v>Not started</x:v>
      </x:c>
      <x:c r="L85" s="5" t="str">
        <x:v>Pending</x:v>
      </x:c>
      <x:c r="M85" s="5" t="str"/>
      <x:c r="N85" s="5" t="str">
        <x:v>Not started</x:v>
      </x:c>
      <x:c r="O85" s="5" t="str">
        <x:v>Not started</x:v>
      </x:c>
      <x:c r="P85" s="5" t="str">
        <x:v>Not started</x:v>
      </x:c>
      <x:c r="Q85" s="5" t="str">
        <x:v>Not started</x:v>
      </x:c>
      <x:c r="R85" s="5" t="str">
        <x:v>Pending</x:v>
      </x:c>
      <x:c r="S85" s="5" t="str"/>
      <x:c r="T85" s="5" t="str"/>
      <x:c r="U85" s="5" t="str"/>
      <x:c r="V85" s="5" t="str"/>
      <x:c r="W85" s="5" t="str">
        <x:v>Not linked</x:v>
      </x:c>
      <x:c r="X85" s="5" t="str">
        <x:v>Pending</x:v>
      </x:c>
      <x:c r="Y85" s="5" t="str">
        <x:f>IF(AND(L85="Pending",R85="Pending"),"Pending screening",IF(H85="Not assigned","Assign reviewer",IF(AND(L85="Exclude",M85=""),"Missing TA exclusion reason",IF(AND(R85="Exclude",S85=""),"Missing FT exclusion reason","Decision recorded"))))</x:f>
        <x:v>Pending screening</x:v>
      </x:c>
    </x:row>
    <x:row r="86" ht="40" customHeight="1">
      <x:c r="A86" s="5" t="str">
        <x:v>C0077</x:v>
      </x:c>
      <x:c r="B86" s="5" t="str">
        <x:v>Calibration Design for Reliable False-Alarm Control in Benign-Trained UAV Anomaly Detection</x:v>
      </x:c>
      <x:c r="C86" s="5" t="str">
        <x:v>10.2139/ssrn.7385366</x:v>
      </x:c>
      <x:c r="D86" s="5" t="str"/>
      <x:c r="E86" s="5" t="str">
        <x:v>posted-content</x:v>
      </x:c>
      <x:c r="F86" s="5" t="str">
        <x:v>S05; S16</x:v>
      </x:c>
      <x:c r="G86" s="5" t="str">
        <x:v>Lower-priority; inspect scope</x:v>
      </x:c>
      <x:c r="H86" s="5" t="str">
        <x:v>Not assigned</x:v>
      </x:c>
      <x:c r="I86" s="5" t="str">
        <x:v>Not started</x:v>
      </x:c>
      <x:c r="J86" s="5" t="str">
        <x:v>Not assigned</x:v>
      </x:c>
      <x:c r="K86" s="5" t="str">
        <x:v>Not started</x:v>
      </x:c>
      <x:c r="L86" s="5" t="str">
        <x:v>Pending</x:v>
      </x:c>
      <x:c r="M86" s="5" t="str"/>
      <x:c r="N86" s="5" t="str">
        <x:v>Not started</x:v>
      </x:c>
      <x:c r="O86" s="5" t="str">
        <x:v>Not started</x:v>
      </x:c>
      <x:c r="P86" s="5" t="str">
        <x:v>Not started</x:v>
      </x:c>
      <x:c r="Q86" s="5" t="str">
        <x:v>Not started</x:v>
      </x:c>
      <x:c r="R86" s="5" t="str">
        <x:v>Pending</x:v>
      </x:c>
      <x:c r="S86" s="5" t="str"/>
      <x:c r="T86" s="5" t="str"/>
      <x:c r="U86" s="5" t="str"/>
      <x:c r="V86" s="5" t="str"/>
      <x:c r="W86" s="5" t="str">
        <x:v>Not linked</x:v>
      </x:c>
      <x:c r="X86" s="5" t="str">
        <x:v>Pending</x:v>
      </x:c>
      <x:c r="Y86" s="5" t="str">
        <x:f>IF(AND(L86="Pending",R86="Pending"),"Pending screening",IF(H86="Not assigned","Assign reviewer",IF(AND(L86="Exclude",M86=""),"Missing TA exclusion reason",IF(AND(R86="Exclude",S86=""),"Missing FT exclusion reason","Decision recorded"))))</x:f>
        <x:v>Pending screening</x:v>
      </x:c>
    </x:row>
    <x:row r="87" ht="40" customHeight="1">
      <x:c r="A87" s="5" t="str">
        <x:v>C0078</x:v>
      </x:c>
      <x:c r="B87" s="5" t="str">
        <x:v>Unsupervised Anomaly Detection with a Temporal Continuation, Confidence-Aware Vae-Gan</x:v>
      </x:c>
      <x:c r="C87" s="5" t="str">
        <x:v>10.2139/ssrn.4926307</x:v>
      </x:c>
      <x:c r="D87" s="5" t="str"/>
      <x:c r="E87" s="5" t="str">
        <x:v>posted-content</x:v>
      </x:c>
      <x:c r="F87" s="5" t="str">
        <x:v>S05</x:v>
      </x:c>
      <x:c r="G87" s="5" t="str">
        <x:v>Lower-priority; inspect scope</x:v>
      </x:c>
      <x:c r="H87" s="5" t="str">
        <x:v>Not assigned</x:v>
      </x:c>
      <x:c r="I87" s="5" t="str">
        <x:v>Not started</x:v>
      </x:c>
      <x:c r="J87" s="5" t="str">
        <x:v>Not assigned</x:v>
      </x:c>
      <x:c r="K87" s="5" t="str">
        <x:v>Not started</x:v>
      </x:c>
      <x:c r="L87" s="5" t="str">
        <x:v>Pending</x:v>
      </x:c>
      <x:c r="M87" s="5" t="str"/>
      <x:c r="N87" s="5" t="str">
        <x:v>Not started</x:v>
      </x:c>
      <x:c r="O87" s="5" t="str">
        <x:v>Not started</x:v>
      </x:c>
      <x:c r="P87" s="5" t="str">
        <x:v>Not started</x:v>
      </x:c>
      <x:c r="Q87" s="5" t="str">
        <x:v>Not started</x:v>
      </x:c>
      <x:c r="R87" s="5" t="str">
        <x:v>Pending</x:v>
      </x:c>
      <x:c r="S87" s="5" t="str"/>
      <x:c r="T87" s="5" t="str"/>
      <x:c r="U87" s="5" t="str"/>
      <x:c r="V87" s="5" t="str"/>
      <x:c r="W87" s="5" t="str">
        <x:v>Not linked</x:v>
      </x:c>
      <x:c r="X87" s="5" t="str">
        <x:v>Pending</x:v>
      </x:c>
      <x:c r="Y87" s="5" t="str">
        <x:f>IF(AND(L87="Pending",R87="Pending"),"Pending screening",IF(H87="Not assigned","Assign reviewer",IF(AND(L87="Exclude",M87=""),"Missing TA exclusion reason",IF(AND(R87="Exclude",S87=""),"Missing FT exclusion reason","Decision recorded"))))</x:f>
        <x:v>Pending screening</x:v>
      </x:c>
    </x:row>
    <x:row r="88" ht="53" customHeight="1">
      <x:c r="A88" s="5" t="str">
        <x:v>C0079</x:v>
      </x:c>
      <x:c r="B88" s="5" t="str">
        <x:v>Confident Detection: Unmanned Aerial Vehicles Anomaly Detection under Data Contamination via Uncertainty Calibration</x:v>
      </x:c>
      <x:c r="C88" s="5" t="str">
        <x:v>10.2139/ssrn.6836289</x:v>
      </x:c>
      <x:c r="D88" s="5" t="str"/>
      <x:c r="E88" s="5" t="str">
        <x:v>posted-content</x:v>
      </x:c>
      <x:c r="F88" s="5" t="str">
        <x:v>S05</x:v>
      </x:c>
      <x:c r="G88" s="5" t="str">
        <x:v>Lower-priority; inspect scope</x:v>
      </x:c>
      <x:c r="H88" s="5" t="str">
        <x:v>Not assigned</x:v>
      </x:c>
      <x:c r="I88" s="5" t="str">
        <x:v>Not started</x:v>
      </x:c>
      <x:c r="J88" s="5" t="str">
        <x:v>Not assigned</x:v>
      </x:c>
      <x:c r="K88" s="5" t="str">
        <x:v>Not started</x:v>
      </x:c>
      <x:c r="L88" s="5" t="str">
        <x:v>Pending</x:v>
      </x:c>
      <x:c r="M88" s="5" t="str"/>
      <x:c r="N88" s="5" t="str">
        <x:v>Not started</x:v>
      </x:c>
      <x:c r="O88" s="5" t="str">
        <x:v>Not started</x:v>
      </x:c>
      <x:c r="P88" s="5" t="str">
        <x:v>Not started</x:v>
      </x:c>
      <x:c r="Q88" s="5" t="str">
        <x:v>Not started</x:v>
      </x:c>
      <x:c r="R88" s="5" t="str">
        <x:v>Pending</x:v>
      </x:c>
      <x:c r="S88" s="5" t="str"/>
      <x:c r="T88" s="5" t="str"/>
      <x:c r="U88" s="5" t="str"/>
      <x:c r="V88" s="5" t="str"/>
      <x:c r="W88" s="5" t="str">
        <x:v>Not linked</x:v>
      </x:c>
      <x:c r="X88" s="5" t="str">
        <x:v>Pending</x:v>
      </x:c>
      <x:c r="Y88" s="5" t="str">
        <x:f>IF(AND(L88="Pending",R88="Pending"),"Pending screening",IF(H88="Not assigned","Assign reviewer",IF(AND(L88="Exclude",M88=""),"Missing TA exclusion reason",IF(AND(R88="Exclude",S88=""),"Missing FT exclusion reason","Decision recorded"))))</x:f>
        <x:v>Pending screening</x:v>
      </x:c>
    </x:row>
    <x:row r="89" ht="40" customHeight="1">
      <x:c r="A89" s="5" t="str">
        <x:v>C0080</x:v>
      </x:c>
      <x:c r="B89" s="5" t="str">
        <x:v>LMF-Core: A Training-Free Coreset for Industrial Anomaly Detection</x:v>
      </x:c>
      <x:c r="C89" s="5" t="str">
        <x:v>10.70729/se26625132621</x:v>
      </x:c>
      <x:c r="D89" s="5" t="str"/>
      <x:c r="E89" s="5" t="str">
        <x:v>journal-article</x:v>
      </x:c>
      <x:c r="F89" s="5" t="str">
        <x:v>S05</x:v>
      </x:c>
      <x:c r="G89" s="5" t="str">
        <x:v>Title-scope candidate</x:v>
      </x:c>
      <x:c r="H89" s="5" t="str">
        <x:v>Not assigned</x:v>
      </x:c>
      <x:c r="I89" s="5" t="str">
        <x:v>Not started</x:v>
      </x:c>
      <x:c r="J89" s="5" t="str">
        <x:v>Not assigned</x:v>
      </x:c>
      <x:c r="K89" s="5" t="str">
        <x:v>Not started</x:v>
      </x:c>
      <x:c r="L89" s="5" t="str">
        <x:v>Pending</x:v>
      </x:c>
      <x:c r="M89" s="5" t="str"/>
      <x:c r="N89" s="5" t="str">
        <x:v>Not started</x:v>
      </x:c>
      <x:c r="O89" s="5" t="str">
        <x:v>Not started</x:v>
      </x:c>
      <x:c r="P89" s="5" t="str">
        <x:v>Not started</x:v>
      </x:c>
      <x:c r="Q89" s="5" t="str">
        <x:v>Not started</x:v>
      </x:c>
      <x:c r="R89" s="5" t="str">
        <x:v>Pending</x:v>
      </x:c>
      <x:c r="S89" s="5" t="str"/>
      <x:c r="T89" s="5" t="str"/>
      <x:c r="U89" s="5" t="str"/>
      <x:c r="V89" s="5" t="str"/>
      <x:c r="W89" s="5" t="str">
        <x:v>Not linked</x:v>
      </x:c>
      <x:c r="X89" s="5" t="str">
        <x:v>Pending</x:v>
      </x:c>
      <x:c r="Y89" s="5" t="str">
        <x:f>IF(AND(L89="Pending",R89="Pending"),"Pending screening",IF(H89="Not assigned","Assign reviewer",IF(AND(L89="Exclude",M89=""),"Missing TA exclusion reason",IF(AND(R89="Exclude",S89=""),"Missing FT exclusion reason","Decision recorded"))))</x:f>
        <x:v>Pending screening</x:v>
      </x:c>
    </x:row>
    <x:row r="90" ht="40" customHeight="1">
      <x:c r="A90" s="5" t="str">
        <x:v>C0081</x:v>
      </x:c>
      <x:c r="B90" s="5" t="str">
        <x:v>Cross-modal prior-guided sampling with coverage-aware score calibration for 3D industrial anomaly localization</x:v>
      </x:c>
      <x:c r="C90" s="5" t="str">
        <x:v>10.2139/ssrn.7541070</x:v>
      </x:c>
      <x:c r="D90" s="5" t="str"/>
      <x:c r="E90" s="5" t="str">
        <x:v>posted-content</x:v>
      </x:c>
      <x:c r="F90" s="5" t="str">
        <x:v>S05; S16</x:v>
      </x:c>
      <x:c r="G90" s="5" t="str">
        <x:v>Title-scope candidate</x:v>
      </x:c>
      <x:c r="H90" s="5" t="str">
        <x:v>Not assigned</x:v>
      </x:c>
      <x:c r="I90" s="5" t="str">
        <x:v>Not started</x:v>
      </x:c>
      <x:c r="J90" s="5" t="str">
        <x:v>Not assigned</x:v>
      </x:c>
      <x:c r="K90" s="5" t="str">
        <x:v>Not started</x:v>
      </x:c>
      <x:c r="L90" s="5" t="str">
        <x:v>Pending</x:v>
      </x:c>
      <x:c r="M90" s="5" t="str"/>
      <x:c r="N90" s="5" t="str">
        <x:v>Not started</x:v>
      </x:c>
      <x:c r="O90" s="5" t="str">
        <x:v>Not started</x:v>
      </x:c>
      <x:c r="P90" s="5" t="str">
        <x:v>Not started</x:v>
      </x:c>
      <x:c r="Q90" s="5" t="str">
        <x:v>Not started</x:v>
      </x:c>
      <x:c r="R90" s="5" t="str">
        <x:v>Pending</x:v>
      </x:c>
      <x:c r="S90" s="5" t="str"/>
      <x:c r="T90" s="5" t="str"/>
      <x:c r="U90" s="5" t="str"/>
      <x:c r="V90" s="5" t="str"/>
      <x:c r="W90" s="5" t="str">
        <x:v>Not linked</x:v>
      </x:c>
      <x:c r="X90" s="5" t="str">
        <x:v>Pending</x:v>
      </x:c>
      <x:c r="Y90" s="5" t="str">
        <x:f>IF(AND(L90="Pending",R90="Pending"),"Pending screening",IF(H90="Not assigned","Assign reviewer",IF(AND(L90="Exclude",M90=""),"Missing TA exclusion reason",IF(AND(R90="Exclude",S90=""),"Missing FT exclusion reason","Decision recorded"))))</x:f>
        <x:v>Pending screening</x:v>
      </x:c>
    </x:row>
    <x:row r="91" ht="40" customHeight="1">
      <x:c r="A91" s="5" t="str">
        <x:v>C0082</x:v>
      </x:c>
      <x:c r="B91" s="5" t="str">
        <x:v>Adaptive Calibration-Aware Anomaly Detection for Encrypted QUIC Traffic</x:v>
      </x:c>
      <x:c r="C91" s="5" t="str">
        <x:v>10.2139/ssrn.7242909</x:v>
      </x:c>
      <x:c r="D91" s="5" t="str"/>
      <x:c r="E91" s="5" t="str">
        <x:v>posted-content</x:v>
      </x:c>
      <x:c r="F91" s="5" t="str">
        <x:v>S05</x:v>
      </x:c>
      <x:c r="G91" s="5" t="str">
        <x:v>Lower-priority; inspect scope</x:v>
      </x:c>
      <x:c r="H91" s="5" t="str">
        <x:v>Not assigned</x:v>
      </x:c>
      <x:c r="I91" s="5" t="str">
        <x:v>Not started</x:v>
      </x:c>
      <x:c r="J91" s="5" t="str">
        <x:v>Not assigned</x:v>
      </x:c>
      <x:c r="K91" s="5" t="str">
        <x:v>Not started</x:v>
      </x:c>
      <x:c r="L91" s="5" t="str">
        <x:v>Pending</x:v>
      </x:c>
      <x:c r="M91" s="5" t="str"/>
      <x:c r="N91" s="5" t="str">
        <x:v>Not started</x:v>
      </x:c>
      <x:c r="O91" s="5" t="str">
        <x:v>Not started</x:v>
      </x:c>
      <x:c r="P91" s="5" t="str">
        <x:v>Not started</x:v>
      </x:c>
      <x:c r="Q91" s="5" t="str">
        <x:v>Not started</x:v>
      </x:c>
      <x:c r="R91" s="5" t="str">
        <x:v>Pending</x:v>
      </x:c>
      <x:c r="S91" s="5" t="str"/>
      <x:c r="T91" s="5" t="str"/>
      <x:c r="U91" s="5" t="str"/>
      <x:c r="V91" s="5" t="str"/>
      <x:c r="W91" s="5" t="str">
        <x:v>Not linked</x:v>
      </x:c>
      <x:c r="X91" s="5" t="str">
        <x:v>Pending</x:v>
      </x:c>
      <x:c r="Y91" s="5" t="str">
        <x:f>IF(AND(L91="Pending",R91="Pending"),"Pending screening",IF(H91="Not assigned","Assign reviewer",IF(AND(L91="Exclude",M91=""),"Missing TA exclusion reason",IF(AND(R91="Exclude",S91=""),"Missing FT exclusion reason","Decision recorded"))))</x:f>
        <x:v>Pending screening</x:v>
      </x:c>
    </x:row>
    <x:row r="92" ht="40" customHeight="1">
      <x:c r="A92" s="5" t="str">
        <x:v>C0083</x:v>
      </x:c>
      <x:c r="B92" s="5" t="str">
        <x:v>Traffic anomaly detection algorithm for CAN bus using similarity analysis</x:v>
      </x:c>
      <x:c r="C92" s="5" t="str">
        <x:v>10.1016/j.hcc.2024.100207</x:v>
      </x:c>
      <x:c r="D92" s="5" t="str"/>
      <x:c r="E92" s="5" t="str">
        <x:v>journal-article</x:v>
      </x:c>
      <x:c r="F92" s="5" t="str">
        <x:v>S05</x:v>
      </x:c>
      <x:c r="G92" s="5" t="str">
        <x:v>Lower-priority; inspect scope</x:v>
      </x:c>
      <x:c r="H92" s="5" t="str">
        <x:v>Not assigned</x:v>
      </x:c>
      <x:c r="I92" s="5" t="str">
        <x:v>Not started</x:v>
      </x:c>
      <x:c r="J92" s="5" t="str">
        <x:v>Not assigned</x:v>
      </x:c>
      <x:c r="K92" s="5" t="str">
        <x:v>Not started</x:v>
      </x:c>
      <x:c r="L92" s="5" t="str">
        <x:v>Pending</x:v>
      </x:c>
      <x:c r="M92" s="5" t="str"/>
      <x:c r="N92" s="5" t="str">
        <x:v>Not started</x:v>
      </x:c>
      <x:c r="O92" s="5" t="str">
        <x:v>Not started</x:v>
      </x:c>
      <x:c r="P92" s="5" t="str">
        <x:v>Not started</x:v>
      </x:c>
      <x:c r="Q92" s="5" t="str">
        <x:v>Not started</x:v>
      </x:c>
      <x:c r="R92" s="5" t="str">
        <x:v>Pending</x:v>
      </x:c>
      <x:c r="S92" s="5" t="str"/>
      <x:c r="T92" s="5" t="str"/>
      <x:c r="U92" s="5" t="str"/>
      <x:c r="V92" s="5" t="str"/>
      <x:c r="W92" s="5" t="str">
        <x:v>Not linked</x:v>
      </x:c>
      <x:c r="X92" s="5" t="str">
        <x:v>Pending</x:v>
      </x:c>
      <x:c r="Y92" s="5" t="str">
        <x:f>IF(AND(L92="Pending",R92="Pending"),"Pending screening",IF(H92="Not assigned","Assign reviewer",IF(AND(L92="Exclude",M92=""),"Missing TA exclusion reason",IF(AND(R92="Exclude",S92=""),"Missing FT exclusion reason","Decision recorded"))))</x:f>
        <x:v>Pending screening</x:v>
      </x:c>
    </x:row>
    <x:row r="93" ht="53" customHeight="1">
      <x:c r="A93" s="5" t="str">
        <x:v>C0084</x:v>
      </x:c>
      <x:c r="B93" s="5" t="str">
        <x:v>Confident Detection: Unmanned Aerial Vehicles Anomaly Detection under Data Contamination via Uncertainty Calibration</x:v>
      </x:c>
      <x:c r="C93" s="5" t="str">
        <x:v>10.2139/ssrn.7122619</x:v>
      </x:c>
      <x:c r="D93" s="5" t="str"/>
      <x:c r="E93" s="5" t="str">
        <x:v>posted-content</x:v>
      </x:c>
      <x:c r="F93" s="5" t="str">
        <x:v>S05</x:v>
      </x:c>
      <x:c r="G93" s="5" t="str">
        <x:v>Lower-priority; inspect scope</x:v>
      </x:c>
      <x:c r="H93" s="5" t="str">
        <x:v>Not assigned</x:v>
      </x:c>
      <x:c r="I93" s="5" t="str">
        <x:v>Not started</x:v>
      </x:c>
      <x:c r="J93" s="5" t="str">
        <x:v>Not assigned</x:v>
      </x:c>
      <x:c r="K93" s="5" t="str">
        <x:v>Not started</x:v>
      </x:c>
      <x:c r="L93" s="5" t="str">
        <x:v>Pending</x:v>
      </x:c>
      <x:c r="M93" s="5" t="str"/>
      <x:c r="N93" s="5" t="str">
        <x:v>Not started</x:v>
      </x:c>
      <x:c r="O93" s="5" t="str">
        <x:v>Not started</x:v>
      </x:c>
      <x:c r="P93" s="5" t="str">
        <x:v>Not started</x:v>
      </x:c>
      <x:c r="Q93" s="5" t="str">
        <x:v>Not started</x:v>
      </x:c>
      <x:c r="R93" s="5" t="str">
        <x:v>Pending</x:v>
      </x:c>
      <x:c r="S93" s="5" t="str"/>
      <x:c r="T93" s="5" t="str"/>
      <x:c r="U93" s="5" t="str"/>
      <x:c r="V93" s="5" t="str"/>
      <x:c r="W93" s="5" t="str">
        <x:v>Not linked</x:v>
      </x:c>
      <x:c r="X93" s="5" t="str">
        <x:v>Pending</x:v>
      </x:c>
      <x:c r="Y93" s="5" t="str">
        <x:f>IF(AND(L93="Pending",R93="Pending"),"Pending screening",IF(H93="Not assigned","Assign reviewer",IF(AND(L93="Exclude",M93=""),"Missing TA exclusion reason",IF(AND(R93="Exclude",S93=""),"Missing FT exclusion reason","Decision recorded"))))</x:f>
        <x:v>Pending screening</x:v>
      </x:c>
    </x:row>
    <x:row r="94" ht="40" customHeight="1">
      <x:c r="A94" s="5" t="str">
        <x:v>C0085</x:v>
      </x:c>
      <x:c r="B94" s="5" t="str">
        <x:v>Predictive Monitoring and Anomaly Detection in Industrial Systems</x:v>
      </x:c>
      <x:c r="C94" s="5" t="str">
        <x:v>10.5220/0013583700004664</x:v>
      </x:c>
      <x:c r="D94" s="5" t="str"/>
      <x:c r="E94" s="5" t="str">
        <x:v>proceedings-article</x:v>
      </x:c>
      <x:c r="F94" s="5" t="str">
        <x:v>S05</x:v>
      </x:c>
      <x:c r="G94" s="5" t="str">
        <x:v>Title-scope candidate</x:v>
      </x:c>
      <x:c r="H94" s="5" t="str">
        <x:v>Not assigned</x:v>
      </x:c>
      <x:c r="I94" s="5" t="str">
        <x:v>Not started</x:v>
      </x:c>
      <x:c r="J94" s="5" t="str">
        <x:v>Not assigned</x:v>
      </x:c>
      <x:c r="K94" s="5" t="str">
        <x:v>Not started</x:v>
      </x:c>
      <x:c r="L94" s="5" t="str">
        <x:v>Pending</x:v>
      </x:c>
      <x:c r="M94" s="5" t="str"/>
      <x:c r="N94" s="5" t="str">
        <x:v>Not started</x:v>
      </x:c>
      <x:c r="O94" s="5" t="str">
        <x:v>Not started</x:v>
      </x:c>
      <x:c r="P94" s="5" t="str">
        <x:v>Not started</x:v>
      </x:c>
      <x:c r="Q94" s="5" t="str">
        <x:v>Not started</x:v>
      </x:c>
      <x:c r="R94" s="5" t="str">
        <x:v>Pending</x:v>
      </x:c>
      <x:c r="S94" s="5" t="str"/>
      <x:c r="T94" s="5" t="str"/>
      <x:c r="U94" s="5" t="str"/>
      <x:c r="V94" s="5" t="str"/>
      <x:c r="W94" s="5" t="str">
        <x:v>Not linked</x:v>
      </x:c>
      <x:c r="X94" s="5" t="str">
        <x:v>Pending</x:v>
      </x:c>
      <x:c r="Y94" s="5" t="str">
        <x:f>IF(AND(L94="Pending",R94="Pending"),"Pending screening",IF(H94="Not assigned","Assign reviewer",IF(AND(L94="Exclude",M94=""),"Missing TA exclusion reason",IF(AND(R94="Exclude",S94=""),"Missing FT exclusion reason","Decision recorded"))))</x:f>
        <x:v>Pending screening</x:v>
      </x:c>
    </x:row>
    <x:row r="95" ht="53" customHeight="1">
      <x:c r="A95" s="5" t="str">
        <x:v>C0086</x:v>
      </x:c>
      <x:c r="B95" s="5" t="str">
        <x:v>DUC-Former: Dynamic Uncertainty Calibration with Neural Architecture Search for Weakly Supervised Video Anomaly Detection</x:v>
      </x:c>
      <x:c r="C95" s="5" t="str">
        <x:v>10.2139/ssrn.6679301</x:v>
      </x:c>
      <x:c r="D95" s="5" t="str"/>
      <x:c r="E95" s="5" t="str">
        <x:v>posted-content</x:v>
      </x:c>
      <x:c r="F95" s="5" t="str">
        <x:v>S05</x:v>
      </x:c>
      <x:c r="G95" s="5" t="str">
        <x:v>Lower-priority; inspect scope</x:v>
      </x:c>
      <x:c r="H95" s="5" t="str">
        <x:v>Not assigned</x:v>
      </x:c>
      <x:c r="I95" s="5" t="str">
        <x:v>Not started</x:v>
      </x:c>
      <x:c r="J95" s="5" t="str">
        <x:v>Not assigned</x:v>
      </x:c>
      <x:c r="K95" s="5" t="str">
        <x:v>Not started</x:v>
      </x:c>
      <x:c r="L95" s="5" t="str">
        <x:v>Pending</x:v>
      </x:c>
      <x:c r="M95" s="5" t="str"/>
      <x:c r="N95" s="5" t="str">
        <x:v>Not started</x:v>
      </x:c>
      <x:c r="O95" s="5" t="str">
        <x:v>Not started</x:v>
      </x:c>
      <x:c r="P95" s="5" t="str">
        <x:v>Not started</x:v>
      </x:c>
      <x:c r="Q95" s="5" t="str">
        <x:v>Not started</x:v>
      </x:c>
      <x:c r="R95" s="5" t="str">
        <x:v>Pending</x:v>
      </x:c>
      <x:c r="S95" s="5" t="str"/>
      <x:c r="T95" s="5" t="str"/>
      <x:c r="U95" s="5" t="str"/>
      <x:c r="V95" s="5" t="str"/>
      <x:c r="W95" s="5" t="str">
        <x:v>Not linked</x:v>
      </x:c>
      <x:c r="X95" s="5" t="str">
        <x:v>Pending</x:v>
      </x:c>
      <x:c r="Y95" s="5" t="str">
        <x:f>IF(AND(L95="Pending",R95="Pending"),"Pending screening",IF(H95="Not assigned","Assign reviewer",IF(AND(L95="Exclude",M95=""),"Missing TA exclusion reason",IF(AND(R95="Exclude",S95=""),"Missing FT exclusion reason","Decision recorded"))))</x:f>
        <x:v>Pending screening</x:v>
      </x:c>
    </x:row>
    <x:row r="96" ht="40" customHeight="1">
      <x:c r="A96" s="5" t="str">
        <x:v>C0087</x:v>
      </x:c>
      <x:c r="B96" s="5" t="str">
        <x:v>A Powerful Object Detection Network for Industrial Anomaly Detection</x:v>
      </x:c>
      <x:c r="C96" s="5" t="str">
        <x:v>10.1109/iai63275.2024.10730509</x:v>
      </x:c>
      <x:c r="D96" s="5" t="str"/>
      <x:c r="E96" s="5" t="str">
        <x:v>proceedings-article</x:v>
      </x:c>
      <x:c r="F96" s="5" t="str">
        <x:v>S05</x:v>
      </x:c>
      <x:c r="G96" s="5" t="str">
        <x:v>Title-scope candidate</x:v>
      </x:c>
      <x:c r="H96" s="5" t="str">
        <x:v>Not assigned</x:v>
      </x:c>
      <x:c r="I96" s="5" t="str">
        <x:v>Not started</x:v>
      </x:c>
      <x:c r="J96" s="5" t="str">
        <x:v>Not assigned</x:v>
      </x:c>
      <x:c r="K96" s="5" t="str">
        <x:v>Not started</x:v>
      </x:c>
      <x:c r="L96" s="5" t="str">
        <x:v>Pending</x:v>
      </x:c>
      <x:c r="M96" s="5" t="str"/>
      <x:c r="N96" s="5" t="str">
        <x:v>Not started</x:v>
      </x:c>
      <x:c r="O96" s="5" t="str">
        <x:v>Not started</x:v>
      </x:c>
      <x:c r="P96" s="5" t="str">
        <x:v>Not started</x:v>
      </x:c>
      <x:c r="Q96" s="5" t="str">
        <x:v>Not started</x:v>
      </x:c>
      <x:c r="R96" s="5" t="str">
        <x:v>Pending</x:v>
      </x:c>
      <x:c r="S96" s="5" t="str"/>
      <x:c r="T96" s="5" t="str"/>
      <x:c r="U96" s="5" t="str"/>
      <x:c r="V96" s="5" t="str"/>
      <x:c r="W96" s="5" t="str">
        <x:v>Not linked</x:v>
      </x:c>
      <x:c r="X96" s="5" t="str">
        <x:v>Pending</x:v>
      </x:c>
      <x:c r="Y96" s="5" t="str">
        <x:f>IF(AND(L96="Pending",R96="Pending"),"Pending screening",IF(H96="Not assigned","Assign reviewer",IF(AND(L96="Exclude",M96=""),"Missing TA exclusion reason",IF(AND(R96="Exclude",S96=""),"Missing FT exclusion reason","Decision recorded"))))</x:f>
        <x:v>Pending screening</x:v>
      </x:c>
    </x:row>
    <x:row r="97" ht="53" customHeight="1">
      <x:c r="A97" s="5" t="str">
        <x:v>C0088</x:v>
      </x:c>
      <x:c r="B97" s="5" t="str">
        <x:v>Unsupervised Multivariate Time Series Data Anomaly Detection in Industrial IoT: A Confidence Adversarial Autoencoder Network</x:v>
      </x:c>
      <x:c r="C97" s="5" t="str">
        <x:v>10.1109/ojcoms.2024.3511951</x:v>
      </x:c>
      <x:c r="D97" s="5" t="str"/>
      <x:c r="E97" s="5" t="str">
        <x:v>journal-article</x:v>
      </x:c>
      <x:c r="F97" s="5" t="str">
        <x:v>S05</x:v>
      </x:c>
      <x:c r="G97" s="5" t="str">
        <x:v>Title-scope candidate</x:v>
      </x:c>
      <x:c r="H97" s="5" t="str">
        <x:v>Not assigned</x:v>
      </x:c>
      <x:c r="I97" s="5" t="str">
        <x:v>Not started</x:v>
      </x:c>
      <x:c r="J97" s="5" t="str">
        <x:v>Not assigned</x:v>
      </x:c>
      <x:c r="K97" s="5" t="str">
        <x:v>Not started</x:v>
      </x:c>
      <x:c r="L97" s="5" t="str">
        <x:v>Pending</x:v>
      </x:c>
      <x:c r="M97" s="5" t="str"/>
      <x:c r="N97" s="5" t="str">
        <x:v>Not started</x:v>
      </x:c>
      <x:c r="O97" s="5" t="str">
        <x:v>Not started</x:v>
      </x:c>
      <x:c r="P97" s="5" t="str">
        <x:v>Not started</x:v>
      </x:c>
      <x:c r="Q97" s="5" t="str">
        <x:v>Not started</x:v>
      </x:c>
      <x:c r="R97" s="5" t="str">
        <x:v>Pending</x:v>
      </x:c>
      <x:c r="S97" s="5" t="str"/>
      <x:c r="T97" s="5" t="str"/>
      <x:c r="U97" s="5" t="str"/>
      <x:c r="V97" s="5" t="str"/>
      <x:c r="W97" s="5" t="str">
        <x:v>Not linked</x:v>
      </x:c>
      <x:c r="X97" s="5" t="str">
        <x:v>Pending</x:v>
      </x:c>
      <x:c r="Y97" s="5" t="str">
        <x:f>IF(AND(L97="Pending",R97="Pending"),"Pending screening",IF(H97="Not assigned","Assign reviewer",IF(AND(L97="Exclude",M97=""),"Missing TA exclusion reason",IF(AND(R97="Exclude",S97=""),"Missing FT exclusion reason","Decision recorded"))))</x:f>
        <x:v>Pending screening</x:v>
      </x:c>
    </x:row>
    <x:row r="98" ht="40" customHeight="1">
      <x:c r="A98" s="5" t="str">
        <x:v>C0089</x:v>
      </x:c>
      <x:c r="B98" s="5" t="str">
        <x:v>Boundary-Aware Structural-Semantic Pseudo Anomaly Learning for Industrial Anomaly Detection</x:v>
      </x:c>
      <x:c r="C98" s="5" t="str">
        <x:v>10.21203/rs.3.rs-9925157/v1</x:v>
      </x:c>
      <x:c r="D98" s="5" t="str"/>
      <x:c r="E98" s="5" t="str">
        <x:v>posted-content</x:v>
      </x:c>
      <x:c r="F98" s="5" t="str">
        <x:v>S02; S05</x:v>
      </x:c>
      <x:c r="G98" s="5" t="str">
        <x:v>Title-scope candidate</x:v>
      </x:c>
      <x:c r="H98" s="5" t="str">
        <x:v>Not assigned</x:v>
      </x:c>
      <x:c r="I98" s="5" t="str">
        <x:v>Not started</x:v>
      </x:c>
      <x:c r="J98" s="5" t="str">
        <x:v>Not assigned</x:v>
      </x:c>
      <x:c r="K98" s="5" t="str">
        <x:v>Not started</x:v>
      </x:c>
      <x:c r="L98" s="5" t="str">
        <x:v>Pending</x:v>
      </x:c>
      <x:c r="M98" s="5" t="str"/>
      <x:c r="N98" s="5" t="str">
        <x:v>Not started</x:v>
      </x:c>
      <x:c r="O98" s="5" t="str">
        <x:v>Not started</x:v>
      </x:c>
      <x:c r="P98" s="5" t="str">
        <x:v>Not started</x:v>
      </x:c>
      <x:c r="Q98" s="5" t="str">
        <x:v>Not started</x:v>
      </x:c>
      <x:c r="R98" s="5" t="str">
        <x:v>Pending</x:v>
      </x:c>
      <x:c r="S98" s="5" t="str"/>
      <x:c r="T98" s="5" t="str"/>
      <x:c r="U98" s="5" t="str"/>
      <x:c r="V98" s="5" t="str"/>
      <x:c r="W98" s="5" t="str">
        <x:v>Not linked</x:v>
      </x:c>
      <x:c r="X98" s="5" t="str">
        <x:v>Pending</x:v>
      </x:c>
      <x:c r="Y98" s="5" t="str">
        <x:f>IF(AND(L98="Pending",R98="Pending"),"Pending screening",IF(H98="Not assigned","Assign reviewer",IF(AND(L98="Exclude",M98=""),"Missing TA exclusion reason",IF(AND(R98="Exclude",S98=""),"Missing FT exclusion reason","Decision recorded"))))</x:f>
        <x:v>Pending screening</x:v>
      </x:c>
    </x:row>
    <x:row r="99" ht="40" customHeight="1">
      <x:c r="A99" s="5" t="str">
        <x:v>C0090</x:v>
      </x:c>
      <x:c r="B99" s="5" t="str">
        <x:v>Attacks on Industrial Control Systems - Modeling and Anomaly Detection</x:v>
      </x:c>
      <x:c r="C99" s="5" t="str">
        <x:v>10.5220/0006755405810588</x:v>
      </x:c>
      <x:c r="D99" s="5" t="str"/>
      <x:c r="E99" s="5" t="str">
        <x:v>proceedings-article</x:v>
      </x:c>
      <x:c r="F99" s="5" t="str">
        <x:v>S05; S07</x:v>
      </x:c>
      <x:c r="G99" s="5" t="str">
        <x:v>Title-scope candidate</x:v>
      </x:c>
      <x:c r="H99" s="5" t="str">
        <x:v>Not assigned</x:v>
      </x:c>
      <x:c r="I99" s="5" t="str">
        <x:v>Not started</x:v>
      </x:c>
      <x:c r="J99" s="5" t="str">
        <x:v>Not assigned</x:v>
      </x:c>
      <x:c r="K99" s="5" t="str">
        <x:v>Not started</x:v>
      </x:c>
      <x:c r="L99" s="5" t="str">
        <x:v>Pending</x:v>
      </x:c>
      <x:c r="M99" s="5" t="str"/>
      <x:c r="N99" s="5" t="str">
        <x:v>Not started</x:v>
      </x:c>
      <x:c r="O99" s="5" t="str">
        <x:v>Not started</x:v>
      </x:c>
      <x:c r="P99" s="5" t="str">
        <x:v>Not started</x:v>
      </x:c>
      <x:c r="Q99" s="5" t="str">
        <x:v>Not started</x:v>
      </x:c>
      <x:c r="R99" s="5" t="str">
        <x:v>Pending</x:v>
      </x:c>
      <x:c r="S99" s="5" t="str"/>
      <x:c r="T99" s="5" t="str"/>
      <x:c r="U99" s="5" t="str"/>
      <x:c r="V99" s="5" t="str"/>
      <x:c r="W99" s="5" t="str">
        <x:v>Not linked</x:v>
      </x:c>
      <x:c r="X99" s="5" t="str">
        <x:v>Pending</x:v>
      </x:c>
      <x:c r="Y99" s="5" t="str">
        <x:f>IF(AND(L99="Pending",R99="Pending"),"Pending screening",IF(H99="Not assigned","Assign reviewer",IF(AND(L99="Exclude",M99=""),"Missing TA exclusion reason",IF(AND(R99="Exclude",S99=""),"Missing FT exclusion reason","Decision recorded"))))</x:f>
        <x:v>Pending screening</x:v>
      </x:c>
    </x:row>
    <x:row r="100" ht="40" customHeight="1">
      <x:c r="A100" s="5" t="str">
        <x:v>C0091</x:v>
      </x:c>
      <x:c r="B100" s="5" t="str">
        <x:v>Trivariate Normal Distribution in Machine Learning for Industrial Anomaly Detection</x:v>
      </x:c>
      <x:c r="C100" s="5" t="str">
        <x:v>10.33774/coe-2026-lgqh5-v3</x:v>
      </x:c>
      <x:c r="D100" s="5" t="str"/>
      <x:c r="E100" s="5" t="str">
        <x:v>posted-content</x:v>
      </x:c>
      <x:c r="F100" s="5" t="str">
        <x:v>S05</x:v>
      </x:c>
      <x:c r="G100" s="5" t="str">
        <x:v>Title-scope candidate</x:v>
      </x:c>
      <x:c r="H100" s="5" t="str">
        <x:v>Not assigned</x:v>
      </x:c>
      <x:c r="I100" s="5" t="str">
        <x:v>Not started</x:v>
      </x:c>
      <x:c r="J100" s="5" t="str">
        <x:v>Not assigned</x:v>
      </x:c>
      <x:c r="K100" s="5" t="str">
        <x:v>Not started</x:v>
      </x:c>
      <x:c r="L100" s="5" t="str">
        <x:v>Pending</x:v>
      </x:c>
      <x:c r="M100" s="5" t="str"/>
      <x:c r="N100" s="5" t="str">
        <x:v>Not started</x:v>
      </x:c>
      <x:c r="O100" s="5" t="str">
        <x:v>Not started</x:v>
      </x:c>
      <x:c r="P100" s="5" t="str">
        <x:v>Not started</x:v>
      </x:c>
      <x:c r="Q100" s="5" t="str">
        <x:v>Not started</x:v>
      </x:c>
      <x:c r="R100" s="5" t="str">
        <x:v>Pending</x:v>
      </x:c>
      <x:c r="S100" s="5" t="str"/>
      <x:c r="T100" s="5" t="str"/>
      <x:c r="U100" s="5" t="str"/>
      <x:c r="V100" s="5" t="str"/>
      <x:c r="W100" s="5" t="str">
        <x:v>Not linked</x:v>
      </x:c>
      <x:c r="X100" s="5" t="str">
        <x:v>Pending</x:v>
      </x:c>
      <x:c r="Y100" s="5" t="str">
        <x:f>IF(AND(L100="Pending",R100="Pending"),"Pending screening",IF(H100="Not assigned","Assign reviewer",IF(AND(L100="Exclude",M100=""),"Missing TA exclusion reason",IF(AND(R100="Exclude",S100=""),"Missing FT exclusion reason","Decision recorded"))))</x:f>
        <x:v>Pending screening</x:v>
      </x:c>
    </x:row>
    <x:row r="101" ht="40" customHeight="1">
      <x:c r="A101" s="5" t="str">
        <x:v>C0092</x:v>
      </x:c>
      <x:c r="B101" s="5" t="str">
        <x:v>Feature Disentanglement and Confidence-Aware MIL for Weakly Supervised Video Anomaly Detection</x:v>
      </x:c>
      <x:c r="C101" s="5" t="str">
        <x:v>10.2139/ssrn.6923115</x:v>
      </x:c>
      <x:c r="D101" s="5" t="str"/>
      <x:c r="E101" s="5" t="str">
        <x:v>posted-content</x:v>
      </x:c>
      <x:c r="F101" s="5" t="str">
        <x:v>S05</x:v>
      </x:c>
      <x:c r="G101" s="5" t="str">
        <x:v>Lower-priority; inspect scope</x:v>
      </x:c>
      <x:c r="H101" s="5" t="str">
        <x:v>Not assigned</x:v>
      </x:c>
      <x:c r="I101" s="5" t="str">
        <x:v>Not started</x:v>
      </x:c>
      <x:c r="J101" s="5" t="str">
        <x:v>Not assigned</x:v>
      </x:c>
      <x:c r="K101" s="5" t="str">
        <x:v>Not started</x:v>
      </x:c>
      <x:c r="L101" s="5" t="str">
        <x:v>Pending</x:v>
      </x:c>
      <x:c r="M101" s="5" t="str"/>
      <x:c r="N101" s="5" t="str">
        <x:v>Not started</x:v>
      </x:c>
      <x:c r="O101" s="5" t="str">
        <x:v>Not started</x:v>
      </x:c>
      <x:c r="P101" s="5" t="str">
        <x:v>Not started</x:v>
      </x:c>
      <x:c r="Q101" s="5" t="str">
        <x:v>Not started</x:v>
      </x:c>
      <x:c r="R101" s="5" t="str">
        <x:v>Pending</x:v>
      </x:c>
      <x:c r="S101" s="5" t="str"/>
      <x:c r="T101" s="5" t="str"/>
      <x:c r="U101" s="5" t="str"/>
      <x:c r="V101" s="5" t="str"/>
      <x:c r="W101" s="5" t="str">
        <x:v>Not linked</x:v>
      </x:c>
      <x:c r="X101" s="5" t="str">
        <x:v>Pending</x:v>
      </x:c>
      <x:c r="Y101" s="5" t="str">
        <x:f>IF(AND(L101="Pending",R101="Pending"),"Pending screening",IF(H101="Not assigned","Assign reviewer",IF(AND(L101="Exclude",M101=""),"Missing TA exclusion reason",IF(AND(R101="Exclude",S101=""),"Missing FT exclusion reason","Decision recorded"))))</x:f>
        <x:v>Pending screening</x:v>
      </x:c>
    </x:row>
    <x:row r="102" ht="40" customHeight="1">
      <x:c r="A102" s="5" t="str">
        <x:v>C0093</x:v>
      </x:c>
      <x:c r="B102" s="5" t="str">
        <x:v>Bibliography</x:v>
      </x:c>
      <x:c r="C102" s="5" t="str">
        <x:v>10.51202/9783186886101-115</x:v>
      </x:c>
      <x:c r="D102" s="5" t="str"/>
      <x:c r="E102" s="5" t="str">
        <x:v>book-chapter</x:v>
      </x:c>
      <x:c r="F102" s="5" t="str">
        <x:v>S05</x:v>
      </x:c>
      <x:c r="G102" s="5" t="str">
        <x:v>Lower-priority; inspect scope</x:v>
      </x:c>
      <x:c r="H102" s="5" t="str">
        <x:v>Not assigned</x:v>
      </x:c>
      <x:c r="I102" s="5" t="str">
        <x:v>Not started</x:v>
      </x:c>
      <x:c r="J102" s="5" t="str">
        <x:v>Not assigned</x:v>
      </x:c>
      <x:c r="K102" s="5" t="str">
        <x:v>Not started</x:v>
      </x:c>
      <x:c r="L102" s="5" t="str">
        <x:v>Pending</x:v>
      </x:c>
      <x:c r="M102" s="5" t="str"/>
      <x:c r="N102" s="5" t="str">
        <x:v>Not started</x:v>
      </x:c>
      <x:c r="O102" s="5" t="str">
        <x:v>Not started</x:v>
      </x:c>
      <x:c r="P102" s="5" t="str">
        <x:v>Not started</x:v>
      </x:c>
      <x:c r="Q102" s="5" t="str">
        <x:v>Not started</x:v>
      </x:c>
      <x:c r="R102" s="5" t="str">
        <x:v>Pending</x:v>
      </x:c>
      <x:c r="S102" s="5" t="str"/>
      <x:c r="T102" s="5" t="str"/>
      <x:c r="U102" s="5" t="str"/>
      <x:c r="V102" s="5" t="str"/>
      <x:c r="W102" s="5" t="str">
        <x:v>Not linked</x:v>
      </x:c>
      <x:c r="X102" s="5" t="str">
        <x:v>Pending</x:v>
      </x:c>
      <x:c r="Y102" s="5" t="str">
        <x:f>IF(AND(L102="Pending",R102="Pending"),"Pending screening",IF(H102="Not assigned","Assign reviewer",IF(AND(L102="Exclude",M102=""),"Missing TA exclusion reason",IF(AND(R102="Exclude",S102=""),"Missing FT exclusion reason","Decision recorded"))))</x:f>
        <x:v>Pending screening</x:v>
      </x:c>
    </x:row>
    <x:row r="103" ht="40" customHeight="1">
      <x:c r="A103" s="5" t="str">
        <x:v>C0094</x:v>
      </x:c>
      <x:c r="B103" s="5" t="str">
        <x:v>Machine Learning for Industrial Anomaly Detection: A Probabilistic Intelligence Approach</x:v>
      </x:c>
      <x:c r="C103" s="5" t="str">
        <x:v>10.33774/coe-2026-3bzkc</x:v>
      </x:c>
      <x:c r="D103" s="5" t="str"/>
      <x:c r="E103" s="5" t="str">
        <x:v>posted-content</x:v>
      </x:c>
      <x:c r="F103" s="5" t="str">
        <x:v>S05</x:v>
      </x:c>
      <x:c r="G103" s="5" t="str">
        <x:v>Title-scope candidate</x:v>
      </x:c>
      <x:c r="H103" s="5" t="str">
        <x:v>Not assigned</x:v>
      </x:c>
      <x:c r="I103" s="5" t="str">
        <x:v>Not started</x:v>
      </x:c>
      <x:c r="J103" s="5" t="str">
        <x:v>Not assigned</x:v>
      </x:c>
      <x:c r="K103" s="5" t="str">
        <x:v>Not started</x:v>
      </x:c>
      <x:c r="L103" s="5" t="str">
        <x:v>Pending</x:v>
      </x:c>
      <x:c r="M103" s="5" t="str"/>
      <x:c r="N103" s="5" t="str">
        <x:v>Not started</x:v>
      </x:c>
      <x:c r="O103" s="5" t="str">
        <x:v>Not started</x:v>
      </x:c>
      <x:c r="P103" s="5" t="str">
        <x:v>Not started</x:v>
      </x:c>
      <x:c r="Q103" s="5" t="str">
        <x:v>Not started</x:v>
      </x:c>
      <x:c r="R103" s="5" t="str">
        <x:v>Pending</x:v>
      </x:c>
      <x:c r="S103" s="5" t="str"/>
      <x:c r="T103" s="5" t="str"/>
      <x:c r="U103" s="5" t="str"/>
      <x:c r="V103" s="5" t="str"/>
      <x:c r="W103" s="5" t="str">
        <x:v>Not linked</x:v>
      </x:c>
      <x:c r="X103" s="5" t="str">
        <x:v>Pending</x:v>
      </x:c>
      <x:c r="Y103" s="5" t="str">
        <x:f>IF(AND(L103="Pending",R103="Pending"),"Pending screening",IF(H103="Not assigned","Assign reviewer",IF(AND(L103="Exclude",M103=""),"Missing TA exclusion reason",IF(AND(R103="Exclude",S103=""),"Missing FT exclusion reason","Decision recorded"))))</x:f>
        <x:v>Pending screening</x:v>
      </x:c>
    </x:row>
    <x:row r="104" ht="40" customHeight="1">
      <x:c r="A104" s="5" t="str">
        <x:v>C0095</x:v>
      </x:c>
      <x:c r="B104" s="5" t="str">
        <x:v>Trustworthy Anomaly Detection for Industrial Control Systems via Conformal Deep Autoencoder</x:v>
      </x:c>
      <x:c r="C104" s="5" t="str">
        <x:v>10.3850/978-981-94-3281-3_esrel-sra-e2025-p4806-cd</x:v>
      </x:c>
      <x:c r="D104" s="5" t="str"/>
      <x:c r="E104" s="5" t="str">
        <x:v>proceedings-article</x:v>
      </x:c>
      <x:c r="F104" s="5" t="str">
        <x:v>S07</x:v>
      </x:c>
      <x:c r="G104" s="5" t="str">
        <x:v>Title-scope candidate</x:v>
      </x:c>
      <x:c r="H104" s="5" t="str">
        <x:v>Not assigned</x:v>
      </x:c>
      <x:c r="I104" s="5" t="str">
        <x:v>Not started</x:v>
      </x:c>
      <x:c r="J104" s="5" t="str">
        <x:v>Not assigned</x:v>
      </x:c>
      <x:c r="K104" s="5" t="str">
        <x:v>Not started</x:v>
      </x:c>
      <x:c r="L104" s="5" t="str">
        <x:v>Pending</x:v>
      </x:c>
      <x:c r="M104" s="5" t="str"/>
      <x:c r="N104" s="5" t="str">
        <x:v>Not started</x:v>
      </x:c>
      <x:c r="O104" s="5" t="str">
        <x:v>Not started</x:v>
      </x:c>
      <x:c r="P104" s="5" t="str">
        <x:v>Not started</x:v>
      </x:c>
      <x:c r="Q104" s="5" t="str">
        <x:v>Not started</x:v>
      </x:c>
      <x:c r="R104" s="5" t="str">
        <x:v>Pending</x:v>
      </x:c>
      <x:c r="S104" s="5" t="str"/>
      <x:c r="T104" s="5" t="str"/>
      <x:c r="U104" s="5" t="str"/>
      <x:c r="V104" s="5" t="str"/>
      <x:c r="W104" s="5" t="str">
        <x:v>Not linked</x:v>
      </x:c>
      <x:c r="X104" s="5" t="str">
        <x:v>Pending</x:v>
      </x:c>
      <x:c r="Y104" s="5" t="str">
        <x:f>IF(AND(L104="Pending",R104="Pending"),"Pending screening",IF(H104="Not assigned","Assign reviewer",IF(AND(L104="Exclude",M104=""),"Missing TA exclusion reason",IF(AND(R104="Exclude",S104=""),"Missing FT exclusion reason","Decision recorded"))))</x:f>
        <x:v>Pending screening</x:v>
      </x:c>
    </x:row>
    <x:row r="105" ht="40" customHeight="1">
      <x:c r="A105" s="5" t="str">
        <x:v>C0096</x:v>
      </x:c>
      <x:c r="B105" s="5" t="str">
        <x:v>CRC-SGAD: Conformal Risk Control for Supervised Graph Anomaly Detection</x:v>
      </x:c>
      <x:c r="C105" s="5" t="str">
        <x:v>10.1109/isi65680.2025.11201206</x:v>
      </x:c>
      <x:c r="D105" s="5" t="str"/>
      <x:c r="E105" s="5" t="str">
        <x:v>proceedings-article</x:v>
      </x:c>
      <x:c r="F105" s="5" t="str">
        <x:v>S07</x:v>
      </x:c>
      <x:c r="G105" s="5" t="str">
        <x:v>Lower-priority; inspect scope</x:v>
      </x:c>
      <x:c r="H105" s="5" t="str">
        <x:v>Not assigned</x:v>
      </x:c>
      <x:c r="I105" s="5" t="str">
        <x:v>Not started</x:v>
      </x:c>
      <x:c r="J105" s="5" t="str">
        <x:v>Not assigned</x:v>
      </x:c>
      <x:c r="K105" s="5" t="str">
        <x:v>Not started</x:v>
      </x:c>
      <x:c r="L105" s="5" t="str">
        <x:v>Pending</x:v>
      </x:c>
      <x:c r="M105" s="5" t="str"/>
      <x:c r="N105" s="5" t="str">
        <x:v>Not started</x:v>
      </x:c>
      <x:c r="O105" s="5" t="str">
        <x:v>Not started</x:v>
      </x:c>
      <x:c r="P105" s="5" t="str">
        <x:v>Not started</x:v>
      </x:c>
      <x:c r="Q105" s="5" t="str">
        <x:v>Not started</x:v>
      </x:c>
      <x:c r="R105" s="5" t="str">
        <x:v>Pending</x:v>
      </x:c>
      <x:c r="S105" s="5" t="str"/>
      <x:c r="T105" s="5" t="str"/>
      <x:c r="U105" s="5" t="str"/>
      <x:c r="V105" s="5" t="str"/>
      <x:c r="W105" s="5" t="str">
        <x:v>Not linked</x:v>
      </x:c>
      <x:c r="X105" s="5" t="str">
        <x:v>Pending</x:v>
      </x:c>
      <x:c r="Y105" s="5" t="str">
        <x:f>IF(AND(L105="Pending",R105="Pending"),"Pending screening",IF(H105="Not assigned","Assign reviewer",IF(AND(L105="Exclude",M105=""),"Missing TA exclusion reason",IF(AND(R105="Exclude",S105=""),"Missing FT exclusion reason","Decision recorded"))))</x:f>
        <x:v>Pending screening</x:v>
      </x:c>
    </x:row>
    <x:row r="106" ht="40" customHeight="1">
      <x:c r="A106" s="5" t="str">
        <x:v>C0097</x:v>
      </x:c>
      <x:c r="B106" s="5" t="str">
        <x:v>Edge-AI Enabled Anomaly Detection in Industrial Control Systems: A Lightweight Approach</x:v>
      </x:c>
      <x:c r="C106" s="5" t="str">
        <x:v>10.2139/ssrn.5364505</x:v>
      </x:c>
      <x:c r="D106" s="5" t="str"/>
      <x:c r="E106" s="5" t="str">
        <x:v>posted-content</x:v>
      </x:c>
      <x:c r="F106" s="5" t="str">
        <x:v>S07</x:v>
      </x:c>
      <x:c r="G106" s="5" t="str">
        <x:v>Title-scope candidate</x:v>
      </x:c>
      <x:c r="H106" s="5" t="str">
        <x:v>Not assigned</x:v>
      </x:c>
      <x:c r="I106" s="5" t="str">
        <x:v>Not started</x:v>
      </x:c>
      <x:c r="J106" s="5" t="str">
        <x:v>Not assigned</x:v>
      </x:c>
      <x:c r="K106" s="5" t="str">
        <x:v>Not started</x:v>
      </x:c>
      <x:c r="L106" s="5" t="str">
        <x:v>Pending</x:v>
      </x:c>
      <x:c r="M106" s="5" t="str"/>
      <x:c r="N106" s="5" t="str">
        <x:v>Not started</x:v>
      </x:c>
      <x:c r="O106" s="5" t="str">
        <x:v>Not started</x:v>
      </x:c>
      <x:c r="P106" s="5" t="str">
        <x:v>Not started</x:v>
      </x:c>
      <x:c r="Q106" s="5" t="str">
        <x:v>Not started</x:v>
      </x:c>
      <x:c r="R106" s="5" t="str">
        <x:v>Pending</x:v>
      </x:c>
      <x:c r="S106" s="5" t="str"/>
      <x:c r="T106" s="5" t="str"/>
      <x:c r="U106" s="5" t="str"/>
      <x:c r="V106" s="5" t="str"/>
      <x:c r="W106" s="5" t="str">
        <x:v>Not linked</x:v>
      </x:c>
      <x:c r="X106" s="5" t="str">
        <x:v>Pending</x:v>
      </x:c>
      <x:c r="Y106" s="5" t="str">
        <x:f>IF(AND(L106="Pending",R106="Pending"),"Pending screening",IF(H106="Not assigned","Assign reviewer",IF(AND(L106="Exclude",M106=""),"Missing TA exclusion reason",IF(AND(R106="Exclude",S106=""),"Missing FT exclusion reason","Decision recorded"))))</x:f>
        <x:v>Pending screening</x:v>
      </x:c>
    </x:row>
    <x:row r="107" ht="40" customHeight="1">
      <x:c r="A107" s="5" t="str">
        <x:v>C0098</x:v>
      </x:c>
      <x:c r="B107" s="5" t="str">
        <x:v>Online Conformal Risk Control for Streaming Detection under Frame Skipping and Drift</x:v>
      </x:c>
      <x:c r="C107" s="5" t="str">
        <x:v>10.2139/ssrn.7578377</x:v>
      </x:c>
      <x:c r="D107" s="5" t="str"/>
      <x:c r="E107" s="5" t="str">
        <x:v>posted-content</x:v>
      </x:c>
      <x:c r="F107" s="5" t="str">
        <x:v>S07</x:v>
      </x:c>
      <x:c r="G107" s="5" t="str">
        <x:v>Lower-priority; inspect scope</x:v>
      </x:c>
      <x:c r="H107" s="5" t="str">
        <x:v>Not assigned</x:v>
      </x:c>
      <x:c r="I107" s="5" t="str">
        <x:v>Not started</x:v>
      </x:c>
      <x:c r="J107" s="5" t="str">
        <x:v>Not assigned</x:v>
      </x:c>
      <x:c r="K107" s="5" t="str">
        <x:v>Not started</x:v>
      </x:c>
      <x:c r="L107" s="5" t="str">
        <x:v>Pending</x:v>
      </x:c>
      <x:c r="M107" s="5" t="str"/>
      <x:c r="N107" s="5" t="str">
        <x:v>Not started</x:v>
      </x:c>
      <x:c r="O107" s="5" t="str">
        <x:v>Not started</x:v>
      </x:c>
      <x:c r="P107" s="5" t="str">
        <x:v>Not started</x:v>
      </x:c>
      <x:c r="Q107" s="5" t="str">
        <x:v>Not started</x:v>
      </x:c>
      <x:c r="R107" s="5" t="str">
        <x:v>Pending</x:v>
      </x:c>
      <x:c r="S107" s="5" t="str"/>
      <x:c r="T107" s="5" t="str"/>
      <x:c r="U107" s="5" t="str"/>
      <x:c r="V107" s="5" t="str"/>
      <x:c r="W107" s="5" t="str">
        <x:v>Not linked</x:v>
      </x:c>
      <x:c r="X107" s="5" t="str">
        <x:v>Pending</x:v>
      </x:c>
      <x:c r="Y107" s="5" t="str">
        <x:f>IF(AND(L107="Pending",R107="Pending"),"Pending screening",IF(H107="Not assigned","Assign reviewer",IF(AND(L107="Exclude",M107=""),"Missing TA exclusion reason",IF(AND(R107="Exclude",S107=""),"Missing FT exclusion reason","Decision recorded"))))</x:f>
        <x:v>Pending screening</x:v>
      </x:c>
    </x:row>
    <x:row r="108" ht="40" customHeight="1">
      <x:c r="A108" s="5" t="str">
        <x:v>C0099</x:v>
      </x:c>
      <x:c r="B108" s="5" t="str">
        <x:v>Anomaly Detection</x:v>
      </x:c>
      <x:c r="C108" s="5" t="str">
        <x:v>10.1016/b978-0-12-398537-8.00004-3</x:v>
      </x:c>
      <x:c r="D108" s="5" t="str"/>
      <x:c r="E108" s="5" t="str">
        <x:v>book-chapter</x:v>
      </x:c>
      <x:c r="F108" s="5" t="str">
        <x:v>S07</x:v>
      </x:c>
      <x:c r="G108" s="5" t="str">
        <x:v>Lower-priority; inspect scope</x:v>
      </x:c>
      <x:c r="H108" s="5" t="str">
        <x:v>Not assigned</x:v>
      </x:c>
      <x:c r="I108" s="5" t="str">
        <x:v>Not started</x:v>
      </x:c>
      <x:c r="J108" s="5" t="str">
        <x:v>Not assigned</x:v>
      </x:c>
      <x:c r="K108" s="5" t="str">
        <x:v>Not started</x:v>
      </x:c>
      <x:c r="L108" s="5" t="str">
        <x:v>Pending</x:v>
      </x:c>
      <x:c r="M108" s="5" t="str"/>
      <x:c r="N108" s="5" t="str">
        <x:v>Not started</x:v>
      </x:c>
      <x:c r="O108" s="5" t="str">
        <x:v>Not started</x:v>
      </x:c>
      <x:c r="P108" s="5" t="str">
        <x:v>Not started</x:v>
      </x:c>
      <x:c r="Q108" s="5" t="str">
        <x:v>Not started</x:v>
      </x:c>
      <x:c r="R108" s="5" t="str">
        <x:v>Pending</x:v>
      </x:c>
      <x:c r="S108" s="5" t="str"/>
      <x:c r="T108" s="5" t="str"/>
      <x:c r="U108" s="5" t="str"/>
      <x:c r="V108" s="5" t="str"/>
      <x:c r="W108" s="5" t="str">
        <x:v>Not linked</x:v>
      </x:c>
      <x:c r="X108" s="5" t="str">
        <x:v>Pending</x:v>
      </x:c>
      <x:c r="Y108" s="5" t="str">
        <x:f>IF(AND(L108="Pending",R108="Pending"),"Pending screening",IF(H108="Not assigned","Assign reviewer",IF(AND(L108="Exclude",M108=""),"Missing TA exclusion reason",IF(AND(R108="Exclude",S108=""),"Missing FT exclusion reason","Decision recorded"))))</x:f>
        <x:v>Pending screening</x:v>
      </x:c>
    </x:row>
    <x:row r="109" ht="40" customHeight="1">
      <x:c r="A109" s="5" t="str">
        <x:v>C0100</x:v>
      </x:c>
      <x:c r="B109" s="5" t="str">
        <x:v>An Attention-Based Deep Generative Model for Anomaly Detection in Industrial Control Systems</x:v>
      </x:c>
      <x:c r="C109" s="5" t="str">
        <x:v>10.5220/0012264000003584</x:v>
      </x:c>
      <x:c r="D109" s="5" t="str"/>
      <x:c r="E109" s="5" t="str">
        <x:v>proceedings-article</x:v>
      </x:c>
      <x:c r="F109" s="5" t="str">
        <x:v>S07</x:v>
      </x:c>
      <x:c r="G109" s="5" t="str">
        <x:v>Title-scope candidate</x:v>
      </x:c>
      <x:c r="H109" s="5" t="str">
        <x:v>Not assigned</x:v>
      </x:c>
      <x:c r="I109" s="5" t="str">
        <x:v>Not started</x:v>
      </x:c>
      <x:c r="J109" s="5" t="str">
        <x:v>Not assigned</x:v>
      </x:c>
      <x:c r="K109" s="5" t="str">
        <x:v>Not started</x:v>
      </x:c>
      <x:c r="L109" s="5" t="str">
        <x:v>Pending</x:v>
      </x:c>
      <x:c r="M109" s="5" t="str"/>
      <x:c r="N109" s="5" t="str">
        <x:v>Not started</x:v>
      </x:c>
      <x:c r="O109" s="5" t="str">
        <x:v>Not started</x:v>
      </x:c>
      <x:c r="P109" s="5" t="str">
        <x:v>Not started</x:v>
      </x:c>
      <x:c r="Q109" s="5" t="str">
        <x:v>Not started</x:v>
      </x:c>
      <x:c r="R109" s="5" t="str">
        <x:v>Pending</x:v>
      </x:c>
      <x:c r="S109" s="5" t="str"/>
      <x:c r="T109" s="5" t="str"/>
      <x:c r="U109" s="5" t="str"/>
      <x:c r="V109" s="5" t="str"/>
      <x:c r="W109" s="5" t="str">
        <x:v>Not linked</x:v>
      </x:c>
      <x:c r="X109" s="5" t="str">
        <x:v>Pending</x:v>
      </x:c>
      <x:c r="Y109" s="5" t="str">
        <x:f>IF(AND(L109="Pending",R109="Pending"),"Pending screening",IF(H109="Not assigned","Assign reviewer",IF(AND(L109="Exclude",M109=""),"Missing TA exclusion reason",IF(AND(R109="Exclude",S109=""),"Missing FT exclusion reason","Decision recorded"))))</x:f>
        <x:v>Pending screening</x:v>
      </x:c>
    </x:row>
    <x:row r="110" ht="40" customHeight="1">
      <x:c r="A110" s="5" t="str">
        <x:v>C0101</x:v>
      </x:c>
      <x:c r="B110" s="5" t="str">
        <x:v>Multi-Scale Transformer for Time Series Anomaly Detection Across Server and Industrial Control Domains ​</x:v>
      </x:c>
      <x:c r="C110" s="5" t="str">
        <x:v>10.2139/ssrn.7429764</x:v>
      </x:c>
      <x:c r="D110" s="5" t="str"/>
      <x:c r="E110" s="5" t="str">
        <x:v>posted-content</x:v>
      </x:c>
      <x:c r="F110" s="5" t="str">
        <x:v>S07</x:v>
      </x:c>
      <x:c r="G110" s="5" t="str">
        <x:v>Title-scope candidate</x:v>
      </x:c>
      <x:c r="H110" s="5" t="str">
        <x:v>Not assigned</x:v>
      </x:c>
      <x:c r="I110" s="5" t="str">
        <x:v>Not started</x:v>
      </x:c>
      <x:c r="J110" s="5" t="str">
        <x:v>Not assigned</x:v>
      </x:c>
      <x:c r="K110" s="5" t="str">
        <x:v>Not started</x:v>
      </x:c>
      <x:c r="L110" s="5" t="str">
        <x:v>Pending</x:v>
      </x:c>
      <x:c r="M110" s="5" t="str"/>
      <x:c r="N110" s="5" t="str">
        <x:v>Not started</x:v>
      </x:c>
      <x:c r="O110" s="5" t="str">
        <x:v>Not started</x:v>
      </x:c>
      <x:c r="P110" s="5" t="str">
        <x:v>Not started</x:v>
      </x:c>
      <x:c r="Q110" s="5" t="str">
        <x:v>Not started</x:v>
      </x:c>
      <x:c r="R110" s="5" t="str">
        <x:v>Pending</x:v>
      </x:c>
      <x:c r="S110" s="5" t="str"/>
      <x:c r="T110" s="5" t="str"/>
      <x:c r="U110" s="5" t="str"/>
      <x:c r="V110" s="5" t="str"/>
      <x:c r="W110" s="5" t="str">
        <x:v>Not linked</x:v>
      </x:c>
      <x:c r="X110" s="5" t="str">
        <x:v>Pending</x:v>
      </x:c>
      <x:c r="Y110" s="5" t="str">
        <x:f>IF(AND(L110="Pending",R110="Pending"),"Pending screening",IF(H110="Not assigned","Assign reviewer",IF(AND(L110="Exclude",M110=""),"Missing TA exclusion reason",IF(AND(R110="Exclude",S110=""),"Missing FT exclusion reason","Decision recorded"))))</x:f>
        <x:v>Pending screening</x:v>
      </x:c>
    </x:row>
    <x:row r="111" ht="40" customHeight="1">
      <x:c r="A111" s="5" t="str">
        <x:v>C0102</x:v>
      </x:c>
      <x:c r="B111" s="5" t="str">
        <x:v>Comparison of Industrial Control System Anomaly Detection Methods</x:v>
      </x:c>
      <x:c r="C111" s="5" t="str">
        <x:v>10.1145/3689930.3695211</x:v>
      </x:c>
      <x:c r="D111" s="5" t="str"/>
      <x:c r="E111" s="5" t="str">
        <x:v>proceedings-article</x:v>
      </x:c>
      <x:c r="F111" s="5" t="str">
        <x:v>S07</x:v>
      </x:c>
      <x:c r="G111" s="5" t="str">
        <x:v>Title-scope candidate</x:v>
      </x:c>
      <x:c r="H111" s="5" t="str">
        <x:v>Not assigned</x:v>
      </x:c>
      <x:c r="I111" s="5" t="str">
        <x:v>Not started</x:v>
      </x:c>
      <x:c r="J111" s="5" t="str">
        <x:v>Not assigned</x:v>
      </x:c>
      <x:c r="K111" s="5" t="str">
        <x:v>Not started</x:v>
      </x:c>
      <x:c r="L111" s="5" t="str">
        <x:v>Pending</x:v>
      </x:c>
      <x:c r="M111" s="5" t="str"/>
      <x:c r="N111" s="5" t="str">
        <x:v>Not started</x:v>
      </x:c>
      <x:c r="O111" s="5" t="str">
        <x:v>Not started</x:v>
      </x:c>
      <x:c r="P111" s="5" t="str">
        <x:v>Not started</x:v>
      </x:c>
      <x:c r="Q111" s="5" t="str">
        <x:v>Not started</x:v>
      </x:c>
      <x:c r="R111" s="5" t="str">
        <x:v>Pending</x:v>
      </x:c>
      <x:c r="S111" s="5" t="str"/>
      <x:c r="T111" s="5" t="str"/>
      <x:c r="U111" s="5" t="str"/>
      <x:c r="V111" s="5" t="str"/>
      <x:c r="W111" s="5" t="str">
        <x:v>Not linked</x:v>
      </x:c>
      <x:c r="X111" s="5" t="str">
        <x:v>Pending</x:v>
      </x:c>
      <x:c r="Y111" s="5" t="str">
        <x:f>IF(AND(L111="Pending",R111="Pending"),"Pending screening",IF(H111="Not assigned","Assign reviewer",IF(AND(L111="Exclude",M111=""),"Missing TA exclusion reason",IF(AND(R111="Exclude",S111=""),"Missing FT exclusion reason","Decision recorded"))))</x:f>
        <x:v>Pending screening</x:v>
      </x:c>
    </x:row>
    <x:row r="112" ht="40" customHeight="1">
      <x:c r="A112" s="5" t="str">
        <x:v>C0103</x:v>
      </x:c>
      <x:c r="B112" s="5" t="str">
        <x:v>Self-Supervised Iterative Refinement for Anomaly Detection in Industrial Quality Control</x:v>
      </x:c>
      <x:c r="C112" s="5" t="str">
        <x:v>10.5220/0013178100003912</x:v>
      </x:c>
      <x:c r="D112" s="5" t="str"/>
      <x:c r="E112" s="5" t="str">
        <x:v>proceedings-article</x:v>
      </x:c>
      <x:c r="F112" s="5" t="str">
        <x:v>S07</x:v>
      </x:c>
      <x:c r="G112" s="5" t="str">
        <x:v>Title-scope candidate</x:v>
      </x:c>
      <x:c r="H112" s="5" t="str">
        <x:v>Not assigned</x:v>
      </x:c>
      <x:c r="I112" s="5" t="str">
        <x:v>Not started</x:v>
      </x:c>
      <x:c r="J112" s="5" t="str">
        <x:v>Not assigned</x:v>
      </x:c>
      <x:c r="K112" s="5" t="str">
        <x:v>Not started</x:v>
      </x:c>
      <x:c r="L112" s="5" t="str">
        <x:v>Pending</x:v>
      </x:c>
      <x:c r="M112" s="5" t="str"/>
      <x:c r="N112" s="5" t="str">
        <x:v>Not started</x:v>
      </x:c>
      <x:c r="O112" s="5" t="str">
        <x:v>Not started</x:v>
      </x:c>
      <x:c r="P112" s="5" t="str">
        <x:v>Not started</x:v>
      </x:c>
      <x:c r="Q112" s="5" t="str">
        <x:v>Not started</x:v>
      </x:c>
      <x:c r="R112" s="5" t="str">
        <x:v>Pending</x:v>
      </x:c>
      <x:c r="S112" s="5" t="str"/>
      <x:c r="T112" s="5" t="str"/>
      <x:c r="U112" s="5" t="str"/>
      <x:c r="V112" s="5" t="str"/>
      <x:c r="W112" s="5" t="str">
        <x:v>Not linked</x:v>
      </x:c>
      <x:c r="X112" s="5" t="str">
        <x:v>Pending</x:v>
      </x:c>
      <x:c r="Y112" s="5" t="str">
        <x:f>IF(AND(L112="Pending",R112="Pending"),"Pending screening",IF(H112="Not assigned","Assign reviewer",IF(AND(L112="Exclude",M112=""),"Missing TA exclusion reason",IF(AND(R112="Exclude",S112=""),"Missing FT exclusion reason","Decision recorded"))))</x:f>
        <x:v>Pending screening</x:v>
      </x:c>
    </x:row>
    <x:row r="113" ht="40" customHeight="1">
      <x:c r="A113" s="5" t="str">
        <x:v>C0104</x:v>
      </x:c>
      <x:c r="B113" s="5" t="str">
        <x:v>Distributed Conformal Anomaly Detection</x:v>
      </x:c>
      <x:c r="C113" s="5" t="str">
        <x:v>10.1109/icmla.2016.0049</x:v>
      </x:c>
      <x:c r="D113" s="5" t="str"/>
      <x:c r="E113" s="5" t="str">
        <x:v>proceedings-article</x:v>
      </x:c>
      <x:c r="F113" s="5" t="str">
        <x:v>S07</x:v>
      </x:c>
      <x:c r="G113" s="5" t="str">
        <x:v>Lower-priority; inspect scope</x:v>
      </x:c>
      <x:c r="H113" s="5" t="str">
        <x:v>Not assigned</x:v>
      </x:c>
      <x:c r="I113" s="5" t="str">
        <x:v>Not started</x:v>
      </x:c>
      <x:c r="J113" s="5" t="str">
        <x:v>Not assigned</x:v>
      </x:c>
      <x:c r="K113" s="5" t="str">
        <x:v>Not started</x:v>
      </x:c>
      <x:c r="L113" s="5" t="str">
        <x:v>Pending</x:v>
      </x:c>
      <x:c r="M113" s="5" t="str"/>
      <x:c r="N113" s="5" t="str">
        <x:v>Not started</x:v>
      </x:c>
      <x:c r="O113" s="5" t="str">
        <x:v>Not started</x:v>
      </x:c>
      <x:c r="P113" s="5" t="str">
        <x:v>Not started</x:v>
      </x:c>
      <x:c r="Q113" s="5" t="str">
        <x:v>Not started</x:v>
      </x:c>
      <x:c r="R113" s="5" t="str">
        <x:v>Pending</x:v>
      </x:c>
      <x:c r="S113" s="5" t="str"/>
      <x:c r="T113" s="5" t="str"/>
      <x:c r="U113" s="5" t="str"/>
      <x:c r="V113" s="5" t="str"/>
      <x:c r="W113" s="5" t="str">
        <x:v>Not linked</x:v>
      </x:c>
      <x:c r="X113" s="5" t="str">
        <x:v>Pending</x:v>
      </x:c>
      <x:c r="Y113" s="5" t="str">
        <x:f>IF(AND(L113="Pending",R113="Pending"),"Pending screening",IF(H113="Not assigned","Assign reviewer",IF(AND(L113="Exclude",M113=""),"Missing TA exclusion reason",IF(AND(R113="Exclude",S113=""),"Missing FT exclusion reason","Decision recorded"))))</x:f>
        <x:v>Pending screening</x:v>
      </x:c>
    </x:row>
    <x:row r="114" ht="40" customHeight="1">
      <x:c r="A114" s="5" t="str">
        <x:v>C0105</x:v>
      </x:c>
      <x:c r="B114" s="5" t="str">
        <x:v>AI Based Security Solutions for Industrial Control Systems and SCADA Networks</x:v>
      </x:c>
      <x:c r="C114" s="5" t="str">
        <x:v>10.71443/9789349552043-16</x:v>
      </x:c>
      <x:c r="D114" s="5" t="str"/>
      <x:c r="E114" s="5" t="str">
        <x:v>book-chapter</x:v>
      </x:c>
      <x:c r="F114" s="5" t="str">
        <x:v>S07</x:v>
      </x:c>
      <x:c r="G114" s="5" t="str">
        <x:v>Lower-priority; inspect scope</x:v>
      </x:c>
      <x:c r="H114" s="5" t="str">
        <x:v>Not assigned</x:v>
      </x:c>
      <x:c r="I114" s="5" t="str">
        <x:v>Not started</x:v>
      </x:c>
      <x:c r="J114" s="5" t="str">
        <x:v>Not assigned</x:v>
      </x:c>
      <x:c r="K114" s="5" t="str">
        <x:v>Not started</x:v>
      </x:c>
      <x:c r="L114" s="5" t="str">
        <x:v>Pending</x:v>
      </x:c>
      <x:c r="M114" s="5" t="str"/>
      <x:c r="N114" s="5" t="str">
        <x:v>Not started</x:v>
      </x:c>
      <x:c r="O114" s="5" t="str">
        <x:v>Not started</x:v>
      </x:c>
      <x:c r="P114" s="5" t="str">
        <x:v>Not started</x:v>
      </x:c>
      <x:c r="Q114" s="5" t="str">
        <x:v>Not started</x:v>
      </x:c>
      <x:c r="R114" s="5" t="str">
        <x:v>Pending</x:v>
      </x:c>
      <x:c r="S114" s="5" t="str"/>
      <x:c r="T114" s="5" t="str"/>
      <x:c r="U114" s="5" t="str"/>
      <x:c r="V114" s="5" t="str"/>
      <x:c r="W114" s="5" t="str">
        <x:v>Not linked</x:v>
      </x:c>
      <x:c r="X114" s="5" t="str">
        <x:v>Pending</x:v>
      </x:c>
      <x:c r="Y114" s="5" t="str">
        <x:f>IF(AND(L114="Pending",R114="Pending"),"Pending screening",IF(H114="Not assigned","Assign reviewer",IF(AND(L114="Exclude",M114=""),"Missing TA exclusion reason",IF(AND(R114="Exclude",S114=""),"Missing FT exclusion reason","Decision recorded"))))</x:f>
        <x:v>Pending screening</x:v>
      </x:c>
    </x:row>
    <x:row r="115" ht="40" customHeight="1">
      <x:c r="A115" s="5" t="str">
        <x:v>C0106</x:v>
      </x:c>
      <x:c r="B115" s="5" t="str">
        <x:v>Automatic Instrumentation of PLC Programs for Anomaly Detection in Industrial Control Systems</x:v>
      </x:c>
      <x:c r="C115" s="5" t="str">
        <x:v>10.1109/icit64854.2026.11491028</x:v>
      </x:c>
      <x:c r="D115" s="5" t="str"/>
      <x:c r="E115" s="5" t="str">
        <x:v>proceedings-article</x:v>
      </x:c>
      <x:c r="F115" s="5" t="str">
        <x:v>S07</x:v>
      </x:c>
      <x:c r="G115" s="5" t="str">
        <x:v>Title-scope candidate</x:v>
      </x:c>
      <x:c r="H115" s="5" t="str">
        <x:v>Not assigned</x:v>
      </x:c>
      <x:c r="I115" s="5" t="str">
        <x:v>Not started</x:v>
      </x:c>
      <x:c r="J115" s="5" t="str">
        <x:v>Not assigned</x:v>
      </x:c>
      <x:c r="K115" s="5" t="str">
        <x:v>Not started</x:v>
      </x:c>
      <x:c r="L115" s="5" t="str">
        <x:v>Pending</x:v>
      </x:c>
      <x:c r="M115" s="5" t="str"/>
      <x:c r="N115" s="5" t="str">
        <x:v>Not started</x:v>
      </x:c>
      <x:c r="O115" s="5" t="str">
        <x:v>Not started</x:v>
      </x:c>
      <x:c r="P115" s="5" t="str">
        <x:v>Not started</x:v>
      </x:c>
      <x:c r="Q115" s="5" t="str">
        <x:v>Not started</x:v>
      </x:c>
      <x:c r="R115" s="5" t="str">
        <x:v>Pending</x:v>
      </x:c>
      <x:c r="S115" s="5" t="str"/>
      <x:c r="T115" s="5" t="str"/>
      <x:c r="U115" s="5" t="str"/>
      <x:c r="V115" s="5" t="str"/>
      <x:c r="W115" s="5" t="str">
        <x:v>Not linked</x:v>
      </x:c>
      <x:c r="X115" s="5" t="str">
        <x:v>Pending</x:v>
      </x:c>
      <x:c r="Y115" s="5" t="str">
        <x:f>IF(AND(L115="Pending",R115="Pending"),"Pending screening",IF(H115="Not assigned","Assign reviewer",IF(AND(L115="Exclude",M115=""),"Missing TA exclusion reason",IF(AND(R115="Exclude",S115=""),"Missing FT exclusion reason","Decision recorded"))))</x:f>
        <x:v>Pending screening</x:v>
      </x:c>
    </x:row>
    <x:row r="116" ht="40" customHeight="1">
      <x:c r="A116" s="5" t="str">
        <x:v>C0107</x:v>
      </x:c>
      <x:c r="B116" s="5" t="str">
        <x:v>Dynamic Data Abstraction-Based Anomaly Detection for Industrial Control Systems</x:v>
      </x:c>
      <x:c r="C116" s="5" t="str">
        <x:v>10.3390/electronics13010158</x:v>
      </x:c>
      <x:c r="D116" s="5" t="str"/>
      <x:c r="E116" s="5" t="str">
        <x:v>journal-article</x:v>
      </x:c>
      <x:c r="F116" s="5" t="str">
        <x:v>S07</x:v>
      </x:c>
      <x:c r="G116" s="5" t="str">
        <x:v>Title-scope candidate</x:v>
      </x:c>
      <x:c r="H116" s="5" t="str">
        <x:v>Not assigned</x:v>
      </x:c>
      <x:c r="I116" s="5" t="str">
        <x:v>Not started</x:v>
      </x:c>
      <x:c r="J116" s="5" t="str">
        <x:v>Not assigned</x:v>
      </x:c>
      <x:c r="K116" s="5" t="str">
        <x:v>Not started</x:v>
      </x:c>
      <x:c r="L116" s="5" t="str">
        <x:v>Pending</x:v>
      </x:c>
      <x:c r="M116" s="5" t="str"/>
      <x:c r="N116" s="5" t="str">
        <x:v>Not started</x:v>
      </x:c>
      <x:c r="O116" s="5" t="str">
        <x:v>Not started</x:v>
      </x:c>
      <x:c r="P116" s="5" t="str">
        <x:v>Not started</x:v>
      </x:c>
      <x:c r="Q116" s="5" t="str">
        <x:v>Not started</x:v>
      </x:c>
      <x:c r="R116" s="5" t="str">
        <x:v>Pending</x:v>
      </x:c>
      <x:c r="S116" s="5" t="str"/>
      <x:c r="T116" s="5" t="str"/>
      <x:c r="U116" s="5" t="str"/>
      <x:c r="V116" s="5" t="str"/>
      <x:c r="W116" s="5" t="str">
        <x:v>Not linked</x:v>
      </x:c>
      <x:c r="X116" s="5" t="str">
        <x:v>Pending</x:v>
      </x:c>
      <x:c r="Y116" s="5" t="str">
        <x:f>IF(AND(L116="Pending",R116="Pending"),"Pending screening",IF(H116="Not assigned","Assign reviewer",IF(AND(L116="Exclude",M116=""),"Missing TA exclusion reason",IF(AND(R116="Exclude",S116=""),"Missing FT exclusion reason","Decision recorded"))))</x:f>
        <x:v>Pending screening</x:v>
      </x:c>
    </x:row>
    <x:row r="117" ht="40" customHeight="1">
      <x:c r="A117" s="5" t="str">
        <x:v>C0108</x:v>
      </x:c>
      <x:c r="B117" s="5" t="str">
        <x:v>Conformal machine learning for reliable anomaly detection in industrial cyber-physical systems</x:v>
      </x:c>
      <x:c r="C117" s="5" t="str">
        <x:v>10.1016/j.ress.2026.112417</x:v>
      </x:c>
      <x:c r="D117" s="5" t="str"/>
      <x:c r="E117" s="5" t="str">
        <x:v>journal-article</x:v>
      </x:c>
      <x:c r="F117" s="5" t="str">
        <x:v>S07</x:v>
      </x:c>
      <x:c r="G117" s="5" t="str">
        <x:v>Title-scope candidate</x:v>
      </x:c>
      <x:c r="H117" s="5" t="str">
        <x:v>Not assigned</x:v>
      </x:c>
      <x:c r="I117" s="5" t="str">
        <x:v>Not started</x:v>
      </x:c>
      <x:c r="J117" s="5" t="str">
        <x:v>Not assigned</x:v>
      </x:c>
      <x:c r="K117" s="5" t="str">
        <x:v>Not started</x:v>
      </x:c>
      <x:c r="L117" s="5" t="str">
        <x:v>Pending</x:v>
      </x:c>
      <x:c r="M117" s="5" t="str"/>
      <x:c r="N117" s="5" t="str">
        <x:v>Not started</x:v>
      </x:c>
      <x:c r="O117" s="5" t="str">
        <x:v>Not started</x:v>
      </x:c>
      <x:c r="P117" s="5" t="str">
        <x:v>Not started</x:v>
      </x:c>
      <x:c r="Q117" s="5" t="str">
        <x:v>Not started</x:v>
      </x:c>
      <x:c r="R117" s="5" t="str">
        <x:v>Pending</x:v>
      </x:c>
      <x:c r="S117" s="5" t="str"/>
      <x:c r="T117" s="5" t="str"/>
      <x:c r="U117" s="5" t="str"/>
      <x:c r="V117" s="5" t="str"/>
      <x:c r="W117" s="5" t="str">
        <x:v>Not linked</x:v>
      </x:c>
      <x:c r="X117" s="5" t="str">
        <x:v>Pending</x:v>
      </x:c>
      <x:c r="Y117" s="5" t="str">
        <x:f>IF(AND(L117="Pending",R117="Pending"),"Pending screening",IF(H117="Not assigned","Assign reviewer",IF(AND(L117="Exclude",M117=""),"Missing TA exclusion reason",IF(AND(R117="Exclude",S117=""),"Missing FT exclusion reason","Decision recorded"))))</x:f>
        <x:v>Pending screening</x:v>
      </x:c>
    </x:row>
    <x:row r="118" ht="40" customHeight="1">
      <x:c r="A118" s="5" t="str">
        <x:v>C0109</x:v>
      </x:c>
      <x:c r="B118" s="5" t="str">
        <x:v>Intelligent Anomaly Detection System for Industrial Control Systems</x:v>
      </x:c>
      <x:c r="C118" s="5" t="str">
        <x:v>10.1109/vcc63113.2024.10914427</x:v>
      </x:c>
      <x:c r="D118" s="5" t="str"/>
      <x:c r="E118" s="5" t="str">
        <x:v>proceedings-article</x:v>
      </x:c>
      <x:c r="F118" s="5" t="str">
        <x:v>S07</x:v>
      </x:c>
      <x:c r="G118" s="5" t="str">
        <x:v>Title-scope candidate</x:v>
      </x:c>
      <x:c r="H118" s="5" t="str">
        <x:v>Not assigned</x:v>
      </x:c>
      <x:c r="I118" s="5" t="str">
        <x:v>Not started</x:v>
      </x:c>
      <x:c r="J118" s="5" t="str">
        <x:v>Not assigned</x:v>
      </x:c>
      <x:c r="K118" s="5" t="str">
        <x:v>Not started</x:v>
      </x:c>
      <x:c r="L118" s="5" t="str">
        <x:v>Pending</x:v>
      </x:c>
      <x:c r="M118" s="5" t="str"/>
      <x:c r="N118" s="5" t="str">
        <x:v>Not started</x:v>
      </x:c>
      <x:c r="O118" s="5" t="str">
        <x:v>Not started</x:v>
      </x:c>
      <x:c r="P118" s="5" t="str">
        <x:v>Not started</x:v>
      </x:c>
      <x:c r="Q118" s="5" t="str">
        <x:v>Not started</x:v>
      </x:c>
      <x:c r="R118" s="5" t="str">
        <x:v>Pending</x:v>
      </x:c>
      <x:c r="S118" s="5" t="str"/>
      <x:c r="T118" s="5" t="str"/>
      <x:c r="U118" s="5" t="str"/>
      <x:c r="V118" s="5" t="str"/>
      <x:c r="W118" s="5" t="str">
        <x:v>Not linked</x:v>
      </x:c>
      <x:c r="X118" s="5" t="str">
        <x:v>Pending</x:v>
      </x:c>
      <x:c r="Y118" s="5" t="str">
        <x:f>IF(AND(L118="Pending",R118="Pending"),"Pending screening",IF(H118="Not assigned","Assign reviewer",IF(AND(L118="Exclude",M118=""),"Missing TA exclusion reason",IF(AND(R118="Exclude",S118=""),"Missing FT exclusion reason","Decision recorded"))))</x:f>
        <x:v>Pending screening</x:v>
      </x:c>
    </x:row>
    <x:row r="119" ht="40" customHeight="1">
      <x:c r="A119" s="5" t="str">
        <x:v>C0110</x:v>
      </x:c>
      <x:c r="B119" s="5" t="str">
        <x:v>A Decoupled Spatio-Temporal Autoencoder for Anomaly Detection in Industrial Control Systems</x:v>
      </x:c>
      <x:c r="C119" s="5" t="str">
        <x:v>10.2139/ssrn.5367630</x:v>
      </x:c>
      <x:c r="D119" s="5" t="str"/>
      <x:c r="E119" s="5" t="str">
        <x:v>posted-content</x:v>
      </x:c>
      <x:c r="F119" s="5" t="str">
        <x:v>S07</x:v>
      </x:c>
      <x:c r="G119" s="5" t="str">
        <x:v>Title-scope candidate</x:v>
      </x:c>
      <x:c r="H119" s="5" t="str">
        <x:v>Not assigned</x:v>
      </x:c>
      <x:c r="I119" s="5" t="str">
        <x:v>Not started</x:v>
      </x:c>
      <x:c r="J119" s="5" t="str">
        <x:v>Not assigned</x:v>
      </x:c>
      <x:c r="K119" s="5" t="str">
        <x:v>Not started</x:v>
      </x:c>
      <x:c r="L119" s="5" t="str">
        <x:v>Pending</x:v>
      </x:c>
      <x:c r="M119" s="5" t="str"/>
      <x:c r="N119" s="5" t="str">
        <x:v>Not started</x:v>
      </x:c>
      <x:c r="O119" s="5" t="str">
        <x:v>Not started</x:v>
      </x:c>
      <x:c r="P119" s="5" t="str">
        <x:v>Not started</x:v>
      </x:c>
      <x:c r="Q119" s="5" t="str">
        <x:v>Not started</x:v>
      </x:c>
      <x:c r="R119" s="5" t="str">
        <x:v>Pending</x:v>
      </x:c>
      <x:c r="S119" s="5" t="str"/>
      <x:c r="T119" s="5" t="str"/>
      <x:c r="U119" s="5" t="str"/>
      <x:c r="V119" s="5" t="str"/>
      <x:c r="W119" s="5" t="str">
        <x:v>Not linked</x:v>
      </x:c>
      <x:c r="X119" s="5" t="str">
        <x:v>Pending</x:v>
      </x:c>
      <x:c r="Y119" s="5" t="str">
        <x:f>IF(AND(L119="Pending",R119="Pending"),"Pending screening",IF(H119="Not assigned","Assign reviewer",IF(AND(L119="Exclude",M119=""),"Missing TA exclusion reason",IF(AND(R119="Exclude",S119=""),"Missing FT exclusion reason","Decision recorded"))))</x:f>
        <x:v>Pending screening</x:v>
      </x:c>
    </x:row>
    <x:row r="120" ht="40" customHeight="1">
      <x:c r="A120" s="5" t="str">
        <x:v>C0111</x:v>
      </x:c>
      <x:c r="B120" s="5" t="str">
        <x:v>Anomaly detection using invariant rules in Industrial Control Systems</x:v>
      </x:c>
      <x:c r="C120" s="5" t="str">
        <x:v>10.1016/j.conengprac.2024.106164</x:v>
      </x:c>
      <x:c r="D120" s="5" t="str"/>
      <x:c r="E120" s="5" t="str">
        <x:v>journal-article</x:v>
      </x:c>
      <x:c r="F120" s="5" t="str">
        <x:v>S07</x:v>
      </x:c>
      <x:c r="G120" s="5" t="str">
        <x:v>Title-scope candidate</x:v>
      </x:c>
      <x:c r="H120" s="5" t="str">
        <x:v>Not assigned</x:v>
      </x:c>
      <x:c r="I120" s="5" t="str">
        <x:v>Not started</x:v>
      </x:c>
      <x:c r="J120" s="5" t="str">
        <x:v>Not assigned</x:v>
      </x:c>
      <x:c r="K120" s="5" t="str">
        <x:v>Not started</x:v>
      </x:c>
      <x:c r="L120" s="5" t="str">
        <x:v>Pending</x:v>
      </x:c>
      <x:c r="M120" s="5" t="str"/>
      <x:c r="N120" s="5" t="str">
        <x:v>Not started</x:v>
      </x:c>
      <x:c r="O120" s="5" t="str">
        <x:v>Not started</x:v>
      </x:c>
      <x:c r="P120" s="5" t="str">
        <x:v>Not started</x:v>
      </x:c>
      <x:c r="Q120" s="5" t="str">
        <x:v>Not started</x:v>
      </x:c>
      <x:c r="R120" s="5" t="str">
        <x:v>Pending</x:v>
      </x:c>
      <x:c r="S120" s="5" t="str"/>
      <x:c r="T120" s="5" t="str"/>
      <x:c r="U120" s="5" t="str"/>
      <x:c r="V120" s="5" t="str"/>
      <x:c r="W120" s="5" t="str">
        <x:v>Not linked</x:v>
      </x:c>
      <x:c r="X120" s="5" t="str">
        <x:v>Pending</x:v>
      </x:c>
      <x:c r="Y120" s="5" t="str">
        <x:f>IF(AND(L120="Pending",R120="Pending"),"Pending screening",IF(H120="Not assigned","Assign reviewer",IF(AND(L120="Exclude",M120=""),"Missing TA exclusion reason",IF(AND(R120="Exclude",S120=""),"Missing FT exclusion reason","Decision recorded"))))</x:f>
        <x:v>Pending screening</x:v>
      </x:c>
    </x:row>
    <x:row r="121" ht="53" customHeight="1">
      <x:c r="A121" s="5" t="str">
        <x:v>C0112</x:v>
      </x:c>
      <x:c r="B121" s="5" t="str">
        <x:v>Redundancy-Aware Incremental Learning for Scalable Anomaly Detection in Resource-Constrained Industrial Control Systems</x:v>
      </x:c>
      <x:c r="C121" s="5" t="str">
        <x:v>10.2139/ssrn.6996737</x:v>
      </x:c>
      <x:c r="D121" s="5" t="str"/>
      <x:c r="E121" s="5" t="str">
        <x:v>posted-content</x:v>
      </x:c>
      <x:c r="F121" s="5" t="str">
        <x:v>S07</x:v>
      </x:c>
      <x:c r="G121" s="5" t="str">
        <x:v>Title-scope candidate</x:v>
      </x:c>
      <x:c r="H121" s="5" t="str">
        <x:v>Not assigned</x:v>
      </x:c>
      <x:c r="I121" s="5" t="str">
        <x:v>Not started</x:v>
      </x:c>
      <x:c r="J121" s="5" t="str">
        <x:v>Not assigned</x:v>
      </x:c>
      <x:c r="K121" s="5" t="str">
        <x:v>Not started</x:v>
      </x:c>
      <x:c r="L121" s="5" t="str">
        <x:v>Pending</x:v>
      </x:c>
      <x:c r="M121" s="5" t="str"/>
      <x:c r="N121" s="5" t="str">
        <x:v>Not started</x:v>
      </x:c>
      <x:c r="O121" s="5" t="str">
        <x:v>Not started</x:v>
      </x:c>
      <x:c r="P121" s="5" t="str">
        <x:v>Not started</x:v>
      </x:c>
      <x:c r="Q121" s="5" t="str">
        <x:v>Not started</x:v>
      </x:c>
      <x:c r="R121" s="5" t="str">
        <x:v>Pending</x:v>
      </x:c>
      <x:c r="S121" s="5" t="str"/>
      <x:c r="T121" s="5" t="str"/>
      <x:c r="U121" s="5" t="str"/>
      <x:c r="V121" s="5" t="str"/>
      <x:c r="W121" s="5" t="str">
        <x:v>Not linked</x:v>
      </x:c>
      <x:c r="X121" s="5" t="str">
        <x:v>Pending</x:v>
      </x:c>
      <x:c r="Y121" s="5" t="str">
        <x:f>IF(AND(L121="Pending",R121="Pending"),"Pending screening",IF(H121="Not assigned","Assign reviewer",IF(AND(L121="Exclude",M121=""),"Missing TA exclusion reason",IF(AND(R121="Exclude",S121=""),"Missing FT exclusion reason","Decision recorded"))))</x:f>
        <x:v>Pending screening</x:v>
      </x:c>
    </x:row>
    <x:row r="122" ht="40" customHeight="1">
      <x:c r="A122" s="5" t="str">
        <x:v>C0113</x:v>
      </x:c>
      <x:c r="B122" s="5" t="str">
        <x:v>A conformal anomaly detection based industrial fleet monitoring framework: A case study in district heating</x:v>
      </x:c>
      <x:c r="C122" s="5" t="str">
        <x:v>10.1016/j.eswa.2022.116864</x:v>
      </x:c>
      <x:c r="D122" s="5" t="str"/>
      <x:c r="E122" s="5" t="str">
        <x:v>journal-article</x:v>
      </x:c>
      <x:c r="F122" s="5" t="str">
        <x:v>S07</x:v>
      </x:c>
      <x:c r="G122" s="5" t="str">
        <x:v>Title-scope candidate</x:v>
      </x:c>
      <x:c r="H122" s="5" t="str">
        <x:v>Not assigned</x:v>
      </x:c>
      <x:c r="I122" s="5" t="str">
        <x:v>Not started</x:v>
      </x:c>
      <x:c r="J122" s="5" t="str">
        <x:v>Not assigned</x:v>
      </x:c>
      <x:c r="K122" s="5" t="str">
        <x:v>Not started</x:v>
      </x:c>
      <x:c r="L122" s="5" t="str">
        <x:v>Pending</x:v>
      </x:c>
      <x:c r="M122" s="5" t="str"/>
      <x:c r="N122" s="5" t="str">
        <x:v>Not started</x:v>
      </x:c>
      <x:c r="O122" s="5" t="str">
        <x:v>Not started</x:v>
      </x:c>
      <x:c r="P122" s="5" t="str">
        <x:v>Not started</x:v>
      </x:c>
      <x:c r="Q122" s="5" t="str">
        <x:v>Not started</x:v>
      </x:c>
      <x:c r="R122" s="5" t="str">
        <x:v>Pending</x:v>
      </x:c>
      <x:c r="S122" s="5" t="str"/>
      <x:c r="T122" s="5" t="str"/>
      <x:c r="U122" s="5" t="str"/>
      <x:c r="V122" s="5" t="str"/>
      <x:c r="W122" s="5" t="str">
        <x:v>Not linked</x:v>
      </x:c>
      <x:c r="X122" s="5" t="str">
        <x:v>Pending</x:v>
      </x:c>
      <x:c r="Y122" s="5" t="str">
        <x:f>IF(AND(L122="Pending",R122="Pending"),"Pending screening",IF(H122="Not assigned","Assign reviewer",IF(AND(L122="Exclude",M122=""),"Missing TA exclusion reason",IF(AND(R122="Exclude",S122=""),"Missing FT exclusion reason","Decision recorded"))))</x:f>
        <x:v>Pending screening</x:v>
      </x:c>
    </x:row>
    <x:row r="123" ht="40" customHeight="1">
      <x:c r="A123" s="5" t="str">
        <x:v>C0114</x:v>
      </x:c>
      <x:c r="B123" s="5" t="str">
        <x:v>Deep Learning-Based Anomaly Detection for Time-Series Data in Industrial Control Systems</x:v>
      </x:c>
      <x:c r="C123" s="5" t="str">
        <x:v>10.23919/ccc58697.2023.10241095</x:v>
      </x:c>
      <x:c r="D123" s="5" t="str"/>
      <x:c r="E123" s="5" t="str">
        <x:v>proceedings-article</x:v>
      </x:c>
      <x:c r="F123" s="5" t="str">
        <x:v>S07</x:v>
      </x:c>
      <x:c r="G123" s="5" t="str">
        <x:v>Title-scope candidate</x:v>
      </x:c>
      <x:c r="H123" s="5" t="str">
        <x:v>Not assigned</x:v>
      </x:c>
      <x:c r="I123" s="5" t="str">
        <x:v>Not started</x:v>
      </x:c>
      <x:c r="J123" s="5" t="str">
        <x:v>Not assigned</x:v>
      </x:c>
      <x:c r="K123" s="5" t="str">
        <x:v>Not started</x:v>
      </x:c>
      <x:c r="L123" s="5" t="str">
        <x:v>Pending</x:v>
      </x:c>
      <x:c r="M123" s="5" t="str"/>
      <x:c r="N123" s="5" t="str">
        <x:v>Not started</x:v>
      </x:c>
      <x:c r="O123" s="5" t="str">
        <x:v>Not started</x:v>
      </x:c>
      <x:c r="P123" s="5" t="str">
        <x:v>Not started</x:v>
      </x:c>
      <x:c r="Q123" s="5" t="str">
        <x:v>Not started</x:v>
      </x:c>
      <x:c r="R123" s="5" t="str">
        <x:v>Pending</x:v>
      </x:c>
      <x:c r="S123" s="5" t="str"/>
      <x:c r="T123" s="5" t="str"/>
      <x:c r="U123" s="5" t="str"/>
      <x:c r="V123" s="5" t="str"/>
      <x:c r="W123" s="5" t="str">
        <x:v>Not linked</x:v>
      </x:c>
      <x:c r="X123" s="5" t="str">
        <x:v>Pending</x:v>
      </x:c>
      <x:c r="Y123" s="5" t="str">
        <x:f>IF(AND(L123="Pending",R123="Pending"),"Pending screening",IF(H123="Not assigned","Assign reviewer",IF(AND(L123="Exclude",M123=""),"Missing TA exclusion reason",IF(AND(R123="Exclude",S123=""),"Missing FT exclusion reason","Decision recorded"))))</x:f>
        <x:v>Pending screening</x:v>
      </x:c>
    </x:row>
    <x:row r="124" ht="40" customHeight="1">
      <x:c r="A124" s="5" t="str">
        <x:v>C0115</x:v>
      </x:c>
      <x:c r="B124" s="5" t="str">
        <x:v>Adaptive Aggregation for Distributed Industrial Control Systems Anomaly Detection</x:v>
      </x:c>
      <x:c r="C124" s="5" t="str">
        <x:v>10.1109/redundancy68069.2025.11301475</x:v>
      </x:c>
      <x:c r="D124" s="5" t="str"/>
      <x:c r="E124" s="5" t="str">
        <x:v>proceedings-article</x:v>
      </x:c>
      <x:c r="F124" s="5" t="str">
        <x:v>S07</x:v>
      </x:c>
      <x:c r="G124" s="5" t="str">
        <x:v>Title-scope candidate</x:v>
      </x:c>
      <x:c r="H124" s="5" t="str">
        <x:v>Not assigned</x:v>
      </x:c>
      <x:c r="I124" s="5" t="str">
        <x:v>Not started</x:v>
      </x:c>
      <x:c r="J124" s="5" t="str">
        <x:v>Not assigned</x:v>
      </x:c>
      <x:c r="K124" s="5" t="str">
        <x:v>Not started</x:v>
      </x:c>
      <x:c r="L124" s="5" t="str">
        <x:v>Pending</x:v>
      </x:c>
      <x:c r="M124" s="5" t="str"/>
      <x:c r="N124" s="5" t="str">
        <x:v>Not started</x:v>
      </x:c>
      <x:c r="O124" s="5" t="str">
        <x:v>Not started</x:v>
      </x:c>
      <x:c r="P124" s="5" t="str">
        <x:v>Not started</x:v>
      </x:c>
      <x:c r="Q124" s="5" t="str">
        <x:v>Not started</x:v>
      </x:c>
      <x:c r="R124" s="5" t="str">
        <x:v>Pending</x:v>
      </x:c>
      <x:c r="S124" s="5" t="str"/>
      <x:c r="T124" s="5" t="str"/>
      <x:c r="U124" s="5" t="str"/>
      <x:c r="V124" s="5" t="str"/>
      <x:c r="W124" s="5" t="str">
        <x:v>Not linked</x:v>
      </x:c>
      <x:c r="X124" s="5" t="str">
        <x:v>Pending</x:v>
      </x:c>
      <x:c r="Y124" s="5" t="str">
        <x:f>IF(AND(L124="Pending",R124="Pending"),"Pending screening",IF(H124="Not assigned","Assign reviewer",IF(AND(L124="Exclude",M124=""),"Missing TA exclusion reason",IF(AND(R124="Exclude",S124=""),"Missing FT exclusion reason","Decision recorded"))))</x:f>
        <x:v>Pending screening</x:v>
      </x:c>
    </x:row>
    <x:row r="125" ht="40" customHeight="1">
      <x:c r="A125" s="5" t="str">
        <x:v>C0116</x:v>
      </x:c>
      <x:c r="B125" s="5" t="str">
        <x:v>Multiprototype representation and controllable anomaly generation for industrial anomaly detection</x:v>
      </x:c>
      <x:c r="C125" s="5" t="str">
        <x:v>10.1117/12.3122767</x:v>
      </x:c>
      <x:c r="D125" s="5" t="str"/>
      <x:c r="E125" s="5" t="str">
        <x:v>proceedings-article</x:v>
      </x:c>
      <x:c r="F125" s="5" t="str">
        <x:v>S07</x:v>
      </x:c>
      <x:c r="G125" s="5" t="str">
        <x:v>Title-scope candidate</x:v>
      </x:c>
      <x:c r="H125" s="5" t="str">
        <x:v>Not assigned</x:v>
      </x:c>
      <x:c r="I125" s="5" t="str">
        <x:v>Not started</x:v>
      </x:c>
      <x:c r="J125" s="5" t="str">
        <x:v>Not assigned</x:v>
      </x:c>
      <x:c r="K125" s="5" t="str">
        <x:v>Not started</x:v>
      </x:c>
      <x:c r="L125" s="5" t="str">
        <x:v>Pending</x:v>
      </x:c>
      <x:c r="M125" s="5" t="str"/>
      <x:c r="N125" s="5" t="str">
        <x:v>Not started</x:v>
      </x:c>
      <x:c r="O125" s="5" t="str">
        <x:v>Not started</x:v>
      </x:c>
      <x:c r="P125" s="5" t="str">
        <x:v>Not started</x:v>
      </x:c>
      <x:c r="Q125" s="5" t="str">
        <x:v>Not started</x:v>
      </x:c>
      <x:c r="R125" s="5" t="str">
        <x:v>Pending</x:v>
      </x:c>
      <x:c r="S125" s="5" t="str"/>
      <x:c r="T125" s="5" t="str"/>
      <x:c r="U125" s="5" t="str"/>
      <x:c r="V125" s="5" t="str"/>
      <x:c r="W125" s="5" t="str">
        <x:v>Not linked</x:v>
      </x:c>
      <x:c r="X125" s="5" t="str">
        <x:v>Pending</x:v>
      </x:c>
      <x:c r="Y125" s="5" t="str">
        <x:f>IF(AND(L125="Pending",R125="Pending"),"Pending screening",IF(H125="Not assigned","Assign reviewer",IF(AND(L125="Exclude",M125=""),"Missing TA exclusion reason",IF(AND(R125="Exclude",S125=""),"Missing FT exclusion reason","Decision recorded"))))</x:f>
        <x:v>Pending screening</x:v>
      </x:c>
    </x:row>
    <x:row r="126" ht="40" customHeight="1">
      <x:c r="A126" s="5" t="str">
        <x:v>C0117</x:v>
      </x:c>
      <x:c r="B126" s="5" t="str">
        <x:v>Corrosion detection with computer vision and deep learning</x:v>
      </x:c>
      <x:c r="C126" s="5" t="str">
        <x:v>10.1201/9781003230373-34</x:v>
      </x:c>
      <x:c r="D126" s="5" t="str"/>
      <x:c r="E126" s="5" t="str">
        <x:v>book-chapter</x:v>
      </x:c>
      <x:c r="F126" s="5" t="str">
        <x:v>S08</x:v>
      </x:c>
      <x:c r="G126" s="5" t="str">
        <x:v>Title-scope candidate</x:v>
      </x:c>
      <x:c r="H126" s="5" t="str">
        <x:v>Not assigned</x:v>
      </x:c>
      <x:c r="I126" s="5" t="str">
        <x:v>Not started</x:v>
      </x:c>
      <x:c r="J126" s="5" t="str">
        <x:v>Not assigned</x:v>
      </x:c>
      <x:c r="K126" s="5" t="str">
        <x:v>Not started</x:v>
      </x:c>
      <x:c r="L126" s="5" t="str">
        <x:v>Pending</x:v>
      </x:c>
      <x:c r="M126" s="5" t="str"/>
      <x:c r="N126" s="5" t="str">
        <x:v>Not started</x:v>
      </x:c>
      <x:c r="O126" s="5" t="str">
        <x:v>Not started</x:v>
      </x:c>
      <x:c r="P126" s="5" t="str">
        <x:v>Not started</x:v>
      </x:c>
      <x:c r="Q126" s="5" t="str">
        <x:v>Not started</x:v>
      </x:c>
      <x:c r="R126" s="5" t="str">
        <x:v>Pending</x:v>
      </x:c>
      <x:c r="S126" s="5" t="str"/>
      <x:c r="T126" s="5" t="str"/>
      <x:c r="U126" s="5" t="str"/>
      <x:c r="V126" s="5" t="str"/>
      <x:c r="W126" s="5" t="str">
        <x:v>Not linked</x:v>
      </x:c>
      <x:c r="X126" s="5" t="str">
        <x:v>Pending</x:v>
      </x:c>
      <x:c r="Y126" s="5" t="str">
        <x:f>IF(AND(L126="Pending",R126="Pending"),"Pending screening",IF(H126="Not assigned","Assign reviewer",IF(AND(L126="Exclude",M126=""),"Missing TA exclusion reason",IF(AND(R126="Exclude",S126=""),"Missing FT exclusion reason","Decision recorded"))))</x:f>
        <x:v>Pending screening</x:v>
      </x:c>
    </x:row>
    <x:row r="127" ht="40" customHeight="1">
      <x:c r="A127" s="5" t="str">
        <x:v>C0118</x:v>
      </x:c>
      <x:c r="B127" s="5" t="str">
        <x:v>Corrosion Detection Using A.I : A Comparison of Standard Computer Vision Techniques and Deep Learning Model</x:v>
      </x:c>
      <x:c r="C127" s="5" t="str">
        <x:v>10.5121/csit.2016.60608</x:v>
      </x:c>
      <x:c r="D127" s="5" t="str"/>
      <x:c r="E127" s="5" t="str">
        <x:v>proceedings-article</x:v>
      </x:c>
      <x:c r="F127" s="5" t="str">
        <x:v>S08</x:v>
      </x:c>
      <x:c r="G127" s="5" t="str">
        <x:v>Title-scope candidate</x:v>
      </x:c>
      <x:c r="H127" s="5" t="str">
        <x:v>Not assigned</x:v>
      </x:c>
      <x:c r="I127" s="5" t="str">
        <x:v>Not started</x:v>
      </x:c>
      <x:c r="J127" s="5" t="str">
        <x:v>Not assigned</x:v>
      </x:c>
      <x:c r="K127" s="5" t="str">
        <x:v>Not started</x:v>
      </x:c>
      <x:c r="L127" s="5" t="str">
        <x:v>Pending</x:v>
      </x:c>
      <x:c r="M127" s="5" t="str"/>
      <x:c r="N127" s="5" t="str">
        <x:v>Not started</x:v>
      </x:c>
      <x:c r="O127" s="5" t="str">
        <x:v>Not started</x:v>
      </x:c>
      <x:c r="P127" s="5" t="str">
        <x:v>Not started</x:v>
      </x:c>
      <x:c r="Q127" s="5" t="str">
        <x:v>Not started</x:v>
      </x:c>
      <x:c r="R127" s="5" t="str">
        <x:v>Pending</x:v>
      </x:c>
      <x:c r="S127" s="5" t="str"/>
      <x:c r="T127" s="5" t="str"/>
      <x:c r="U127" s="5" t="str"/>
      <x:c r="V127" s="5" t="str"/>
      <x:c r="W127" s="5" t="str">
        <x:v>Not linked</x:v>
      </x:c>
      <x:c r="X127" s="5" t="str">
        <x:v>Pending</x:v>
      </x:c>
      <x:c r="Y127" s="5" t="str">
        <x:f>IF(AND(L127="Pending",R127="Pending"),"Pending screening",IF(H127="Not assigned","Assign reviewer",IF(AND(L127="Exclude",M127=""),"Missing TA exclusion reason",IF(AND(R127="Exclude",S127=""),"Missing FT exclusion reason","Decision recorded"))))</x:f>
        <x:v>Pending screening</x:v>
      </x:c>
    </x:row>
    <x:row r="128" ht="40" customHeight="1">
      <x:c r="A128" s="5" t="str">
        <x:v>C0119</x:v>
      </x:c>
      <x:c r="B128" s="5" t="str">
        <x:v>Deep Learning-Based Road Damage Detection and Classification Using Computer Vision</x:v>
      </x:c>
      <x:c r="C128" s="5" t="str">
        <x:v>10.51903/bxvt9389</x:v>
      </x:c>
      <x:c r="D128" s="5" t="str"/>
      <x:c r="E128" s="5" t="str">
        <x:v>journal-article</x:v>
      </x:c>
      <x:c r="F128" s="5" t="str">
        <x:v>S08</x:v>
      </x:c>
      <x:c r="G128" s="5" t="str">
        <x:v>Lower-priority; inspect scope</x:v>
      </x:c>
      <x:c r="H128" s="5" t="str">
        <x:v>Not assigned</x:v>
      </x:c>
      <x:c r="I128" s="5" t="str">
        <x:v>Not started</x:v>
      </x:c>
      <x:c r="J128" s="5" t="str">
        <x:v>Not assigned</x:v>
      </x:c>
      <x:c r="K128" s="5" t="str">
        <x:v>Not started</x:v>
      </x:c>
      <x:c r="L128" s="5" t="str">
        <x:v>Pending</x:v>
      </x:c>
      <x:c r="M128" s="5" t="str"/>
      <x:c r="N128" s="5" t="str">
        <x:v>Not started</x:v>
      </x:c>
      <x:c r="O128" s="5" t="str">
        <x:v>Not started</x:v>
      </x:c>
      <x:c r="P128" s="5" t="str">
        <x:v>Not started</x:v>
      </x:c>
      <x:c r="Q128" s="5" t="str">
        <x:v>Not started</x:v>
      </x:c>
      <x:c r="R128" s="5" t="str">
        <x:v>Pending</x:v>
      </x:c>
      <x:c r="S128" s="5" t="str"/>
      <x:c r="T128" s="5" t="str"/>
      <x:c r="U128" s="5" t="str"/>
      <x:c r="V128" s="5" t="str"/>
      <x:c r="W128" s="5" t="str">
        <x:v>Not linked</x:v>
      </x:c>
      <x:c r="X128" s="5" t="str">
        <x:v>Pending</x:v>
      </x:c>
      <x:c r="Y128" s="5" t="str">
        <x:f>IF(AND(L128="Pending",R128="Pending"),"Pending screening",IF(H128="Not assigned","Assign reviewer",IF(AND(L128="Exclude",M128=""),"Missing TA exclusion reason",IF(AND(R128="Exclude",S128=""),"Missing FT exclusion reason","Decision recorded"))))</x:f>
        <x:v>Pending screening</x:v>
      </x:c>
    </x:row>
    <x:row r="129" ht="40" customHeight="1">
      <x:c r="A129" s="5" t="str">
        <x:v>C0120</x:v>
      </x:c>
      <x:c r="B129" s="5" t="str">
        <x:v>Automated corrosion detection using deep learning and computer vision</x:v>
      </x:c>
      <x:c r="C129" s="5" t="str">
        <x:v>10.1007/s42107-023-00684-4</x:v>
      </x:c>
      <x:c r="D129" s="5" t="str"/>
      <x:c r="E129" s="5" t="str">
        <x:v>journal-article</x:v>
      </x:c>
      <x:c r="F129" s="5" t="str">
        <x:v>S08</x:v>
      </x:c>
      <x:c r="G129" s="5" t="str">
        <x:v>Title-scope candidate</x:v>
      </x:c>
      <x:c r="H129" s="5" t="str">
        <x:v>Not assigned</x:v>
      </x:c>
      <x:c r="I129" s="5" t="str">
        <x:v>Not started</x:v>
      </x:c>
      <x:c r="J129" s="5" t="str">
        <x:v>Not assigned</x:v>
      </x:c>
      <x:c r="K129" s="5" t="str">
        <x:v>Not started</x:v>
      </x:c>
      <x:c r="L129" s="5" t="str">
        <x:v>Pending</x:v>
      </x:c>
      <x:c r="M129" s="5" t="str"/>
      <x:c r="N129" s="5" t="str">
        <x:v>Not started</x:v>
      </x:c>
      <x:c r="O129" s="5" t="str">
        <x:v>Not started</x:v>
      </x:c>
      <x:c r="P129" s="5" t="str">
        <x:v>Not started</x:v>
      </x:c>
      <x:c r="Q129" s="5" t="str">
        <x:v>Not started</x:v>
      </x:c>
      <x:c r="R129" s="5" t="str">
        <x:v>Pending</x:v>
      </x:c>
      <x:c r="S129" s="5" t="str"/>
      <x:c r="T129" s="5" t="str"/>
      <x:c r="U129" s="5" t="str"/>
      <x:c r="V129" s="5" t="str"/>
      <x:c r="W129" s="5" t="str">
        <x:v>Not linked</x:v>
      </x:c>
      <x:c r="X129" s="5" t="str">
        <x:v>Pending</x:v>
      </x:c>
      <x:c r="Y129" s="5" t="str">
        <x:f>IF(AND(L129="Pending",R129="Pending"),"Pending screening",IF(H129="Not assigned","Assign reviewer",IF(AND(L129="Exclude",M129=""),"Missing TA exclusion reason",IF(AND(R129="Exclude",S129=""),"Missing FT exclusion reason","Decision recorded"))))</x:f>
        <x:v>Pending screening</x:v>
      </x:c>
    </x:row>
    <x:row r="130" ht="40" customHeight="1">
      <x:c r="A130" s="5" t="str">
        <x:v>C0121</x:v>
      </x:c>
      <x:c r="B130" s="5" t="str">
        <x:v>Object Detection Using Deep Learning</x:v>
      </x:c>
      <x:c r="C130" s="5" t="str">
        <x:v>10.1007/978-1-4842-6616-8_5</x:v>
      </x:c>
      <x:c r="D130" s="5" t="str"/>
      <x:c r="E130" s="5" t="str">
        <x:v>book-chapter</x:v>
      </x:c>
      <x:c r="F130" s="5" t="str">
        <x:v>S08</x:v>
      </x:c>
      <x:c r="G130" s="5" t="str">
        <x:v>Lower-priority; inspect scope</x:v>
      </x:c>
      <x:c r="H130" s="5" t="str">
        <x:v>Not assigned</x:v>
      </x:c>
      <x:c r="I130" s="5" t="str">
        <x:v>Not started</x:v>
      </x:c>
      <x:c r="J130" s="5" t="str">
        <x:v>Not assigned</x:v>
      </x:c>
      <x:c r="K130" s="5" t="str">
        <x:v>Not started</x:v>
      </x:c>
      <x:c r="L130" s="5" t="str">
        <x:v>Pending</x:v>
      </x:c>
      <x:c r="M130" s="5" t="str"/>
      <x:c r="N130" s="5" t="str">
        <x:v>Not started</x:v>
      </x:c>
      <x:c r="O130" s="5" t="str">
        <x:v>Not started</x:v>
      </x:c>
      <x:c r="P130" s="5" t="str">
        <x:v>Not started</x:v>
      </x:c>
      <x:c r="Q130" s="5" t="str">
        <x:v>Not started</x:v>
      </x:c>
      <x:c r="R130" s="5" t="str">
        <x:v>Pending</x:v>
      </x:c>
      <x:c r="S130" s="5" t="str"/>
      <x:c r="T130" s="5" t="str"/>
      <x:c r="U130" s="5" t="str"/>
      <x:c r="V130" s="5" t="str"/>
      <x:c r="W130" s="5" t="str">
        <x:v>Not linked</x:v>
      </x:c>
      <x:c r="X130" s="5" t="str">
        <x:v>Pending</x:v>
      </x:c>
      <x:c r="Y130" s="5" t="str">
        <x:f>IF(AND(L130="Pending",R130="Pending"),"Pending screening",IF(H130="Not assigned","Assign reviewer",IF(AND(L130="Exclude",M130=""),"Missing TA exclusion reason",IF(AND(R130="Exclude",S130=""),"Missing FT exclusion reason","Decision recorded"))))</x:f>
        <x:v>Pending screening</x:v>
      </x:c>
    </x:row>
    <x:row r="131" ht="40" customHeight="1">
      <x:c r="A131" s="5" t="str">
        <x:v>C0122</x:v>
      </x:c>
      <x:c r="B131" s="5" t="str">
        <x:v>Computer Vision, Deep Learning, Deep Reinforcement Learning</x:v>
      </x:c>
      <x:c r="C131" s="5" t="str">
        <x:v>10.14293/s2199-1006.1.sor-uncat.clzwyuz.v1</x:v>
      </x:c>
      <x:c r="D131" s="5" t="str"/>
      <x:c r="E131" s="5" t="str">
        <x:v>database</x:v>
      </x:c>
      <x:c r="F131" s="5" t="str">
        <x:v>S08</x:v>
      </x:c>
      <x:c r="G131" s="5" t="str">
        <x:v>Lower-priority; inspect scope</x:v>
      </x:c>
      <x:c r="H131" s="5" t="str">
        <x:v>Not assigned</x:v>
      </x:c>
      <x:c r="I131" s="5" t="str">
        <x:v>Not started</x:v>
      </x:c>
      <x:c r="J131" s="5" t="str">
        <x:v>Not assigned</x:v>
      </x:c>
      <x:c r="K131" s="5" t="str">
        <x:v>Not started</x:v>
      </x:c>
      <x:c r="L131" s="5" t="str">
        <x:v>Pending</x:v>
      </x:c>
      <x:c r="M131" s="5" t="str"/>
      <x:c r="N131" s="5" t="str">
        <x:v>Not started</x:v>
      </x:c>
      <x:c r="O131" s="5" t="str">
        <x:v>Not started</x:v>
      </x:c>
      <x:c r="P131" s="5" t="str">
        <x:v>Not started</x:v>
      </x:c>
      <x:c r="Q131" s="5" t="str">
        <x:v>Not started</x:v>
      </x:c>
      <x:c r="R131" s="5" t="str">
        <x:v>Pending</x:v>
      </x:c>
      <x:c r="S131" s="5" t="str"/>
      <x:c r="T131" s="5" t="str"/>
      <x:c r="U131" s="5" t="str"/>
      <x:c r="V131" s="5" t="str"/>
      <x:c r="W131" s="5" t="str">
        <x:v>Not linked</x:v>
      </x:c>
      <x:c r="X131" s="5" t="str">
        <x:v>Pending</x:v>
      </x:c>
      <x:c r="Y131" s="5" t="str">
        <x:f>IF(AND(L131="Pending",R131="Pending"),"Pending screening",IF(H131="Not assigned","Assign reviewer",IF(AND(L131="Exclude",M131=""),"Missing TA exclusion reason",IF(AND(R131="Exclude",S131=""),"Missing FT exclusion reason","Decision recorded"))))</x:f>
        <x:v>Pending screening</x:v>
      </x:c>
    </x:row>
    <x:row r="132" ht="40" customHeight="1">
      <x:c r="A132" s="5" t="str">
        <x:v>C0123</x:v>
      </x:c>
      <x:c r="B132" s="5" t="str">
        <x:v>Research Review on Deep Learning Based Target Detection Methods</x:v>
      </x:c>
      <x:c r="C132" s="5" t="str">
        <x:v>10.1109/cvidl70130.2026.11637584</x:v>
      </x:c>
      <x:c r="D132" s="5" t="str"/>
      <x:c r="E132" s="5" t="str">
        <x:v>proceedings-article</x:v>
      </x:c>
      <x:c r="F132" s="5" t="str">
        <x:v>S08</x:v>
      </x:c>
      <x:c r="G132" s="5" t="str">
        <x:v>Lower-priority; inspect scope</x:v>
      </x:c>
      <x:c r="H132" s="5" t="str">
        <x:v>Not assigned</x:v>
      </x:c>
      <x:c r="I132" s="5" t="str">
        <x:v>Not started</x:v>
      </x:c>
      <x:c r="J132" s="5" t="str">
        <x:v>Not assigned</x:v>
      </x:c>
      <x:c r="K132" s="5" t="str">
        <x:v>Not started</x:v>
      </x:c>
      <x:c r="L132" s="5" t="str">
        <x:v>Pending</x:v>
      </x:c>
      <x:c r="M132" s="5" t="str"/>
      <x:c r="N132" s="5" t="str">
        <x:v>Not started</x:v>
      </x:c>
      <x:c r="O132" s="5" t="str">
        <x:v>Not started</x:v>
      </x:c>
      <x:c r="P132" s="5" t="str">
        <x:v>Not started</x:v>
      </x:c>
      <x:c r="Q132" s="5" t="str">
        <x:v>Not started</x:v>
      </x:c>
      <x:c r="R132" s="5" t="str">
        <x:v>Pending</x:v>
      </x:c>
      <x:c r="S132" s="5" t="str"/>
      <x:c r="T132" s="5" t="str"/>
      <x:c r="U132" s="5" t="str"/>
      <x:c r="V132" s="5" t="str"/>
      <x:c r="W132" s="5" t="str">
        <x:v>Not linked</x:v>
      </x:c>
      <x:c r="X132" s="5" t="str">
        <x:v>Pending</x:v>
      </x:c>
      <x:c r="Y132" s="5" t="str">
        <x:f>IF(AND(L132="Pending",R132="Pending"),"Pending screening",IF(H132="Not assigned","Assign reviewer",IF(AND(L132="Exclude",M132=""),"Missing TA exclusion reason",IF(AND(R132="Exclude",S132=""),"Missing FT exclusion reason","Decision recorded"))))</x:f>
        <x:v>Pending screening</x:v>
      </x:c>
    </x:row>
    <x:row r="133" ht="40" customHeight="1">
      <x:c r="A133" s="5" t="str">
        <x:v>C0124</x:v>
      </x:c>
      <x:c r="B133" s="5" t="str">
        <x:v>Defect Detection using Deep Learning from Minimal Annotations</x:v>
      </x:c>
      <x:c r="C133" s="5" t="str">
        <x:v>10.5220/0009168005060513</x:v>
      </x:c>
      <x:c r="D133" s="5" t="str"/>
      <x:c r="E133" s="5" t="str">
        <x:v>proceedings-article</x:v>
      </x:c>
      <x:c r="F133" s="5" t="str">
        <x:v>S08</x:v>
      </x:c>
      <x:c r="G133" s="5" t="str">
        <x:v>Title-scope candidate</x:v>
      </x:c>
      <x:c r="H133" s="5" t="str">
        <x:v>Not assigned</x:v>
      </x:c>
      <x:c r="I133" s="5" t="str">
        <x:v>Not started</x:v>
      </x:c>
      <x:c r="J133" s="5" t="str">
        <x:v>Not assigned</x:v>
      </x:c>
      <x:c r="K133" s="5" t="str">
        <x:v>Not started</x:v>
      </x:c>
      <x:c r="L133" s="5" t="str">
        <x:v>Pending</x:v>
      </x:c>
      <x:c r="M133" s="5" t="str"/>
      <x:c r="N133" s="5" t="str">
        <x:v>Not started</x:v>
      </x:c>
      <x:c r="O133" s="5" t="str">
        <x:v>Not started</x:v>
      </x:c>
      <x:c r="P133" s="5" t="str">
        <x:v>Not started</x:v>
      </x:c>
      <x:c r="Q133" s="5" t="str">
        <x:v>Not started</x:v>
      </x:c>
      <x:c r="R133" s="5" t="str">
        <x:v>Pending</x:v>
      </x:c>
      <x:c r="S133" s="5" t="str"/>
      <x:c r="T133" s="5" t="str"/>
      <x:c r="U133" s="5" t="str"/>
      <x:c r="V133" s="5" t="str"/>
      <x:c r="W133" s="5" t="str">
        <x:v>Not linked</x:v>
      </x:c>
      <x:c r="X133" s="5" t="str">
        <x:v>Pending</x:v>
      </x:c>
      <x:c r="Y133" s="5" t="str">
        <x:f>IF(AND(L133="Pending",R133="Pending"),"Pending screening",IF(H133="Not assigned","Assign reviewer",IF(AND(L133="Exclude",M133=""),"Missing TA exclusion reason",IF(AND(R133="Exclude",S133=""),"Missing FT exclusion reason","Decision recorded"))))</x:f>
        <x:v>Pending screening</x:v>
      </x:c>
    </x:row>
    <x:row r="134" ht="40" customHeight="1">
      <x:c r="A134" s="5" t="str">
        <x:v>C0125</x:v>
      </x:c>
      <x:c r="B134" s="5" t="str">
        <x:v>Active Learning for Deep Object Detection</x:v>
      </x:c>
      <x:c r="C134" s="5" t="str">
        <x:v>10.5220/0007248601810190</x:v>
      </x:c>
      <x:c r="D134" s="5" t="str"/>
      <x:c r="E134" s="5" t="str">
        <x:v>proceedings-article</x:v>
      </x:c>
      <x:c r="F134" s="5" t="str">
        <x:v>S08</x:v>
      </x:c>
      <x:c r="G134" s="5" t="str">
        <x:v>Lower-priority; inspect scope</x:v>
      </x:c>
      <x:c r="H134" s="5" t="str">
        <x:v>Not assigned</x:v>
      </x:c>
      <x:c r="I134" s="5" t="str">
        <x:v>Not started</x:v>
      </x:c>
      <x:c r="J134" s="5" t="str">
        <x:v>Not assigned</x:v>
      </x:c>
      <x:c r="K134" s="5" t="str">
        <x:v>Not started</x:v>
      </x:c>
      <x:c r="L134" s="5" t="str">
        <x:v>Pending</x:v>
      </x:c>
      <x:c r="M134" s="5" t="str"/>
      <x:c r="N134" s="5" t="str">
        <x:v>Not started</x:v>
      </x:c>
      <x:c r="O134" s="5" t="str">
        <x:v>Not started</x:v>
      </x:c>
      <x:c r="P134" s="5" t="str">
        <x:v>Not started</x:v>
      </x:c>
      <x:c r="Q134" s="5" t="str">
        <x:v>Not started</x:v>
      </x:c>
      <x:c r="R134" s="5" t="str">
        <x:v>Pending</x:v>
      </x:c>
      <x:c r="S134" s="5" t="str"/>
      <x:c r="T134" s="5" t="str"/>
      <x:c r="U134" s="5" t="str"/>
      <x:c r="V134" s="5" t="str"/>
      <x:c r="W134" s="5" t="str">
        <x:v>Not linked</x:v>
      </x:c>
      <x:c r="X134" s="5" t="str">
        <x:v>Pending</x:v>
      </x:c>
      <x:c r="Y134" s="5" t="str">
        <x:f>IF(AND(L134="Pending",R134="Pending"),"Pending screening",IF(H134="Not assigned","Assign reviewer",IF(AND(L134="Exclude",M134=""),"Missing TA exclusion reason",IF(AND(R134="Exclude",S134=""),"Missing FT exclusion reason","Decision recorded"))))</x:f>
        <x:v>Pending screening</x:v>
      </x:c>
    </x:row>
    <x:row r="135" ht="40" customHeight="1">
      <x:c r="A135" s="5" t="str">
        <x:v>C0126</x:v>
      </x:c>
      <x:c r="B135" s="5" t="str">
        <x:v>Deep Learning for Facial Keypoints Detection</x:v>
      </x:c>
      <x:c r="C135" s="5" t="str">
        <x:v>10.5220/0005272202890296</x:v>
      </x:c>
      <x:c r="D135" s="5" t="str"/>
      <x:c r="E135" s="5" t="str">
        <x:v>proceedings-article</x:v>
      </x:c>
      <x:c r="F135" s="5" t="str">
        <x:v>S08</x:v>
      </x:c>
      <x:c r="G135" s="5" t="str">
        <x:v>Lower-priority; inspect scope</x:v>
      </x:c>
      <x:c r="H135" s="5" t="str">
        <x:v>Not assigned</x:v>
      </x:c>
      <x:c r="I135" s="5" t="str">
        <x:v>Not started</x:v>
      </x:c>
      <x:c r="J135" s="5" t="str">
        <x:v>Not assigned</x:v>
      </x:c>
      <x:c r="K135" s="5" t="str">
        <x:v>Not started</x:v>
      </x:c>
      <x:c r="L135" s="5" t="str">
        <x:v>Pending</x:v>
      </x:c>
      <x:c r="M135" s="5" t="str"/>
      <x:c r="N135" s="5" t="str">
        <x:v>Not started</x:v>
      </x:c>
      <x:c r="O135" s="5" t="str">
        <x:v>Not started</x:v>
      </x:c>
      <x:c r="P135" s="5" t="str">
        <x:v>Not started</x:v>
      </x:c>
      <x:c r="Q135" s="5" t="str">
        <x:v>Not started</x:v>
      </x:c>
      <x:c r="R135" s="5" t="str">
        <x:v>Pending</x:v>
      </x:c>
      <x:c r="S135" s="5" t="str"/>
      <x:c r="T135" s="5" t="str"/>
      <x:c r="U135" s="5" t="str"/>
      <x:c r="V135" s="5" t="str"/>
      <x:c r="W135" s="5" t="str">
        <x:v>Not linked</x:v>
      </x:c>
      <x:c r="X135" s="5" t="str">
        <x:v>Pending</x:v>
      </x:c>
      <x:c r="Y135" s="5" t="str">
        <x:f>IF(AND(L135="Pending",R135="Pending"),"Pending screening",IF(H135="Not assigned","Assign reviewer",IF(AND(L135="Exclude",M135=""),"Missing TA exclusion reason",IF(AND(R135="Exclude",S135=""),"Missing FT exclusion reason","Decision recorded"))))</x:f>
        <x:v>Pending screening</x:v>
      </x:c>
    </x:row>
    <x:row r="136" ht="40" customHeight="1">
      <x:c r="A136" s="5" t="str">
        <x:v>C0127</x:v>
      </x:c>
      <x:c r="B136" s="5" t="str">
        <x:v>Active Learning for Deep Object Detection</x:v>
      </x:c>
      <x:c r="C136" s="5" t="str">
        <x:v>10.5220/0007248600002108</x:v>
      </x:c>
      <x:c r="D136" s="5" t="str"/>
      <x:c r="E136" s="5" t="str">
        <x:v>proceedings-article</x:v>
      </x:c>
      <x:c r="F136" s="5" t="str">
        <x:v>S08</x:v>
      </x:c>
      <x:c r="G136" s="5" t="str">
        <x:v>Lower-priority; inspect scope</x:v>
      </x:c>
      <x:c r="H136" s="5" t="str">
        <x:v>Not assigned</x:v>
      </x:c>
      <x:c r="I136" s="5" t="str">
        <x:v>Not started</x:v>
      </x:c>
      <x:c r="J136" s="5" t="str">
        <x:v>Not assigned</x:v>
      </x:c>
      <x:c r="K136" s="5" t="str">
        <x:v>Not started</x:v>
      </x:c>
      <x:c r="L136" s="5" t="str">
        <x:v>Pending</x:v>
      </x:c>
      <x:c r="M136" s="5" t="str"/>
      <x:c r="N136" s="5" t="str">
        <x:v>Not started</x:v>
      </x:c>
      <x:c r="O136" s="5" t="str">
        <x:v>Not started</x:v>
      </x:c>
      <x:c r="P136" s="5" t="str">
        <x:v>Not started</x:v>
      </x:c>
      <x:c r="Q136" s="5" t="str">
        <x:v>Not started</x:v>
      </x:c>
      <x:c r="R136" s="5" t="str">
        <x:v>Pending</x:v>
      </x:c>
      <x:c r="S136" s="5" t="str"/>
      <x:c r="T136" s="5" t="str"/>
      <x:c r="U136" s="5" t="str"/>
      <x:c r="V136" s="5" t="str"/>
      <x:c r="W136" s="5" t="str">
        <x:v>Not linked</x:v>
      </x:c>
      <x:c r="X136" s="5" t="str">
        <x:v>Pending</x:v>
      </x:c>
      <x:c r="Y136" s="5" t="str">
        <x:f>IF(AND(L136="Pending",R136="Pending"),"Pending screening",IF(H136="Not assigned","Assign reviewer",IF(AND(L136="Exclude",M136=""),"Missing TA exclusion reason",IF(AND(R136="Exclude",S136=""),"Missing FT exclusion reason","Decision recorded"))))</x:f>
        <x:v>Pending screening</x:v>
      </x:c>
    </x:row>
    <x:row r="137" ht="40" customHeight="1">
      <x:c r="A137" s="5" t="str">
        <x:v>C0128</x:v>
      </x:c>
      <x:c r="B137" s="5" t="str">
        <x:v>Deep Learning-Based Aflatoxin Detection of Hyperspectral Data</x:v>
      </x:c>
      <x:c r="C137" s="5" t="str">
        <x:v>10.1201/9780429289460-4</x:v>
      </x:c>
      <x:c r="D137" s="5" t="str"/>
      <x:c r="E137" s="5" t="str">
        <x:v>book-chapter</x:v>
      </x:c>
      <x:c r="F137" s="5" t="str">
        <x:v>S08</x:v>
      </x:c>
      <x:c r="G137" s="5" t="str">
        <x:v>Lower-priority; inspect scope</x:v>
      </x:c>
      <x:c r="H137" s="5" t="str">
        <x:v>Not assigned</x:v>
      </x:c>
      <x:c r="I137" s="5" t="str">
        <x:v>Not started</x:v>
      </x:c>
      <x:c r="J137" s="5" t="str">
        <x:v>Not assigned</x:v>
      </x:c>
      <x:c r="K137" s="5" t="str">
        <x:v>Not started</x:v>
      </x:c>
      <x:c r="L137" s="5" t="str">
        <x:v>Pending</x:v>
      </x:c>
      <x:c r="M137" s="5" t="str"/>
      <x:c r="N137" s="5" t="str">
        <x:v>Not started</x:v>
      </x:c>
      <x:c r="O137" s="5" t="str">
        <x:v>Not started</x:v>
      </x:c>
      <x:c r="P137" s="5" t="str">
        <x:v>Not started</x:v>
      </x:c>
      <x:c r="Q137" s="5" t="str">
        <x:v>Not started</x:v>
      </x:c>
      <x:c r="R137" s="5" t="str">
        <x:v>Pending</x:v>
      </x:c>
      <x:c r="S137" s="5" t="str"/>
      <x:c r="T137" s="5" t="str"/>
      <x:c r="U137" s="5" t="str"/>
      <x:c r="V137" s="5" t="str"/>
      <x:c r="W137" s="5" t="str">
        <x:v>Not linked</x:v>
      </x:c>
      <x:c r="X137" s="5" t="str">
        <x:v>Pending</x:v>
      </x:c>
      <x:c r="Y137" s="5" t="str">
        <x:f>IF(AND(L137="Pending",R137="Pending"),"Pending screening",IF(H137="Not assigned","Assign reviewer",IF(AND(L137="Exclude",M137=""),"Missing TA exclusion reason",IF(AND(R137="Exclude",S137=""),"Missing FT exclusion reason","Decision recorded"))))</x:f>
        <x:v>Pending screening</x:v>
      </x:c>
    </x:row>
    <x:row r="138" ht="40" customHeight="1">
      <x:c r="A138" s="5" t="str">
        <x:v>C0129</x:v>
      </x:c>
      <x:c r="B138" s="5" t="str">
        <x:v>Research on Vehicle Object Detection Based on Deep Learning</x:v>
      </x:c>
      <x:c r="C138" s="5" t="str">
        <x:v>10.1109/cvidl58838.2023.10166204</x:v>
      </x:c>
      <x:c r="D138" s="5" t="str"/>
      <x:c r="E138" s="5" t="str">
        <x:v>proceedings-article</x:v>
      </x:c>
      <x:c r="F138" s="5" t="str">
        <x:v>S08</x:v>
      </x:c>
      <x:c r="G138" s="5" t="str">
        <x:v>Lower-priority; inspect scope</x:v>
      </x:c>
      <x:c r="H138" s="5" t="str">
        <x:v>Not assigned</x:v>
      </x:c>
      <x:c r="I138" s="5" t="str">
        <x:v>Not started</x:v>
      </x:c>
      <x:c r="J138" s="5" t="str">
        <x:v>Not assigned</x:v>
      </x:c>
      <x:c r="K138" s="5" t="str">
        <x:v>Not started</x:v>
      </x:c>
      <x:c r="L138" s="5" t="str">
        <x:v>Pending</x:v>
      </x:c>
      <x:c r="M138" s="5" t="str"/>
      <x:c r="N138" s="5" t="str">
        <x:v>Not started</x:v>
      </x:c>
      <x:c r="O138" s="5" t="str">
        <x:v>Not started</x:v>
      </x:c>
      <x:c r="P138" s="5" t="str">
        <x:v>Not started</x:v>
      </x:c>
      <x:c r="Q138" s="5" t="str">
        <x:v>Not started</x:v>
      </x:c>
      <x:c r="R138" s="5" t="str">
        <x:v>Pending</x:v>
      </x:c>
      <x:c r="S138" s="5" t="str"/>
      <x:c r="T138" s="5" t="str"/>
      <x:c r="U138" s="5" t="str"/>
      <x:c r="V138" s="5" t="str"/>
      <x:c r="W138" s="5" t="str">
        <x:v>Not linked</x:v>
      </x:c>
      <x:c r="X138" s="5" t="str">
        <x:v>Pending</x:v>
      </x:c>
      <x:c r="Y138" s="5" t="str">
        <x:f>IF(AND(L138="Pending",R138="Pending"),"Pending screening",IF(H138="Not assigned","Assign reviewer",IF(AND(L138="Exclude",M138=""),"Missing TA exclusion reason",IF(AND(R138="Exclude",S138=""),"Missing FT exclusion reason","Decision recorded"))))</x:f>
        <x:v>Pending screening</x:v>
      </x:c>
    </x:row>
    <x:row r="139" ht="40" customHeight="1">
      <x:c r="A139" s="5" t="str">
        <x:v>C0130</x:v>
      </x:c>
      <x:c r="B139" s="5" t="str">
        <x:v>Deep learning-based object detection for computer vision tasks</x:v>
      </x:c>
      <x:c r="C139" s="5" t="str">
        <x:v>10.1201/9781003453406-4</x:v>
      </x:c>
      <x:c r="D139" s="5" t="str"/>
      <x:c r="E139" s="5" t="str">
        <x:v>book-chapter</x:v>
      </x:c>
      <x:c r="F139" s="5" t="str">
        <x:v>S08</x:v>
      </x:c>
      <x:c r="G139" s="5" t="str">
        <x:v>Lower-priority; inspect scope</x:v>
      </x:c>
      <x:c r="H139" s="5" t="str">
        <x:v>Not assigned</x:v>
      </x:c>
      <x:c r="I139" s="5" t="str">
        <x:v>Not started</x:v>
      </x:c>
      <x:c r="J139" s="5" t="str">
        <x:v>Not assigned</x:v>
      </x:c>
      <x:c r="K139" s="5" t="str">
        <x:v>Not started</x:v>
      </x:c>
      <x:c r="L139" s="5" t="str">
        <x:v>Pending</x:v>
      </x:c>
      <x:c r="M139" s="5" t="str"/>
      <x:c r="N139" s="5" t="str">
        <x:v>Not started</x:v>
      </x:c>
      <x:c r="O139" s="5" t="str">
        <x:v>Not started</x:v>
      </x:c>
      <x:c r="P139" s="5" t="str">
        <x:v>Not started</x:v>
      </x:c>
      <x:c r="Q139" s="5" t="str">
        <x:v>Not started</x:v>
      </x:c>
      <x:c r="R139" s="5" t="str">
        <x:v>Pending</x:v>
      </x:c>
      <x:c r="S139" s="5" t="str"/>
      <x:c r="T139" s="5" t="str"/>
      <x:c r="U139" s="5" t="str"/>
      <x:c r="V139" s="5" t="str"/>
      <x:c r="W139" s="5" t="str">
        <x:v>Not linked</x:v>
      </x:c>
      <x:c r="X139" s="5" t="str">
        <x:v>Pending</x:v>
      </x:c>
      <x:c r="Y139" s="5" t="str">
        <x:f>IF(AND(L139="Pending",R139="Pending"),"Pending screening",IF(H139="Not assigned","Assign reviewer",IF(AND(L139="Exclude",M139=""),"Missing TA exclusion reason",IF(AND(R139="Exclude",S139=""),"Missing FT exclusion reason","Decision recorded"))))</x:f>
        <x:v>Pending screening</x:v>
      </x:c>
    </x:row>
    <x:row r="140" ht="40" customHeight="1">
      <x:c r="A140" s="5" t="str">
        <x:v>C0131</x:v>
      </x:c>
      <x:c r="B140" s="5" t="str">
        <x:v>Detection of Safety Signs Using Computer Vision Based on Deep Learning</x:v>
      </x:c>
      <x:c r="C140" s="5" t="str">
        <x:v>10.2139/ssrn.4614072</x:v>
      </x:c>
      <x:c r="D140" s="5" t="str"/>
      <x:c r="E140" s="5" t="str">
        <x:v>posted-content</x:v>
      </x:c>
      <x:c r="F140" s="5" t="str">
        <x:v>S08</x:v>
      </x:c>
      <x:c r="G140" s="5" t="str">
        <x:v>Lower-priority; inspect scope</x:v>
      </x:c>
      <x:c r="H140" s="5" t="str">
        <x:v>Not assigned</x:v>
      </x:c>
      <x:c r="I140" s="5" t="str">
        <x:v>Not started</x:v>
      </x:c>
      <x:c r="J140" s="5" t="str">
        <x:v>Not assigned</x:v>
      </x:c>
      <x:c r="K140" s="5" t="str">
        <x:v>Not started</x:v>
      </x:c>
      <x:c r="L140" s="5" t="str">
        <x:v>Pending</x:v>
      </x:c>
      <x:c r="M140" s="5" t="str"/>
      <x:c r="N140" s="5" t="str">
        <x:v>Not started</x:v>
      </x:c>
      <x:c r="O140" s="5" t="str">
        <x:v>Not started</x:v>
      </x:c>
      <x:c r="P140" s="5" t="str">
        <x:v>Not started</x:v>
      </x:c>
      <x:c r="Q140" s="5" t="str">
        <x:v>Not started</x:v>
      </x:c>
      <x:c r="R140" s="5" t="str">
        <x:v>Pending</x:v>
      </x:c>
      <x:c r="S140" s="5" t="str"/>
      <x:c r="T140" s="5" t="str"/>
      <x:c r="U140" s="5" t="str"/>
      <x:c r="V140" s="5" t="str"/>
      <x:c r="W140" s="5" t="str">
        <x:v>Not linked</x:v>
      </x:c>
      <x:c r="X140" s="5" t="str">
        <x:v>Pending</x:v>
      </x:c>
      <x:c r="Y140" s="5" t="str">
        <x:f>IF(AND(L140="Pending",R140="Pending"),"Pending screening",IF(H140="Not assigned","Assign reviewer",IF(AND(L140="Exclude",M140=""),"Missing TA exclusion reason",IF(AND(R140="Exclude",S140=""),"Missing FT exclusion reason","Decision recorded"))))</x:f>
        <x:v>Pending screening</x:v>
      </x:c>
    </x:row>
    <x:row r="141" ht="40" customHeight="1">
      <x:c r="A141" s="5" t="str">
        <x:v>C0132</x:v>
      </x:c>
      <x:c r="B141" s="5" t="str">
        <x:v>Deep Learning for Computer Vision</x:v>
      </x:c>
      <x:c r="C141" s="5" t="str">
        <x:v>10.1007/978-1-4842-4261-2_3</x:v>
      </x:c>
      <x:c r="D141" s="5" t="str"/>
      <x:c r="E141" s="5" t="str">
        <x:v>book-chapter</x:v>
      </x:c>
      <x:c r="F141" s="5" t="str">
        <x:v>S08</x:v>
      </x:c>
      <x:c r="G141" s="5" t="str">
        <x:v>Lower-priority; inspect scope</x:v>
      </x:c>
      <x:c r="H141" s="5" t="str">
        <x:v>Not assigned</x:v>
      </x:c>
      <x:c r="I141" s="5" t="str">
        <x:v>Not started</x:v>
      </x:c>
      <x:c r="J141" s="5" t="str">
        <x:v>Not assigned</x:v>
      </x:c>
      <x:c r="K141" s="5" t="str">
        <x:v>Not started</x:v>
      </x:c>
      <x:c r="L141" s="5" t="str">
        <x:v>Pending</x:v>
      </x:c>
      <x:c r="M141" s="5" t="str"/>
      <x:c r="N141" s="5" t="str">
        <x:v>Not started</x:v>
      </x:c>
      <x:c r="O141" s="5" t="str">
        <x:v>Not started</x:v>
      </x:c>
      <x:c r="P141" s="5" t="str">
        <x:v>Not started</x:v>
      </x:c>
      <x:c r="Q141" s="5" t="str">
        <x:v>Not started</x:v>
      </x:c>
      <x:c r="R141" s="5" t="str">
        <x:v>Pending</x:v>
      </x:c>
      <x:c r="S141" s="5" t="str"/>
      <x:c r="T141" s="5" t="str"/>
      <x:c r="U141" s="5" t="str"/>
      <x:c r="V141" s="5" t="str"/>
      <x:c r="W141" s="5" t="str">
        <x:v>Not linked</x:v>
      </x:c>
      <x:c r="X141" s="5" t="str">
        <x:v>Pending</x:v>
      </x:c>
      <x:c r="Y141" s="5" t="str">
        <x:f>IF(AND(L141="Pending",R141="Pending"),"Pending screening",IF(H141="Not assigned","Assign reviewer",IF(AND(L141="Exclude",M141=""),"Missing TA exclusion reason",IF(AND(R141="Exclude",S141=""),"Missing FT exclusion reason","Decision recorded"))))</x:f>
        <x:v>Pending screening</x:v>
      </x:c>
    </x:row>
    <x:row r="142" ht="40" customHeight="1">
      <x:c r="A142" s="5" t="str">
        <x:v>C0133</x:v>
      </x:c>
      <x:c r="B142" s="5" t="str">
        <x:v>NoduleNet: A High-Precision Lung Nodule Detection Algorithm Based on Deep Learning</x:v>
      </x:c>
      <x:c r="C142" s="5" t="str">
        <x:v>10.1109/cvidl70130.2026.11637829</x:v>
      </x:c>
      <x:c r="D142" s="5" t="str"/>
      <x:c r="E142" s="5" t="str">
        <x:v>proceedings-article</x:v>
      </x:c>
      <x:c r="F142" s="5" t="str">
        <x:v>S08</x:v>
      </x:c>
      <x:c r="G142" s="5" t="str">
        <x:v>Lower-priority; inspect scope</x:v>
      </x:c>
      <x:c r="H142" s="5" t="str">
        <x:v>Not assigned</x:v>
      </x:c>
      <x:c r="I142" s="5" t="str">
        <x:v>Not started</x:v>
      </x:c>
      <x:c r="J142" s="5" t="str">
        <x:v>Not assigned</x:v>
      </x:c>
      <x:c r="K142" s="5" t="str">
        <x:v>Not started</x:v>
      </x:c>
      <x:c r="L142" s="5" t="str">
        <x:v>Pending</x:v>
      </x:c>
      <x:c r="M142" s="5" t="str"/>
      <x:c r="N142" s="5" t="str">
        <x:v>Not started</x:v>
      </x:c>
      <x:c r="O142" s="5" t="str">
        <x:v>Not started</x:v>
      </x:c>
      <x:c r="P142" s="5" t="str">
        <x:v>Not started</x:v>
      </x:c>
      <x:c r="Q142" s="5" t="str">
        <x:v>Not started</x:v>
      </x:c>
      <x:c r="R142" s="5" t="str">
        <x:v>Pending</x:v>
      </x:c>
      <x:c r="S142" s="5" t="str"/>
      <x:c r="T142" s="5" t="str"/>
      <x:c r="U142" s="5" t="str"/>
      <x:c r="V142" s="5" t="str"/>
      <x:c r="W142" s="5" t="str">
        <x:v>Not linked</x:v>
      </x:c>
      <x:c r="X142" s="5" t="str">
        <x:v>Pending</x:v>
      </x:c>
      <x:c r="Y142" s="5" t="str">
        <x:f>IF(AND(L142="Pending",R142="Pending"),"Pending screening",IF(H142="Not assigned","Assign reviewer",IF(AND(L142="Exclude",M142=""),"Missing TA exclusion reason",IF(AND(R142="Exclude",S142=""),"Missing FT exclusion reason","Decision recorded"))))</x:f>
        <x:v>Pending screening</x:v>
      </x:c>
    </x:row>
    <x:row r="143" ht="40" customHeight="1">
      <x:c r="A143" s="5" t="str">
        <x:v>C0134</x:v>
      </x:c>
      <x:c r="B143" s="5" t="str">
        <x:v>Machine Vision in Healthcare: Deep Learning for Oral Cancer Detection and Classification</x:v>
      </x:c>
      <x:c r="C143" s="5" t="str">
        <x:v>10.5220/0014206100004932</x:v>
      </x:c>
      <x:c r="D143" s="5" t="str"/>
      <x:c r="E143" s="5" t="str">
        <x:v>proceedings-article</x:v>
      </x:c>
      <x:c r="F143" s="5" t="str">
        <x:v>S08</x:v>
      </x:c>
      <x:c r="G143" s="5" t="str">
        <x:v>Lower-priority; inspect scope</x:v>
      </x:c>
      <x:c r="H143" s="5" t="str">
        <x:v>Not assigned</x:v>
      </x:c>
      <x:c r="I143" s="5" t="str">
        <x:v>Not started</x:v>
      </x:c>
      <x:c r="J143" s="5" t="str">
        <x:v>Not assigned</x:v>
      </x:c>
      <x:c r="K143" s="5" t="str">
        <x:v>Not started</x:v>
      </x:c>
      <x:c r="L143" s="5" t="str">
        <x:v>Pending</x:v>
      </x:c>
      <x:c r="M143" s="5" t="str"/>
      <x:c r="N143" s="5" t="str">
        <x:v>Not started</x:v>
      </x:c>
      <x:c r="O143" s="5" t="str">
        <x:v>Not started</x:v>
      </x:c>
      <x:c r="P143" s="5" t="str">
        <x:v>Not started</x:v>
      </x:c>
      <x:c r="Q143" s="5" t="str">
        <x:v>Not started</x:v>
      </x:c>
      <x:c r="R143" s="5" t="str">
        <x:v>Pending</x:v>
      </x:c>
      <x:c r="S143" s="5" t="str"/>
      <x:c r="T143" s="5" t="str"/>
      <x:c r="U143" s="5" t="str"/>
      <x:c r="V143" s="5" t="str"/>
      <x:c r="W143" s="5" t="str">
        <x:v>Not linked</x:v>
      </x:c>
      <x:c r="X143" s="5" t="str">
        <x:v>Pending</x:v>
      </x:c>
      <x:c r="Y143" s="5" t="str">
        <x:f>IF(AND(L143="Pending",R143="Pending"),"Pending screening",IF(H143="Not assigned","Assign reviewer",IF(AND(L143="Exclude",M143=""),"Missing TA exclusion reason",IF(AND(R143="Exclude",S143=""),"Missing FT exclusion reason","Decision recorded"))))</x:f>
        <x:v>Pending screening</x:v>
      </x:c>
    </x:row>
    <x:row r="144" ht="40" customHeight="1">
      <x:c r="A144" s="5" t="str">
        <x:v>C0135</x:v>
      </x:c>
      <x:c r="B144" s="5" t="str">
        <x:v>Using Deep Learning for Image-Based Plant Disease Detection</x:v>
      </x:c>
      <x:c r="C144" s="5" t="str">
        <x:v>10.1201/9780429289460-24</x:v>
      </x:c>
      <x:c r="D144" s="5" t="str"/>
      <x:c r="E144" s="5" t="str">
        <x:v>book-chapter</x:v>
      </x:c>
      <x:c r="F144" s="5" t="str">
        <x:v>S08</x:v>
      </x:c>
      <x:c r="G144" s="5" t="str">
        <x:v>Lower-priority; inspect scope</x:v>
      </x:c>
      <x:c r="H144" s="5" t="str">
        <x:v>Not assigned</x:v>
      </x:c>
      <x:c r="I144" s="5" t="str">
        <x:v>Not started</x:v>
      </x:c>
      <x:c r="J144" s="5" t="str">
        <x:v>Not assigned</x:v>
      </x:c>
      <x:c r="K144" s="5" t="str">
        <x:v>Not started</x:v>
      </x:c>
      <x:c r="L144" s="5" t="str">
        <x:v>Pending</x:v>
      </x:c>
      <x:c r="M144" s="5" t="str"/>
      <x:c r="N144" s="5" t="str">
        <x:v>Not started</x:v>
      </x:c>
      <x:c r="O144" s="5" t="str">
        <x:v>Not started</x:v>
      </x:c>
      <x:c r="P144" s="5" t="str">
        <x:v>Not started</x:v>
      </x:c>
      <x:c r="Q144" s="5" t="str">
        <x:v>Not started</x:v>
      </x:c>
      <x:c r="R144" s="5" t="str">
        <x:v>Pending</x:v>
      </x:c>
      <x:c r="S144" s="5" t="str"/>
      <x:c r="T144" s="5" t="str"/>
      <x:c r="U144" s="5" t="str"/>
      <x:c r="V144" s="5" t="str"/>
      <x:c r="W144" s="5" t="str">
        <x:v>Not linked</x:v>
      </x:c>
      <x:c r="X144" s="5" t="str">
        <x:v>Pending</x:v>
      </x:c>
      <x:c r="Y144" s="5" t="str">
        <x:f>IF(AND(L144="Pending",R144="Pending"),"Pending screening",IF(H144="Not assigned","Assign reviewer",IF(AND(L144="Exclude",M144=""),"Missing TA exclusion reason",IF(AND(R144="Exclude",S144=""),"Missing FT exclusion reason","Decision recorded"))))</x:f>
        <x:v>Pending screening</x:v>
      </x:c>
    </x:row>
    <x:row r="145" ht="40" customHeight="1">
      <x:c r="A145" s="5" t="str">
        <x:v>C0136</x:v>
      </x:c>
      <x:c r="B145" s="5" t="str">
        <x:v>Joint Deep Learning for Pedestrian Detection</x:v>
      </x:c>
      <x:c r="C145" s="5" t="str">
        <x:v>10.1109/iccv.2013.257</x:v>
      </x:c>
      <x:c r="D145" s="5" t="str"/>
      <x:c r="E145" s="5" t="str">
        <x:v>proceedings-article</x:v>
      </x:c>
      <x:c r="F145" s="5" t="str">
        <x:v>S08</x:v>
      </x:c>
      <x:c r="G145" s="5" t="str">
        <x:v>Lower-priority; inspect scope</x:v>
      </x:c>
      <x:c r="H145" s="5" t="str">
        <x:v>Not assigned</x:v>
      </x:c>
      <x:c r="I145" s="5" t="str">
        <x:v>Not started</x:v>
      </x:c>
      <x:c r="J145" s="5" t="str">
        <x:v>Not assigned</x:v>
      </x:c>
      <x:c r="K145" s="5" t="str">
        <x:v>Not started</x:v>
      </x:c>
      <x:c r="L145" s="5" t="str">
        <x:v>Pending</x:v>
      </x:c>
      <x:c r="M145" s="5" t="str"/>
      <x:c r="N145" s="5" t="str">
        <x:v>Not started</x:v>
      </x:c>
      <x:c r="O145" s="5" t="str">
        <x:v>Not started</x:v>
      </x:c>
      <x:c r="P145" s="5" t="str">
        <x:v>Not started</x:v>
      </x:c>
      <x:c r="Q145" s="5" t="str">
        <x:v>Not started</x:v>
      </x:c>
      <x:c r="R145" s="5" t="str">
        <x:v>Pending</x:v>
      </x:c>
      <x:c r="S145" s="5" t="str"/>
      <x:c r="T145" s="5" t="str"/>
      <x:c r="U145" s="5" t="str"/>
      <x:c r="V145" s="5" t="str"/>
      <x:c r="W145" s="5" t="str">
        <x:v>Not linked</x:v>
      </x:c>
      <x:c r="X145" s="5" t="str">
        <x:v>Pending</x:v>
      </x:c>
      <x:c r="Y145" s="5" t="str">
        <x:f>IF(AND(L145="Pending",R145="Pending"),"Pending screening",IF(H145="Not assigned","Assign reviewer",IF(AND(L145="Exclude",M145=""),"Missing TA exclusion reason",IF(AND(R145="Exclude",S145=""),"Missing FT exclusion reason","Decision recorded"))))</x:f>
        <x:v>Pending screening</x:v>
      </x:c>
    </x:row>
    <x:row r="146" ht="40" customHeight="1">
      <x:c r="A146" s="5" t="str">
        <x:v>C0137</x:v>
      </x:c>
      <x:c r="B146" s="5" t="str">
        <x:v>Colonoscopic Polyp Detection with Deep Learning Assist</x:v>
      </x:c>
      <x:c r="C146" s="5" t="str">
        <x:v>10.5220/0011792300003417</x:v>
      </x:c>
      <x:c r="D146" s="5" t="str"/>
      <x:c r="E146" s="5" t="str">
        <x:v>proceedings-article</x:v>
      </x:c>
      <x:c r="F146" s="5" t="str">
        <x:v>S08</x:v>
      </x:c>
      <x:c r="G146" s="5" t="str">
        <x:v>Lower-priority; inspect scope</x:v>
      </x:c>
      <x:c r="H146" s="5" t="str">
        <x:v>Not assigned</x:v>
      </x:c>
      <x:c r="I146" s="5" t="str">
        <x:v>Not started</x:v>
      </x:c>
      <x:c r="J146" s="5" t="str">
        <x:v>Not assigned</x:v>
      </x:c>
      <x:c r="K146" s="5" t="str">
        <x:v>Not started</x:v>
      </x:c>
      <x:c r="L146" s="5" t="str">
        <x:v>Pending</x:v>
      </x:c>
      <x:c r="M146" s="5" t="str"/>
      <x:c r="N146" s="5" t="str">
        <x:v>Not started</x:v>
      </x:c>
      <x:c r="O146" s="5" t="str">
        <x:v>Not started</x:v>
      </x:c>
      <x:c r="P146" s="5" t="str">
        <x:v>Not started</x:v>
      </x:c>
      <x:c r="Q146" s="5" t="str">
        <x:v>Not started</x:v>
      </x:c>
      <x:c r="R146" s="5" t="str">
        <x:v>Pending</x:v>
      </x:c>
      <x:c r="S146" s="5" t="str"/>
      <x:c r="T146" s="5" t="str"/>
      <x:c r="U146" s="5" t="str"/>
      <x:c r="V146" s="5" t="str"/>
      <x:c r="W146" s="5" t="str">
        <x:v>Not linked</x:v>
      </x:c>
      <x:c r="X146" s="5" t="str">
        <x:v>Pending</x:v>
      </x:c>
      <x:c r="Y146" s="5" t="str">
        <x:f>IF(AND(L146="Pending",R146="Pending"),"Pending screening",IF(H146="Not assigned","Assign reviewer",IF(AND(L146="Exclude",M146=""),"Missing TA exclusion reason",IF(AND(R146="Exclude",S146=""),"Missing FT exclusion reason","Decision recorded"))))</x:f>
        <x:v>Pending screening</x:v>
      </x:c>
    </x:row>
    <x:row r="147" ht="40" customHeight="1">
      <x:c r="A147" s="5" t="str">
        <x:v>C0138</x:v>
      </x:c>
      <x:c r="B147" s="5" t="str">
        <x:v>DEEP LEARNING FOR DETECTION OF BREAST CANCER CELLS IN INDIA</x:v>
      </x:c>
      <x:c r="C147" s="5" t="str">
        <x:v>10.58532/nbennurdcsa9</x:v>
      </x:c>
      <x:c r="D147" s="5" t="str"/>
      <x:c r="E147" s="5" t="str">
        <x:v>book-chapter</x:v>
      </x:c>
      <x:c r="F147" s="5" t="str">
        <x:v>S08</x:v>
      </x:c>
      <x:c r="G147" s="5" t="str">
        <x:v>Lower-priority; inspect scope</x:v>
      </x:c>
      <x:c r="H147" s="5" t="str">
        <x:v>Not assigned</x:v>
      </x:c>
      <x:c r="I147" s="5" t="str">
        <x:v>Not started</x:v>
      </x:c>
      <x:c r="J147" s="5" t="str">
        <x:v>Not assigned</x:v>
      </x:c>
      <x:c r="K147" s="5" t="str">
        <x:v>Not started</x:v>
      </x:c>
      <x:c r="L147" s="5" t="str">
        <x:v>Pending</x:v>
      </x:c>
      <x:c r="M147" s="5" t="str"/>
      <x:c r="N147" s="5" t="str">
        <x:v>Not started</x:v>
      </x:c>
      <x:c r="O147" s="5" t="str">
        <x:v>Not started</x:v>
      </x:c>
      <x:c r="P147" s="5" t="str">
        <x:v>Not started</x:v>
      </x:c>
      <x:c r="Q147" s="5" t="str">
        <x:v>Not started</x:v>
      </x:c>
      <x:c r="R147" s="5" t="str">
        <x:v>Pending</x:v>
      </x:c>
      <x:c r="S147" s="5" t="str"/>
      <x:c r="T147" s="5" t="str"/>
      <x:c r="U147" s="5" t="str"/>
      <x:c r="V147" s="5" t="str"/>
      <x:c r="W147" s="5" t="str">
        <x:v>Not linked</x:v>
      </x:c>
      <x:c r="X147" s="5" t="str">
        <x:v>Pending</x:v>
      </x:c>
      <x:c r="Y147" s="5" t="str">
        <x:f>IF(AND(L147="Pending",R147="Pending"),"Pending screening",IF(H147="Not assigned","Assign reviewer",IF(AND(L147="Exclude",M147=""),"Missing TA exclusion reason",IF(AND(R147="Exclude",S147=""),"Missing FT exclusion reason","Decision recorded"))))</x:f>
        <x:v>Pending screening</x:v>
      </x:c>
    </x:row>
    <x:row r="148" ht="40" customHeight="1">
      <x:c r="A148" s="5" t="str">
        <x:v>C0139</x:v>
      </x:c>
      <x:c r="B148" s="5" t="str">
        <x:v>Jetson nano based YOLOV5 deep learning pavement pothole detection</x:v>
      </x:c>
      <x:c r="C148" s="5" t="str">
        <x:v>10.1109/cvidl62147.2024.10603466</x:v>
      </x:c>
      <x:c r="D148" s="5" t="str"/>
      <x:c r="E148" s="5" t="str">
        <x:v>proceedings-article</x:v>
      </x:c>
      <x:c r="F148" s="5" t="str">
        <x:v>S08</x:v>
      </x:c>
      <x:c r="G148" s="5" t="str">
        <x:v>Lower-priority; inspect scope</x:v>
      </x:c>
      <x:c r="H148" s="5" t="str">
        <x:v>Not assigned</x:v>
      </x:c>
      <x:c r="I148" s="5" t="str">
        <x:v>Not started</x:v>
      </x:c>
      <x:c r="J148" s="5" t="str">
        <x:v>Not assigned</x:v>
      </x:c>
      <x:c r="K148" s="5" t="str">
        <x:v>Not started</x:v>
      </x:c>
      <x:c r="L148" s="5" t="str">
        <x:v>Pending</x:v>
      </x:c>
      <x:c r="M148" s="5" t="str"/>
      <x:c r="N148" s="5" t="str">
        <x:v>Not started</x:v>
      </x:c>
      <x:c r="O148" s="5" t="str">
        <x:v>Not started</x:v>
      </x:c>
      <x:c r="P148" s="5" t="str">
        <x:v>Not started</x:v>
      </x:c>
      <x:c r="Q148" s="5" t="str">
        <x:v>Not started</x:v>
      </x:c>
      <x:c r="R148" s="5" t="str">
        <x:v>Pending</x:v>
      </x:c>
      <x:c r="S148" s="5" t="str"/>
      <x:c r="T148" s="5" t="str"/>
      <x:c r="U148" s="5" t="str"/>
      <x:c r="V148" s="5" t="str"/>
      <x:c r="W148" s="5" t="str">
        <x:v>Not linked</x:v>
      </x:c>
      <x:c r="X148" s="5" t="str">
        <x:v>Pending</x:v>
      </x:c>
      <x:c r="Y148" s="5" t="str">
        <x:f>IF(AND(L148="Pending",R148="Pending"),"Pending screening",IF(H148="Not assigned","Assign reviewer",IF(AND(L148="Exclude",M148=""),"Missing TA exclusion reason",IF(AND(R148="Exclude",S148=""),"Missing FT exclusion reason","Decision recorded"))))</x:f>
        <x:v>Pending screening</x:v>
      </x:c>
    </x:row>
    <x:row r="149" ht="40" customHeight="1">
      <x:c r="A149" s="5" t="str">
        <x:v>C0140</x:v>
      </x:c>
      <x:c r="B149" s="5" t="str">
        <x:v>Deep learning-based vehicle tracking and traffic event detection</x:v>
      </x:c>
      <x:c r="C149" s="5" t="str">
        <x:v>10.1109/cvidl58838.2023.10166470</x:v>
      </x:c>
      <x:c r="D149" s="5" t="str"/>
      <x:c r="E149" s="5" t="str">
        <x:v>proceedings-article</x:v>
      </x:c>
      <x:c r="F149" s="5" t="str">
        <x:v>S08</x:v>
      </x:c>
      <x:c r="G149" s="5" t="str">
        <x:v>Lower-priority; inspect scope</x:v>
      </x:c>
      <x:c r="H149" s="5" t="str">
        <x:v>Not assigned</x:v>
      </x:c>
      <x:c r="I149" s="5" t="str">
        <x:v>Not started</x:v>
      </x:c>
      <x:c r="J149" s="5" t="str">
        <x:v>Not assigned</x:v>
      </x:c>
      <x:c r="K149" s="5" t="str">
        <x:v>Not started</x:v>
      </x:c>
      <x:c r="L149" s="5" t="str">
        <x:v>Pending</x:v>
      </x:c>
      <x:c r="M149" s="5" t="str"/>
      <x:c r="N149" s="5" t="str">
        <x:v>Not started</x:v>
      </x:c>
      <x:c r="O149" s="5" t="str">
        <x:v>Not started</x:v>
      </x:c>
      <x:c r="P149" s="5" t="str">
        <x:v>Not started</x:v>
      </x:c>
      <x:c r="Q149" s="5" t="str">
        <x:v>Not started</x:v>
      </x:c>
      <x:c r="R149" s="5" t="str">
        <x:v>Pending</x:v>
      </x:c>
      <x:c r="S149" s="5" t="str"/>
      <x:c r="T149" s="5" t="str"/>
      <x:c r="U149" s="5" t="str"/>
      <x:c r="V149" s="5" t="str"/>
      <x:c r="W149" s="5" t="str">
        <x:v>Not linked</x:v>
      </x:c>
      <x:c r="X149" s="5" t="str">
        <x:v>Pending</x:v>
      </x:c>
      <x:c r="Y149" s="5" t="str">
        <x:f>IF(AND(L149="Pending",R149="Pending"),"Pending screening",IF(H149="Not assigned","Assign reviewer",IF(AND(L149="Exclude",M149=""),"Missing TA exclusion reason",IF(AND(R149="Exclude",S149=""),"Missing FT exclusion reason","Decision recorded"))))</x:f>
        <x:v>Pending screening</x:v>
      </x:c>
    </x:row>
    <x:row r="150" ht="40" customHeight="1">
      <x:c r="A150" s="5" t="str">
        <x:v>C0141</x:v>
      </x:c>
      <x:c r="B150" s="5" t="str">
        <x:v>Research on Image Object Detection and Intelligent Visual Recognition Based on Deep Learning</x:v>
      </x:c>
      <x:c r="C150" s="5" t="str">
        <x:v>10.1109/cvidl70130.2026.11637954</x:v>
      </x:c>
      <x:c r="D150" s="5" t="str"/>
      <x:c r="E150" s="5" t="str">
        <x:v>proceedings-article</x:v>
      </x:c>
      <x:c r="F150" s="5" t="str">
        <x:v>S08</x:v>
      </x:c>
      <x:c r="G150" s="5" t="str">
        <x:v>Lower-priority; inspect scope</x:v>
      </x:c>
      <x:c r="H150" s="5" t="str">
        <x:v>Not assigned</x:v>
      </x:c>
      <x:c r="I150" s="5" t="str">
        <x:v>Not started</x:v>
      </x:c>
      <x:c r="J150" s="5" t="str">
        <x:v>Not assigned</x:v>
      </x:c>
      <x:c r="K150" s="5" t="str">
        <x:v>Not started</x:v>
      </x:c>
      <x:c r="L150" s="5" t="str">
        <x:v>Pending</x:v>
      </x:c>
      <x:c r="M150" s="5" t="str"/>
      <x:c r="N150" s="5" t="str">
        <x:v>Not started</x:v>
      </x:c>
      <x:c r="O150" s="5" t="str">
        <x:v>Not started</x:v>
      </x:c>
      <x:c r="P150" s="5" t="str">
        <x:v>Not started</x:v>
      </x:c>
      <x:c r="Q150" s="5" t="str">
        <x:v>Not started</x:v>
      </x:c>
      <x:c r="R150" s="5" t="str">
        <x:v>Pending</x:v>
      </x:c>
      <x:c r="S150" s="5" t="str"/>
      <x:c r="T150" s="5" t="str"/>
      <x:c r="U150" s="5" t="str"/>
      <x:c r="V150" s="5" t="str"/>
      <x:c r="W150" s="5" t="str">
        <x:v>Not linked</x:v>
      </x:c>
      <x:c r="X150" s="5" t="str">
        <x:v>Pending</x:v>
      </x:c>
      <x:c r="Y150" s="5" t="str">
        <x:f>IF(AND(L150="Pending",R150="Pending"),"Pending screening",IF(H150="Not assigned","Assign reviewer",IF(AND(L150="Exclude",M150=""),"Missing TA exclusion reason",IF(AND(R150="Exclude",S150=""),"Missing FT exclusion reason","Decision recorded"))))</x:f>
        <x:v>Pending screening</x:v>
      </x:c>
    </x:row>
    <x:row r="151" ht="53" customHeight="1">
      <x:c r="A151" s="5" t="str">
        <x:v>C0142</x:v>
      </x:c>
      <x:c r="B151" s="5" t="str">
        <x:v>Improving cross-domain generalizability of medical image segmentation using uncertainty and shape-aware continual test-time domain adaptation</x:v>
      </x:c>
      <x:c r="C151" s="5" t="str">
        <x:v>10.1016/j.media.2024.103422</x:v>
      </x:c>
      <x:c r="D151" s="5" t="str"/>
      <x:c r="E151" s="5" t="str">
        <x:v>journal-article</x:v>
      </x:c>
      <x:c r="F151" s="5" t="str">
        <x:v>S09</x:v>
      </x:c>
      <x:c r="G151" s="5" t="str">
        <x:v>Lower-priority; inspect scope</x:v>
      </x:c>
      <x:c r="H151" s="5" t="str">
        <x:v>Not assigned</x:v>
      </x:c>
      <x:c r="I151" s="5" t="str">
        <x:v>Not started</x:v>
      </x:c>
      <x:c r="J151" s="5" t="str">
        <x:v>Not assigned</x:v>
      </x:c>
      <x:c r="K151" s="5" t="str">
        <x:v>Not started</x:v>
      </x:c>
      <x:c r="L151" s="5" t="str">
        <x:v>Pending</x:v>
      </x:c>
      <x:c r="M151" s="5" t="str"/>
      <x:c r="N151" s="5" t="str">
        <x:v>Not started</x:v>
      </x:c>
      <x:c r="O151" s="5" t="str">
        <x:v>Not started</x:v>
      </x:c>
      <x:c r="P151" s="5" t="str">
        <x:v>Not started</x:v>
      </x:c>
      <x:c r="Q151" s="5" t="str">
        <x:v>Not started</x:v>
      </x:c>
      <x:c r="R151" s="5" t="str">
        <x:v>Pending</x:v>
      </x:c>
      <x:c r="S151" s="5" t="str"/>
      <x:c r="T151" s="5" t="str"/>
      <x:c r="U151" s="5" t="str"/>
      <x:c r="V151" s="5" t="str"/>
      <x:c r="W151" s="5" t="str">
        <x:v>Not linked</x:v>
      </x:c>
      <x:c r="X151" s="5" t="str">
        <x:v>Pending</x:v>
      </x:c>
      <x:c r="Y151" s="5" t="str">
        <x:f>IF(AND(L151="Pending",R151="Pending"),"Pending screening",IF(H151="Not assigned","Assign reviewer",IF(AND(L151="Exclude",M151=""),"Missing TA exclusion reason",IF(AND(R151="Exclude",S151=""),"Missing FT exclusion reason","Decision recorded"))))</x:f>
        <x:v>Pending screening</x:v>
      </x:c>
    </x:row>
    <x:row r="152" ht="40" customHeight="1">
      <x:c r="A152" s="5" t="str">
        <x:v>C0143</x:v>
      </x:c>
      <x:c r="B152" s="5" t="str">
        <x:v>Active domain adaptation for semantic segmentation via dynamically balancing domainness and uncertainty</x:v>
      </x:c>
      <x:c r="C152" s="5" t="str">
        <x:v>10.1016/j.imavis.2024.105132</x:v>
      </x:c>
      <x:c r="D152" s="5" t="str"/>
      <x:c r="E152" s="5" t="str">
        <x:v>journal-article</x:v>
      </x:c>
      <x:c r="F152" s="5" t="str">
        <x:v>S09</x:v>
      </x:c>
      <x:c r="G152" s="5" t="str">
        <x:v>Lower-priority; inspect scope</x:v>
      </x:c>
      <x:c r="H152" s="5" t="str">
        <x:v>Not assigned</x:v>
      </x:c>
      <x:c r="I152" s="5" t="str">
        <x:v>Not started</x:v>
      </x:c>
      <x:c r="J152" s="5" t="str">
        <x:v>Not assigned</x:v>
      </x:c>
      <x:c r="K152" s="5" t="str">
        <x:v>Not started</x:v>
      </x:c>
      <x:c r="L152" s="5" t="str">
        <x:v>Pending</x:v>
      </x:c>
      <x:c r="M152" s="5" t="str"/>
      <x:c r="N152" s="5" t="str">
        <x:v>Not started</x:v>
      </x:c>
      <x:c r="O152" s="5" t="str">
        <x:v>Not started</x:v>
      </x:c>
      <x:c r="P152" s="5" t="str">
        <x:v>Not started</x:v>
      </x:c>
      <x:c r="Q152" s="5" t="str">
        <x:v>Not started</x:v>
      </x:c>
      <x:c r="R152" s="5" t="str">
        <x:v>Pending</x:v>
      </x:c>
      <x:c r="S152" s="5" t="str"/>
      <x:c r="T152" s="5" t="str"/>
      <x:c r="U152" s="5" t="str"/>
      <x:c r="V152" s="5" t="str"/>
      <x:c r="W152" s="5" t="str">
        <x:v>Not linked</x:v>
      </x:c>
      <x:c r="X152" s="5" t="str">
        <x:v>Pending</x:v>
      </x:c>
      <x:c r="Y152" s="5" t="str">
        <x:f>IF(AND(L152="Pending",R152="Pending"),"Pending screening",IF(H152="Not assigned","Assign reviewer",IF(AND(L152="Exclude",M152=""),"Missing TA exclusion reason",IF(AND(R152="Exclude",S152=""),"Missing FT exclusion reason","Decision recorded"))))</x:f>
        <x:v>Pending screening</x:v>
      </x:c>
    </x:row>
    <x:row r="153" ht="40" customHeight="1">
      <x:c r="A153" s="5" t="str">
        <x:v>C0144</x:v>
      </x:c>
      <x:c r="B153" s="5" t="str">
        <x:v>5 Domain Adaptation Via Style Transfer in the Frequency Domain</x:v>
      </x:c>
      <x:c r="C153" s="5" t="str">
        <x:v>10.51202/9783186890108-62</x:v>
      </x:c>
      <x:c r="D153" s="5" t="str"/>
      <x:c r="E153" s="5" t="str">
        <x:v>book-chapter</x:v>
      </x:c>
      <x:c r="F153" s="5" t="str">
        <x:v>S09</x:v>
      </x:c>
      <x:c r="G153" s="5" t="str">
        <x:v>Lower-priority; inspect scope</x:v>
      </x:c>
      <x:c r="H153" s="5" t="str">
        <x:v>Not assigned</x:v>
      </x:c>
      <x:c r="I153" s="5" t="str">
        <x:v>Not started</x:v>
      </x:c>
      <x:c r="J153" s="5" t="str">
        <x:v>Not assigned</x:v>
      </x:c>
      <x:c r="K153" s="5" t="str">
        <x:v>Not started</x:v>
      </x:c>
      <x:c r="L153" s="5" t="str">
        <x:v>Pending</x:v>
      </x:c>
      <x:c r="M153" s="5" t="str"/>
      <x:c r="N153" s="5" t="str">
        <x:v>Not started</x:v>
      </x:c>
      <x:c r="O153" s="5" t="str">
        <x:v>Not started</x:v>
      </x:c>
      <x:c r="P153" s="5" t="str">
        <x:v>Not started</x:v>
      </x:c>
      <x:c r="Q153" s="5" t="str">
        <x:v>Not started</x:v>
      </x:c>
      <x:c r="R153" s="5" t="str">
        <x:v>Pending</x:v>
      </x:c>
      <x:c r="S153" s="5" t="str"/>
      <x:c r="T153" s="5" t="str"/>
      <x:c r="U153" s="5" t="str"/>
      <x:c r="V153" s="5" t="str"/>
      <x:c r="W153" s="5" t="str">
        <x:v>Not linked</x:v>
      </x:c>
      <x:c r="X153" s="5" t="str">
        <x:v>Pending</x:v>
      </x:c>
      <x:c r="Y153" s="5" t="str">
        <x:f>IF(AND(L153="Pending",R153="Pending"),"Pending screening",IF(H153="Not assigned","Assign reviewer",IF(AND(L153="Exclude",M153=""),"Missing TA exclusion reason",IF(AND(R153="Exclude",S153=""),"Missing FT exclusion reason","Decision recorded"))))</x:f>
        <x:v>Pending screening</x:v>
      </x:c>
    </x:row>
    <x:row r="154" ht="53" customHeight="1">
      <x:c r="A154" s="5" t="str">
        <x:v>C0145</x:v>
      </x:c>
      <x:c r="B154" s="5" t="str">
        <x:v>Review for "Uncertainty-aware domain adaptation: a novel framework for cross domain intelligent bearing fault diagnosis"</x:v>
      </x:c>
      <x:c r="C154" s="5" t="str">
        <x:v>10.1088/1361-6501/ae5416/v1/review1</x:v>
      </x:c>
      <x:c r="D154" s="5" t="str"/>
      <x:c r="E154" s="5" t="str">
        <x:v>peer-review</x:v>
      </x:c>
      <x:c r="F154" s="5" t="str">
        <x:v>S09</x:v>
      </x:c>
      <x:c r="G154" s="5" t="str">
        <x:v>Lower-priority; inspect scope</x:v>
      </x:c>
      <x:c r="H154" s="5" t="str">
        <x:v>Not assigned</x:v>
      </x:c>
      <x:c r="I154" s="5" t="str">
        <x:v>Not started</x:v>
      </x:c>
      <x:c r="J154" s="5" t="str">
        <x:v>Not assigned</x:v>
      </x:c>
      <x:c r="K154" s="5" t="str">
        <x:v>Not started</x:v>
      </x:c>
      <x:c r="L154" s="5" t="str">
        <x:v>Pending</x:v>
      </x:c>
      <x:c r="M154" s="5" t="str"/>
      <x:c r="N154" s="5" t="str">
        <x:v>Not started</x:v>
      </x:c>
      <x:c r="O154" s="5" t="str">
        <x:v>Not started</x:v>
      </x:c>
      <x:c r="P154" s="5" t="str">
        <x:v>Not started</x:v>
      </x:c>
      <x:c r="Q154" s="5" t="str">
        <x:v>Not started</x:v>
      </x:c>
      <x:c r="R154" s="5" t="str">
        <x:v>Pending</x:v>
      </x:c>
      <x:c r="S154" s="5" t="str"/>
      <x:c r="T154" s="5" t="str"/>
      <x:c r="U154" s="5" t="str"/>
      <x:c r="V154" s="5" t="str"/>
      <x:c r="W154" s="5" t="str">
        <x:v>Not linked</x:v>
      </x:c>
      <x:c r="X154" s="5" t="str">
        <x:v>Pending</x:v>
      </x:c>
      <x:c r="Y154" s="5" t="str">
        <x:f>IF(AND(L154="Pending",R154="Pending"),"Pending screening",IF(H154="Not assigned","Assign reviewer",IF(AND(L154="Exclude",M154=""),"Missing TA exclusion reason",IF(AND(R154="Exclude",S154=""),"Missing FT exclusion reason","Decision recorded"))))</x:f>
        <x:v>Pending screening</x:v>
      </x:c>
    </x:row>
    <x:row r="155" ht="53" customHeight="1">
      <x:c r="A155" s="5" t="str">
        <x:v>C0146</x:v>
      </x:c>
      <x:c r="B155" s="5" t="str">
        <x:v>Review for "Uncertainty-aware domain adaptation: a novel framework for cross domain intelligent bearing fault diagnosis"</x:v>
      </x:c>
      <x:c r="C155" s="5" t="str">
        <x:v>10.1088/1361-6501/ae5416/v2/review1</x:v>
      </x:c>
      <x:c r="D155" s="5" t="str"/>
      <x:c r="E155" s="5" t="str">
        <x:v>peer-review</x:v>
      </x:c>
      <x:c r="F155" s="5" t="str">
        <x:v>S09</x:v>
      </x:c>
      <x:c r="G155" s="5" t="str">
        <x:v>Lower-priority; inspect scope</x:v>
      </x:c>
      <x:c r="H155" s="5" t="str">
        <x:v>Not assigned</x:v>
      </x:c>
      <x:c r="I155" s="5" t="str">
        <x:v>Not started</x:v>
      </x:c>
      <x:c r="J155" s="5" t="str">
        <x:v>Not assigned</x:v>
      </x:c>
      <x:c r="K155" s="5" t="str">
        <x:v>Not started</x:v>
      </x:c>
      <x:c r="L155" s="5" t="str">
        <x:v>Pending</x:v>
      </x:c>
      <x:c r="M155" s="5" t="str"/>
      <x:c r="N155" s="5" t="str">
        <x:v>Not started</x:v>
      </x:c>
      <x:c r="O155" s="5" t="str">
        <x:v>Not started</x:v>
      </x:c>
      <x:c r="P155" s="5" t="str">
        <x:v>Not started</x:v>
      </x:c>
      <x:c r="Q155" s="5" t="str">
        <x:v>Not started</x:v>
      </x:c>
      <x:c r="R155" s="5" t="str">
        <x:v>Pending</x:v>
      </x:c>
      <x:c r="S155" s="5" t="str"/>
      <x:c r="T155" s="5" t="str"/>
      <x:c r="U155" s="5" t="str"/>
      <x:c r="V155" s="5" t="str"/>
      <x:c r="W155" s="5" t="str">
        <x:v>Not linked</x:v>
      </x:c>
      <x:c r="X155" s="5" t="str">
        <x:v>Pending</x:v>
      </x:c>
      <x:c r="Y155" s="5" t="str">
        <x:f>IF(AND(L155="Pending",R155="Pending"),"Pending screening",IF(H155="Not assigned","Assign reviewer",IF(AND(L155="Exclude",M155=""),"Missing TA exclusion reason",IF(AND(R155="Exclude",S155=""),"Missing FT exclusion reason","Decision recorded"))))</x:f>
        <x:v>Pending screening</x:v>
      </x:c>
    </x:row>
    <x:row r="156" ht="53" customHeight="1">
      <x:c r="A156" s="5" t="str">
        <x:v>C0147</x:v>
      </x:c>
      <x:c r="B156" s="5" t="str">
        <x:v>Review for "Uncertainty-aware domain adaptation: a novel framework for cross domain intelligent bearing fault diagnosis"</x:v>
      </x:c>
      <x:c r="C156" s="5" t="str">
        <x:v>10.1088/1361-6501/ae5416/v2/review2</x:v>
      </x:c>
      <x:c r="D156" s="5" t="str"/>
      <x:c r="E156" s="5" t="str">
        <x:v>peer-review</x:v>
      </x:c>
      <x:c r="F156" s="5" t="str">
        <x:v>S09</x:v>
      </x:c>
      <x:c r="G156" s="5" t="str">
        <x:v>Lower-priority; inspect scope</x:v>
      </x:c>
      <x:c r="H156" s="5" t="str">
        <x:v>Not assigned</x:v>
      </x:c>
      <x:c r="I156" s="5" t="str">
        <x:v>Not started</x:v>
      </x:c>
      <x:c r="J156" s="5" t="str">
        <x:v>Not assigned</x:v>
      </x:c>
      <x:c r="K156" s="5" t="str">
        <x:v>Not started</x:v>
      </x:c>
      <x:c r="L156" s="5" t="str">
        <x:v>Pending</x:v>
      </x:c>
      <x:c r="M156" s="5" t="str"/>
      <x:c r="N156" s="5" t="str">
        <x:v>Not started</x:v>
      </x:c>
      <x:c r="O156" s="5" t="str">
        <x:v>Not started</x:v>
      </x:c>
      <x:c r="P156" s="5" t="str">
        <x:v>Not started</x:v>
      </x:c>
      <x:c r="Q156" s="5" t="str">
        <x:v>Not started</x:v>
      </x:c>
      <x:c r="R156" s="5" t="str">
        <x:v>Pending</x:v>
      </x:c>
      <x:c r="S156" s="5" t="str"/>
      <x:c r="T156" s="5" t="str"/>
      <x:c r="U156" s="5" t="str"/>
      <x:c r="V156" s="5" t="str"/>
      <x:c r="W156" s="5" t="str">
        <x:v>Not linked</x:v>
      </x:c>
      <x:c r="X156" s="5" t="str">
        <x:v>Pending</x:v>
      </x:c>
      <x:c r="Y156" s="5" t="str">
        <x:f>IF(AND(L156="Pending",R156="Pending"),"Pending screening",IF(H156="Not assigned","Assign reviewer",IF(AND(L156="Exclude",M156=""),"Missing TA exclusion reason",IF(AND(R156="Exclude",S156=""),"Missing FT exclusion reason","Decision recorded"))))</x:f>
        <x:v>Pending screening</x:v>
      </x:c>
    </x:row>
    <x:row r="157" ht="53" customHeight="1">
      <x:c r="A157" s="5" t="str">
        <x:v>C0148</x:v>
      </x:c>
      <x:c r="B157" s="5" t="str">
        <x:v>Review for "Uncertainty-aware domain adaptation: a novel framework for cross domain intelligent bearing fault diagnosis"</x:v>
      </x:c>
      <x:c r="C157" s="5" t="str">
        <x:v>10.1088/1361-6501/ae5416/v1/review2</x:v>
      </x:c>
      <x:c r="D157" s="5" t="str"/>
      <x:c r="E157" s="5" t="str">
        <x:v>peer-review</x:v>
      </x:c>
      <x:c r="F157" s="5" t="str">
        <x:v>S09</x:v>
      </x:c>
      <x:c r="G157" s="5" t="str">
        <x:v>Lower-priority; inspect scope</x:v>
      </x:c>
      <x:c r="H157" s="5" t="str">
        <x:v>Not assigned</x:v>
      </x:c>
      <x:c r="I157" s="5" t="str">
        <x:v>Not started</x:v>
      </x:c>
      <x:c r="J157" s="5" t="str">
        <x:v>Not assigned</x:v>
      </x:c>
      <x:c r="K157" s="5" t="str">
        <x:v>Not started</x:v>
      </x:c>
      <x:c r="L157" s="5" t="str">
        <x:v>Pending</x:v>
      </x:c>
      <x:c r="M157" s="5" t="str"/>
      <x:c r="N157" s="5" t="str">
        <x:v>Not started</x:v>
      </x:c>
      <x:c r="O157" s="5" t="str">
        <x:v>Not started</x:v>
      </x:c>
      <x:c r="P157" s="5" t="str">
        <x:v>Not started</x:v>
      </x:c>
      <x:c r="Q157" s="5" t="str">
        <x:v>Not started</x:v>
      </x:c>
      <x:c r="R157" s="5" t="str">
        <x:v>Pending</x:v>
      </x:c>
      <x:c r="S157" s="5" t="str"/>
      <x:c r="T157" s="5" t="str"/>
      <x:c r="U157" s="5" t="str"/>
      <x:c r="V157" s="5" t="str"/>
      <x:c r="W157" s="5" t="str">
        <x:v>Not linked</x:v>
      </x:c>
      <x:c r="X157" s="5" t="str">
        <x:v>Pending</x:v>
      </x:c>
      <x:c r="Y157" s="5" t="str">
        <x:f>IF(AND(L157="Pending",R157="Pending"),"Pending screening",IF(H157="Not assigned","Assign reviewer",IF(AND(L157="Exclude",M157=""),"Missing TA exclusion reason",IF(AND(R157="Exclude",S157=""),"Missing FT exclusion reason","Decision recorded"))))</x:f>
        <x:v>Pending screening</x:v>
      </x:c>
    </x:row>
    <x:row r="158" ht="53" customHeight="1">
      <x:c r="A158" s="5" t="str">
        <x:v>C0149</x:v>
      </x:c>
      <x:c r="B158" s="5" t="str">
        <x:v>UASSDA-Net: Uncertainty-aware Semi-supervised Domain Adaptation network for choroidal neovascularization segmentation</x:v>
      </x:c>
      <x:c r="C158" s="5" t="str">
        <x:v>10.1109/swc57546.2023.10449168</x:v>
      </x:c>
      <x:c r="D158" s="5" t="str"/>
      <x:c r="E158" s="5" t="str">
        <x:v>proceedings-article</x:v>
      </x:c>
      <x:c r="F158" s="5" t="str">
        <x:v>S09</x:v>
      </x:c>
      <x:c r="G158" s="5" t="str">
        <x:v>Lower-priority; inspect scope</x:v>
      </x:c>
      <x:c r="H158" s="5" t="str">
        <x:v>Not assigned</x:v>
      </x:c>
      <x:c r="I158" s="5" t="str">
        <x:v>Not started</x:v>
      </x:c>
      <x:c r="J158" s="5" t="str">
        <x:v>Not assigned</x:v>
      </x:c>
      <x:c r="K158" s="5" t="str">
        <x:v>Not started</x:v>
      </x:c>
      <x:c r="L158" s="5" t="str">
        <x:v>Pending</x:v>
      </x:c>
      <x:c r="M158" s="5" t="str"/>
      <x:c r="N158" s="5" t="str">
        <x:v>Not started</x:v>
      </x:c>
      <x:c r="O158" s="5" t="str">
        <x:v>Not started</x:v>
      </x:c>
      <x:c r="P158" s="5" t="str">
        <x:v>Not started</x:v>
      </x:c>
      <x:c r="Q158" s="5" t="str">
        <x:v>Not started</x:v>
      </x:c>
      <x:c r="R158" s="5" t="str">
        <x:v>Pending</x:v>
      </x:c>
      <x:c r="S158" s="5" t="str"/>
      <x:c r="T158" s="5" t="str"/>
      <x:c r="U158" s="5" t="str"/>
      <x:c r="V158" s="5" t="str"/>
      <x:c r="W158" s="5" t="str">
        <x:v>Not linked</x:v>
      </x:c>
      <x:c r="X158" s="5" t="str">
        <x:v>Pending</x:v>
      </x:c>
      <x:c r="Y158" s="5" t="str">
        <x:f>IF(AND(L158="Pending",R158="Pending"),"Pending screening",IF(H158="Not assigned","Assign reviewer",IF(AND(L158="Exclude",M158=""),"Missing TA exclusion reason",IF(AND(R158="Exclude",S158=""),"Missing FT exclusion reason","Decision recorded"))))</x:f>
        <x:v>Pending screening</x:v>
      </x:c>
    </x:row>
    <x:row r="159" ht="40" customHeight="1">
      <x:c r="A159" s="5" t="str">
        <x:v>C0150</x:v>
      </x:c>
      <x:c r="B159" s="5" t="str">
        <x:v>Source-Free Active Domain Adaptation for Brain Tumor Segmentation via Mamba and Region-Level Uncertainty</x:v>
      </x:c>
      <x:c r="C159" s="5" t="str">
        <x:v>10.3390/brainsci16030300</x:v>
      </x:c>
      <x:c r="D159" s="5" t="str"/>
      <x:c r="E159" s="5" t="str">
        <x:v>journal-article</x:v>
      </x:c>
      <x:c r="F159" s="5" t="str">
        <x:v>S09</x:v>
      </x:c>
      <x:c r="G159" s="5" t="str">
        <x:v>Lower-priority; inspect scope</x:v>
      </x:c>
      <x:c r="H159" s="5" t="str">
        <x:v>Not assigned</x:v>
      </x:c>
      <x:c r="I159" s="5" t="str">
        <x:v>Not started</x:v>
      </x:c>
      <x:c r="J159" s="5" t="str">
        <x:v>Not assigned</x:v>
      </x:c>
      <x:c r="K159" s="5" t="str">
        <x:v>Not started</x:v>
      </x:c>
      <x:c r="L159" s="5" t="str">
        <x:v>Pending</x:v>
      </x:c>
      <x:c r="M159" s="5" t="str"/>
      <x:c r="N159" s="5" t="str">
        <x:v>Not started</x:v>
      </x:c>
      <x:c r="O159" s="5" t="str">
        <x:v>Not started</x:v>
      </x:c>
      <x:c r="P159" s="5" t="str">
        <x:v>Not started</x:v>
      </x:c>
      <x:c r="Q159" s="5" t="str">
        <x:v>Not started</x:v>
      </x:c>
      <x:c r="R159" s="5" t="str">
        <x:v>Pending</x:v>
      </x:c>
      <x:c r="S159" s="5" t="str"/>
      <x:c r="T159" s="5" t="str"/>
      <x:c r="U159" s="5" t="str"/>
      <x:c r="V159" s="5" t="str"/>
      <x:c r="W159" s="5" t="str">
        <x:v>Not linked</x:v>
      </x:c>
      <x:c r="X159" s="5" t="str">
        <x:v>Pending</x:v>
      </x:c>
      <x:c r="Y159" s="5" t="str">
        <x:f>IF(AND(L159="Pending",R159="Pending"),"Pending screening",IF(H159="Not assigned","Assign reviewer",IF(AND(L159="Exclude",M159=""),"Missing TA exclusion reason",IF(AND(R159="Exclude",S159=""),"Missing FT exclusion reason","Decision recorded"))))</x:f>
        <x:v>Pending screening</x:v>
      </x:c>
    </x:row>
    <x:row r="160" ht="40" customHeight="1">
      <x:c r="A160" s="5" t="str">
        <x:v>C0151</x:v>
      </x:c>
      <x:c r="B160" s="5" t="str">
        <x:v>Bridging the Synthetic-Real Gap: Unsupervised Domain Adaptation for Cross-Domain Image Segmentation</x:v>
      </x:c>
      <x:c r="C160" s="5" t="str">
        <x:v>10.5220/0013613500004664</x:v>
      </x:c>
      <x:c r="D160" s="5" t="str"/>
      <x:c r="E160" s="5" t="str">
        <x:v>proceedings-article</x:v>
      </x:c>
      <x:c r="F160" s="5" t="str">
        <x:v>S09</x:v>
      </x:c>
      <x:c r="G160" s="5" t="str">
        <x:v>Lower-priority; inspect scope</x:v>
      </x:c>
      <x:c r="H160" s="5" t="str">
        <x:v>Not assigned</x:v>
      </x:c>
      <x:c r="I160" s="5" t="str">
        <x:v>Not started</x:v>
      </x:c>
      <x:c r="J160" s="5" t="str">
        <x:v>Not assigned</x:v>
      </x:c>
      <x:c r="K160" s="5" t="str">
        <x:v>Not started</x:v>
      </x:c>
      <x:c r="L160" s="5" t="str">
        <x:v>Pending</x:v>
      </x:c>
      <x:c r="M160" s="5" t="str"/>
      <x:c r="N160" s="5" t="str">
        <x:v>Not started</x:v>
      </x:c>
      <x:c r="O160" s="5" t="str">
        <x:v>Not started</x:v>
      </x:c>
      <x:c r="P160" s="5" t="str">
        <x:v>Not started</x:v>
      </x:c>
      <x:c r="Q160" s="5" t="str">
        <x:v>Not started</x:v>
      </x:c>
      <x:c r="R160" s="5" t="str">
        <x:v>Pending</x:v>
      </x:c>
      <x:c r="S160" s="5" t="str"/>
      <x:c r="T160" s="5" t="str"/>
      <x:c r="U160" s="5" t="str"/>
      <x:c r="V160" s="5" t="str"/>
      <x:c r="W160" s="5" t="str">
        <x:v>Not linked</x:v>
      </x:c>
      <x:c r="X160" s="5" t="str">
        <x:v>Pending</x:v>
      </x:c>
      <x:c r="Y160" s="5" t="str">
        <x:f>IF(AND(L160="Pending",R160="Pending"),"Pending screening",IF(H160="Not assigned","Assign reviewer",IF(AND(L160="Exclude",M160=""),"Missing TA exclusion reason",IF(AND(R160="Exclude",S160=""),"Missing FT exclusion reason","Decision recorded"))))</x:f>
        <x:v>Pending screening</x:v>
      </x:c>
    </x:row>
    <x:row r="161" ht="40" customHeight="1">
      <x:c r="A161" s="5" t="str">
        <x:v>C0152</x:v>
      </x:c>
      <x:c r="B161" s="5" t="str">
        <x:v>Unsupervised Domain Adaptation With Boundary-Aware GAN for Medical Image Segmentation</x:v>
      </x:c>
      <x:c r="C161" s="5" t="str">
        <x:v>10.32920/26871346</x:v>
      </x:c>
      <x:c r="D161" s="5" t="str"/>
      <x:c r="E161" s="5" t="str">
        <x:v>posted-content</x:v>
      </x:c>
      <x:c r="F161" s="5" t="str">
        <x:v>S09</x:v>
      </x:c>
      <x:c r="G161" s="5" t="str">
        <x:v>Lower-priority; inspect scope</x:v>
      </x:c>
      <x:c r="H161" s="5" t="str">
        <x:v>Not assigned</x:v>
      </x:c>
      <x:c r="I161" s="5" t="str">
        <x:v>Not started</x:v>
      </x:c>
      <x:c r="J161" s="5" t="str">
        <x:v>Not assigned</x:v>
      </x:c>
      <x:c r="K161" s="5" t="str">
        <x:v>Not started</x:v>
      </x:c>
      <x:c r="L161" s="5" t="str">
        <x:v>Pending</x:v>
      </x:c>
      <x:c r="M161" s="5" t="str"/>
      <x:c r="N161" s="5" t="str">
        <x:v>Not started</x:v>
      </x:c>
      <x:c r="O161" s="5" t="str">
        <x:v>Not started</x:v>
      </x:c>
      <x:c r="P161" s="5" t="str">
        <x:v>Not started</x:v>
      </x:c>
      <x:c r="Q161" s="5" t="str">
        <x:v>Not started</x:v>
      </x:c>
      <x:c r="R161" s="5" t="str">
        <x:v>Pending</x:v>
      </x:c>
      <x:c r="S161" s="5" t="str"/>
      <x:c r="T161" s="5" t="str"/>
      <x:c r="U161" s="5" t="str"/>
      <x:c r="V161" s="5" t="str"/>
      <x:c r="W161" s="5" t="str">
        <x:v>Not linked</x:v>
      </x:c>
      <x:c r="X161" s="5" t="str">
        <x:v>Pending</x:v>
      </x:c>
      <x:c r="Y161" s="5" t="str">
        <x:f>IF(AND(L161="Pending",R161="Pending"),"Pending screening",IF(H161="Not assigned","Assign reviewer",IF(AND(L161="Exclude",M161=""),"Missing TA exclusion reason",IF(AND(R161="Exclude",S161=""),"Missing FT exclusion reason","Decision recorded"))))</x:f>
        <x:v>Pending screening</x:v>
      </x:c>
    </x:row>
    <x:row r="162" ht="40" customHeight="1">
      <x:c r="A162" s="5" t="str">
        <x:v>C0153</x:v>
      </x:c>
      <x:c r="B162" s="5" t="str">
        <x:v>Unsupervised Domain Adaptation With Boundary-Aware GAN for Medical Image Segmentation</x:v>
      </x:c>
      <x:c r="C162" s="5" t="str">
        <x:v>10.32920/26871346.v1</x:v>
      </x:c>
      <x:c r="D162" s="5" t="str"/>
      <x:c r="E162" s="5" t="str">
        <x:v>posted-content</x:v>
      </x:c>
      <x:c r="F162" s="5" t="str">
        <x:v>S09</x:v>
      </x:c>
      <x:c r="G162" s="5" t="str">
        <x:v>Lower-priority; inspect scope</x:v>
      </x:c>
      <x:c r="H162" s="5" t="str">
        <x:v>Not assigned</x:v>
      </x:c>
      <x:c r="I162" s="5" t="str">
        <x:v>Not started</x:v>
      </x:c>
      <x:c r="J162" s="5" t="str">
        <x:v>Not assigned</x:v>
      </x:c>
      <x:c r="K162" s="5" t="str">
        <x:v>Not started</x:v>
      </x:c>
      <x:c r="L162" s="5" t="str">
        <x:v>Pending</x:v>
      </x:c>
      <x:c r="M162" s="5" t="str"/>
      <x:c r="N162" s="5" t="str">
        <x:v>Not started</x:v>
      </x:c>
      <x:c r="O162" s="5" t="str">
        <x:v>Not started</x:v>
      </x:c>
      <x:c r="P162" s="5" t="str">
        <x:v>Not started</x:v>
      </x:c>
      <x:c r="Q162" s="5" t="str">
        <x:v>Not started</x:v>
      </x:c>
      <x:c r="R162" s="5" t="str">
        <x:v>Pending</x:v>
      </x:c>
      <x:c r="S162" s="5" t="str"/>
      <x:c r="T162" s="5" t="str"/>
      <x:c r="U162" s="5" t="str"/>
      <x:c r="V162" s="5" t="str"/>
      <x:c r="W162" s="5" t="str">
        <x:v>Not linked</x:v>
      </x:c>
      <x:c r="X162" s="5" t="str">
        <x:v>Pending</x:v>
      </x:c>
      <x:c r="Y162" s="5" t="str">
        <x:f>IF(AND(L162="Pending",R162="Pending"),"Pending screening",IF(H162="Not assigned","Assign reviewer",IF(AND(L162="Exclude",M162=""),"Missing TA exclusion reason",IF(AND(R162="Exclude",S162=""),"Missing FT exclusion reason","Decision recorded"))))</x:f>
        <x:v>Pending screening</x:v>
      </x:c>
    </x:row>
    <x:row r="163" ht="40" customHeight="1">
      <x:c r="A163" s="5" t="str">
        <x:v>C0154</x:v>
      </x:c>
      <x:c r="B163" s="5" t="str">
        <x:v>ADVENT: Adversarial Entropy Minimization for Domain Adaptation in Semantic Segmentation</x:v>
      </x:c>
      <x:c r="C163" s="5" t="str">
        <x:v>10.55277/researchhub.5bktj0o6.1</x:v>
      </x:c>
      <x:c r="D163" s="5" t="str"/>
      <x:c r="E163" s="5" t="str">
        <x:v>report</x:v>
      </x:c>
      <x:c r="F163" s="5" t="str">
        <x:v>S09</x:v>
      </x:c>
      <x:c r="G163" s="5" t="str">
        <x:v>Lower-priority; inspect scope</x:v>
      </x:c>
      <x:c r="H163" s="5" t="str">
        <x:v>Not assigned</x:v>
      </x:c>
      <x:c r="I163" s="5" t="str">
        <x:v>Not started</x:v>
      </x:c>
      <x:c r="J163" s="5" t="str">
        <x:v>Not assigned</x:v>
      </x:c>
      <x:c r="K163" s="5" t="str">
        <x:v>Not started</x:v>
      </x:c>
      <x:c r="L163" s="5" t="str">
        <x:v>Pending</x:v>
      </x:c>
      <x:c r="M163" s="5" t="str"/>
      <x:c r="N163" s="5" t="str">
        <x:v>Not started</x:v>
      </x:c>
      <x:c r="O163" s="5" t="str">
        <x:v>Not started</x:v>
      </x:c>
      <x:c r="P163" s="5" t="str">
        <x:v>Not started</x:v>
      </x:c>
      <x:c r="Q163" s="5" t="str">
        <x:v>Not started</x:v>
      </x:c>
      <x:c r="R163" s="5" t="str">
        <x:v>Pending</x:v>
      </x:c>
      <x:c r="S163" s="5" t="str"/>
      <x:c r="T163" s="5" t="str"/>
      <x:c r="U163" s="5" t="str"/>
      <x:c r="V163" s="5" t="str"/>
      <x:c r="W163" s="5" t="str">
        <x:v>Not linked</x:v>
      </x:c>
      <x:c r="X163" s="5" t="str">
        <x:v>Pending</x:v>
      </x:c>
      <x:c r="Y163" s="5" t="str">
        <x:f>IF(AND(L163="Pending",R163="Pending"),"Pending screening",IF(H163="Not assigned","Assign reviewer",IF(AND(L163="Exclude",M163=""),"Missing TA exclusion reason",IF(AND(R163="Exclude",S163=""),"Missing FT exclusion reason","Decision recorded"))))</x:f>
        <x:v>Pending screening</x:v>
      </x:c>
    </x:row>
    <x:row r="164" ht="53" customHeight="1">
      <x:c r="A164" s="5" t="str">
        <x:v>C0155</x:v>
      </x:c>
      <x:c r="B164" s="5" t="str">
        <x:v>Decision letter for "Uncertainty-aware domain adaptation: a novel framework for cross domain intelligent bearing fault diagnosis"</x:v>
      </x:c>
      <x:c r="C164" s="5" t="str">
        <x:v>10.1088/1361-6501/ae5416/v1/decision1</x:v>
      </x:c>
      <x:c r="D164" s="5" t="str"/>
      <x:c r="E164" s="5" t="str">
        <x:v>peer-review</x:v>
      </x:c>
      <x:c r="F164" s="5" t="str">
        <x:v>S09</x:v>
      </x:c>
      <x:c r="G164" s="5" t="str">
        <x:v>Lower-priority; inspect scope</x:v>
      </x:c>
      <x:c r="H164" s="5" t="str">
        <x:v>Not assigned</x:v>
      </x:c>
      <x:c r="I164" s="5" t="str">
        <x:v>Not started</x:v>
      </x:c>
      <x:c r="J164" s="5" t="str">
        <x:v>Not assigned</x:v>
      </x:c>
      <x:c r="K164" s="5" t="str">
        <x:v>Not started</x:v>
      </x:c>
      <x:c r="L164" s="5" t="str">
        <x:v>Pending</x:v>
      </x:c>
      <x:c r="M164" s="5" t="str"/>
      <x:c r="N164" s="5" t="str">
        <x:v>Not started</x:v>
      </x:c>
      <x:c r="O164" s="5" t="str">
        <x:v>Not started</x:v>
      </x:c>
      <x:c r="P164" s="5" t="str">
        <x:v>Not started</x:v>
      </x:c>
      <x:c r="Q164" s="5" t="str">
        <x:v>Not started</x:v>
      </x:c>
      <x:c r="R164" s="5" t="str">
        <x:v>Pending</x:v>
      </x:c>
      <x:c r="S164" s="5" t="str"/>
      <x:c r="T164" s="5" t="str"/>
      <x:c r="U164" s="5" t="str"/>
      <x:c r="V164" s="5" t="str"/>
      <x:c r="W164" s="5" t="str">
        <x:v>Not linked</x:v>
      </x:c>
      <x:c r="X164" s="5" t="str">
        <x:v>Pending</x:v>
      </x:c>
      <x:c r="Y164" s="5" t="str">
        <x:f>IF(AND(L164="Pending",R164="Pending"),"Pending screening",IF(H164="Not assigned","Assign reviewer",IF(AND(L164="Exclude",M164=""),"Missing TA exclusion reason",IF(AND(R164="Exclude",S164=""),"Missing FT exclusion reason","Decision recorded"))))</x:f>
        <x:v>Pending screening</x:v>
      </x:c>
    </x:row>
    <x:row r="165" ht="53" customHeight="1">
      <x:c r="A165" s="5" t="str">
        <x:v>C0156</x:v>
      </x:c>
      <x:c r="B165" s="5" t="str">
        <x:v>Decision letter for "Uncertainty-aware domain adaptation: a novel framework for cross domain intelligent bearing fault diagnosis"</x:v>
      </x:c>
      <x:c r="C165" s="5" t="str">
        <x:v>10.1088/1361-6501/ae5416/v2/decision1</x:v>
      </x:c>
      <x:c r="D165" s="5" t="str"/>
      <x:c r="E165" s="5" t="str">
        <x:v>peer-review</x:v>
      </x:c>
      <x:c r="F165" s="5" t="str">
        <x:v>S09</x:v>
      </x:c>
      <x:c r="G165" s="5" t="str">
        <x:v>Lower-priority; inspect scope</x:v>
      </x:c>
      <x:c r="H165" s="5" t="str">
        <x:v>Not assigned</x:v>
      </x:c>
      <x:c r="I165" s="5" t="str">
        <x:v>Not started</x:v>
      </x:c>
      <x:c r="J165" s="5" t="str">
        <x:v>Not assigned</x:v>
      </x:c>
      <x:c r="K165" s="5" t="str">
        <x:v>Not started</x:v>
      </x:c>
      <x:c r="L165" s="5" t="str">
        <x:v>Pending</x:v>
      </x:c>
      <x:c r="M165" s="5" t="str"/>
      <x:c r="N165" s="5" t="str">
        <x:v>Not started</x:v>
      </x:c>
      <x:c r="O165" s="5" t="str">
        <x:v>Not started</x:v>
      </x:c>
      <x:c r="P165" s="5" t="str">
        <x:v>Not started</x:v>
      </x:c>
      <x:c r="Q165" s="5" t="str">
        <x:v>Not started</x:v>
      </x:c>
      <x:c r="R165" s="5" t="str">
        <x:v>Pending</x:v>
      </x:c>
      <x:c r="S165" s="5" t="str"/>
      <x:c r="T165" s="5" t="str"/>
      <x:c r="U165" s="5" t="str"/>
      <x:c r="V165" s="5" t="str"/>
      <x:c r="W165" s="5" t="str">
        <x:v>Not linked</x:v>
      </x:c>
      <x:c r="X165" s="5" t="str">
        <x:v>Pending</x:v>
      </x:c>
      <x:c r="Y165" s="5" t="str">
        <x:f>IF(AND(L165="Pending",R165="Pending"),"Pending screening",IF(H165="Not assigned","Assign reviewer",IF(AND(L165="Exclude",M165=""),"Missing TA exclusion reason",IF(AND(R165="Exclude",S165=""),"Missing FT exclusion reason","Decision recorded"))))</x:f>
        <x:v>Pending screening</x:v>
      </x:c>
    </x:row>
    <x:row r="166" ht="40" customHeight="1">
      <x:c r="A166" s="5" t="str">
        <x:v>C0157</x:v>
      </x:c>
      <x:c r="B166" s="5" t="str">
        <x:v>Review for "Rib Segmentation in Chest X-ray Images based on Unsupervised Domain Adaptation"</x:v>
      </x:c>
      <x:c r="C166" s="5" t="str">
        <x:v>10.1088/2057-1976/ad1663/v1/review2</x:v>
      </x:c>
      <x:c r="D166" s="5" t="str"/>
      <x:c r="E166" s="5" t="str">
        <x:v>peer-review</x:v>
      </x:c>
      <x:c r="F166" s="5" t="str">
        <x:v>S09</x:v>
      </x:c>
      <x:c r="G166" s="5" t="str">
        <x:v>Lower-priority; inspect scope</x:v>
      </x:c>
      <x:c r="H166" s="5" t="str">
        <x:v>Not assigned</x:v>
      </x:c>
      <x:c r="I166" s="5" t="str">
        <x:v>Not started</x:v>
      </x:c>
      <x:c r="J166" s="5" t="str">
        <x:v>Not assigned</x:v>
      </x:c>
      <x:c r="K166" s="5" t="str">
        <x:v>Not started</x:v>
      </x:c>
      <x:c r="L166" s="5" t="str">
        <x:v>Pending</x:v>
      </x:c>
      <x:c r="M166" s="5" t="str"/>
      <x:c r="N166" s="5" t="str">
        <x:v>Not started</x:v>
      </x:c>
      <x:c r="O166" s="5" t="str">
        <x:v>Not started</x:v>
      </x:c>
      <x:c r="P166" s="5" t="str">
        <x:v>Not started</x:v>
      </x:c>
      <x:c r="Q166" s="5" t="str">
        <x:v>Not started</x:v>
      </x:c>
      <x:c r="R166" s="5" t="str">
        <x:v>Pending</x:v>
      </x:c>
      <x:c r="S166" s="5" t="str"/>
      <x:c r="T166" s="5" t="str"/>
      <x:c r="U166" s="5" t="str"/>
      <x:c r="V166" s="5" t="str"/>
      <x:c r="W166" s="5" t="str">
        <x:v>Not linked</x:v>
      </x:c>
      <x:c r="X166" s="5" t="str">
        <x:v>Pending</x:v>
      </x:c>
      <x:c r="Y166" s="5" t="str">
        <x:f>IF(AND(L166="Pending",R166="Pending"),"Pending screening",IF(H166="Not assigned","Assign reviewer",IF(AND(L166="Exclude",M166=""),"Missing TA exclusion reason",IF(AND(R166="Exclude",S166=""),"Missing FT exclusion reason","Decision recorded"))))</x:f>
        <x:v>Pending screening</x:v>
      </x:c>
    </x:row>
    <x:row r="167" ht="40" customHeight="1">
      <x:c r="A167" s="5" t="str">
        <x:v>C0158</x:v>
      </x:c>
      <x:c r="B167" s="5" t="str">
        <x:v>Unsupervised Camouﬂaged Object Segmentation as Domain Adaptation</x:v>
      </x:c>
      <x:c r="C167" s="5" t="str">
        <x:v>10.31219/osf.io/3rtgu</x:v>
      </x:c>
      <x:c r="D167" s="5" t="str"/>
      <x:c r="E167" s="5" t="str">
        <x:v>posted-content</x:v>
      </x:c>
      <x:c r="F167" s="5" t="str">
        <x:v>S09</x:v>
      </x:c>
      <x:c r="G167" s="5" t="str">
        <x:v>Lower-priority; inspect scope</x:v>
      </x:c>
      <x:c r="H167" s="5" t="str">
        <x:v>Not assigned</x:v>
      </x:c>
      <x:c r="I167" s="5" t="str">
        <x:v>Not started</x:v>
      </x:c>
      <x:c r="J167" s="5" t="str">
        <x:v>Not assigned</x:v>
      </x:c>
      <x:c r="K167" s="5" t="str">
        <x:v>Not started</x:v>
      </x:c>
      <x:c r="L167" s="5" t="str">
        <x:v>Pending</x:v>
      </x:c>
      <x:c r="M167" s="5" t="str"/>
      <x:c r="N167" s="5" t="str">
        <x:v>Not started</x:v>
      </x:c>
      <x:c r="O167" s="5" t="str">
        <x:v>Not started</x:v>
      </x:c>
      <x:c r="P167" s="5" t="str">
        <x:v>Not started</x:v>
      </x:c>
      <x:c r="Q167" s="5" t="str">
        <x:v>Not started</x:v>
      </x:c>
      <x:c r="R167" s="5" t="str">
        <x:v>Pending</x:v>
      </x:c>
      <x:c r="S167" s="5" t="str"/>
      <x:c r="T167" s="5" t="str"/>
      <x:c r="U167" s="5" t="str"/>
      <x:c r="V167" s="5" t="str"/>
      <x:c r="W167" s="5" t="str">
        <x:v>Not linked</x:v>
      </x:c>
      <x:c r="X167" s="5" t="str">
        <x:v>Pending</x:v>
      </x:c>
      <x:c r="Y167" s="5" t="str">
        <x:f>IF(AND(L167="Pending",R167="Pending"),"Pending screening",IF(H167="Not assigned","Assign reviewer",IF(AND(L167="Exclude",M167=""),"Missing TA exclusion reason",IF(AND(R167="Exclude",S167=""),"Missing FT exclusion reason","Decision recorded"))))</x:f>
        <x:v>Pending screening</x:v>
      </x:c>
    </x:row>
    <x:row r="168" ht="40" customHeight="1">
      <x:c r="A168" s="5" t="str">
        <x:v>C0159</x:v>
      </x:c>
      <x:c r="B168" s="5" t="str">
        <x:v>Review for "Rib Segmentation in Chest X-ray Images based on Unsupervised Domain Adaptation"</x:v>
      </x:c>
      <x:c r="C168" s="5" t="str">
        <x:v>10.1088/2057-1976/ad1663/v1/review1</x:v>
      </x:c>
      <x:c r="D168" s="5" t="str"/>
      <x:c r="E168" s="5" t="str">
        <x:v>peer-review</x:v>
      </x:c>
      <x:c r="F168" s="5" t="str">
        <x:v>S09</x:v>
      </x:c>
      <x:c r="G168" s="5" t="str">
        <x:v>Lower-priority; inspect scope</x:v>
      </x:c>
      <x:c r="H168" s="5" t="str">
        <x:v>Not assigned</x:v>
      </x:c>
      <x:c r="I168" s="5" t="str">
        <x:v>Not started</x:v>
      </x:c>
      <x:c r="J168" s="5" t="str">
        <x:v>Not assigned</x:v>
      </x:c>
      <x:c r="K168" s="5" t="str">
        <x:v>Not started</x:v>
      </x:c>
      <x:c r="L168" s="5" t="str">
        <x:v>Pending</x:v>
      </x:c>
      <x:c r="M168" s="5" t="str"/>
      <x:c r="N168" s="5" t="str">
        <x:v>Not started</x:v>
      </x:c>
      <x:c r="O168" s="5" t="str">
        <x:v>Not started</x:v>
      </x:c>
      <x:c r="P168" s="5" t="str">
        <x:v>Not started</x:v>
      </x:c>
      <x:c r="Q168" s="5" t="str">
        <x:v>Not started</x:v>
      </x:c>
      <x:c r="R168" s="5" t="str">
        <x:v>Pending</x:v>
      </x:c>
      <x:c r="S168" s="5" t="str"/>
      <x:c r="T168" s="5" t="str"/>
      <x:c r="U168" s="5" t="str"/>
      <x:c r="V168" s="5" t="str"/>
      <x:c r="W168" s="5" t="str">
        <x:v>Not linked</x:v>
      </x:c>
      <x:c r="X168" s="5" t="str">
        <x:v>Pending</x:v>
      </x:c>
      <x:c r="Y168" s="5" t="str">
        <x:f>IF(AND(L168="Pending",R168="Pending"),"Pending screening",IF(H168="Not assigned","Assign reviewer",IF(AND(L168="Exclude",M168=""),"Missing TA exclusion reason",IF(AND(R168="Exclude",S168=""),"Missing FT exclusion reason","Decision recorded"))))</x:f>
        <x:v>Pending screening</x:v>
      </x:c>
    </x:row>
    <x:row r="169" ht="40" customHeight="1">
      <x:c r="A169" s="5" t="str">
        <x:v>C0160</x:v>
      </x:c>
      <x:c r="B169" s="5" t="str">
        <x:v>Segmentation Cycle-GAN Loss for Structure-Preserving Domain Adaptation of Medical Images</x:v>
      </x:c>
      <x:c r="C169" s="5" t="str">
        <x:v>10.32920/26871343.v1</x:v>
      </x:c>
      <x:c r="D169" s="5" t="str"/>
      <x:c r="E169" s="5" t="str">
        <x:v>posted-content</x:v>
      </x:c>
      <x:c r="F169" s="5" t="str">
        <x:v>S09</x:v>
      </x:c>
      <x:c r="G169" s="5" t="str">
        <x:v>Lower-priority; inspect scope</x:v>
      </x:c>
      <x:c r="H169" s="5" t="str">
        <x:v>Not assigned</x:v>
      </x:c>
      <x:c r="I169" s="5" t="str">
        <x:v>Not started</x:v>
      </x:c>
      <x:c r="J169" s="5" t="str">
        <x:v>Not assigned</x:v>
      </x:c>
      <x:c r="K169" s="5" t="str">
        <x:v>Not started</x:v>
      </x:c>
      <x:c r="L169" s="5" t="str">
        <x:v>Pending</x:v>
      </x:c>
      <x:c r="M169" s="5" t="str"/>
      <x:c r="N169" s="5" t="str">
        <x:v>Not started</x:v>
      </x:c>
      <x:c r="O169" s="5" t="str">
        <x:v>Not started</x:v>
      </x:c>
      <x:c r="P169" s="5" t="str">
        <x:v>Not started</x:v>
      </x:c>
      <x:c r="Q169" s="5" t="str">
        <x:v>Not started</x:v>
      </x:c>
      <x:c r="R169" s="5" t="str">
        <x:v>Pending</x:v>
      </x:c>
      <x:c r="S169" s="5" t="str"/>
      <x:c r="T169" s="5" t="str"/>
      <x:c r="U169" s="5" t="str"/>
      <x:c r="V169" s="5" t="str"/>
      <x:c r="W169" s="5" t="str">
        <x:v>Not linked</x:v>
      </x:c>
      <x:c r="X169" s="5" t="str">
        <x:v>Pending</x:v>
      </x:c>
      <x:c r="Y169" s="5" t="str">
        <x:f>IF(AND(L169="Pending",R169="Pending"),"Pending screening",IF(H169="Not assigned","Assign reviewer",IF(AND(L169="Exclude",M169=""),"Missing TA exclusion reason",IF(AND(R169="Exclude",S169=""),"Missing FT exclusion reason","Decision recorded"))))</x:f>
        <x:v>Pending screening</x:v>
      </x:c>
    </x:row>
    <x:row r="170" ht="40" customHeight="1">
      <x:c r="A170" s="5" t="str">
        <x:v>C0161</x:v>
      </x:c>
      <x:c r="B170" s="5" t="str">
        <x:v>Edge-preserving Domain Adaptation for semantic segmentation of Medical Images</x:v>
      </x:c>
      <x:c r="C170" s="5" t="str">
        <x:v>10.32920/22734362.v1</x:v>
      </x:c>
      <x:c r="D170" s="5" t="str"/>
      <x:c r="E170" s="5" t="str">
        <x:v>posted-content</x:v>
      </x:c>
      <x:c r="F170" s="5" t="str">
        <x:v>S09</x:v>
      </x:c>
      <x:c r="G170" s="5" t="str">
        <x:v>Lower-priority; inspect scope</x:v>
      </x:c>
      <x:c r="H170" s="5" t="str">
        <x:v>Not assigned</x:v>
      </x:c>
      <x:c r="I170" s="5" t="str">
        <x:v>Not started</x:v>
      </x:c>
      <x:c r="J170" s="5" t="str">
        <x:v>Not assigned</x:v>
      </x:c>
      <x:c r="K170" s="5" t="str">
        <x:v>Not started</x:v>
      </x:c>
      <x:c r="L170" s="5" t="str">
        <x:v>Pending</x:v>
      </x:c>
      <x:c r="M170" s="5" t="str"/>
      <x:c r="N170" s="5" t="str">
        <x:v>Not started</x:v>
      </x:c>
      <x:c r="O170" s="5" t="str">
        <x:v>Not started</x:v>
      </x:c>
      <x:c r="P170" s="5" t="str">
        <x:v>Not started</x:v>
      </x:c>
      <x:c r="Q170" s="5" t="str">
        <x:v>Not started</x:v>
      </x:c>
      <x:c r="R170" s="5" t="str">
        <x:v>Pending</x:v>
      </x:c>
      <x:c r="S170" s="5" t="str"/>
      <x:c r="T170" s="5" t="str"/>
      <x:c r="U170" s="5" t="str"/>
      <x:c r="V170" s="5" t="str"/>
      <x:c r="W170" s="5" t="str">
        <x:v>Not linked</x:v>
      </x:c>
      <x:c r="X170" s="5" t="str">
        <x:v>Pending</x:v>
      </x:c>
      <x:c r="Y170" s="5" t="str">
        <x:f>IF(AND(L170="Pending",R170="Pending"),"Pending screening",IF(H170="Not assigned","Assign reviewer",IF(AND(L170="Exclude",M170=""),"Missing TA exclusion reason",IF(AND(R170="Exclude",S170=""),"Missing FT exclusion reason","Decision recorded"))))</x:f>
        <x:v>Pending screening</x:v>
      </x:c>
    </x:row>
    <x:row r="171" ht="40" customHeight="1">
      <x:c r="A171" s="5" t="str">
        <x:v>C0162</x:v>
      </x:c>
      <x:c r="B171" s="5" t="str">
        <x:v>Segmentation Cycle-GAN Loss for Structure-Preserving Domain Adaptation of Medical Images</x:v>
      </x:c>
      <x:c r="C171" s="5" t="str">
        <x:v>10.32920/26871343</x:v>
      </x:c>
      <x:c r="D171" s="5" t="str"/>
      <x:c r="E171" s="5" t="str">
        <x:v>posted-content</x:v>
      </x:c>
      <x:c r="F171" s="5" t="str">
        <x:v>S09</x:v>
      </x:c>
      <x:c r="G171" s="5" t="str">
        <x:v>Lower-priority; inspect scope</x:v>
      </x:c>
      <x:c r="H171" s="5" t="str">
        <x:v>Not assigned</x:v>
      </x:c>
      <x:c r="I171" s="5" t="str">
        <x:v>Not started</x:v>
      </x:c>
      <x:c r="J171" s="5" t="str">
        <x:v>Not assigned</x:v>
      </x:c>
      <x:c r="K171" s="5" t="str">
        <x:v>Not started</x:v>
      </x:c>
      <x:c r="L171" s="5" t="str">
        <x:v>Pending</x:v>
      </x:c>
      <x:c r="M171" s="5" t="str"/>
      <x:c r="N171" s="5" t="str">
        <x:v>Not started</x:v>
      </x:c>
      <x:c r="O171" s="5" t="str">
        <x:v>Not started</x:v>
      </x:c>
      <x:c r="P171" s="5" t="str">
        <x:v>Not started</x:v>
      </x:c>
      <x:c r="Q171" s="5" t="str">
        <x:v>Not started</x:v>
      </x:c>
      <x:c r="R171" s="5" t="str">
        <x:v>Pending</x:v>
      </x:c>
      <x:c r="S171" s="5" t="str"/>
      <x:c r="T171" s="5" t="str"/>
      <x:c r="U171" s="5" t="str"/>
      <x:c r="V171" s="5" t="str"/>
      <x:c r="W171" s="5" t="str">
        <x:v>Not linked</x:v>
      </x:c>
      <x:c r="X171" s="5" t="str">
        <x:v>Pending</x:v>
      </x:c>
      <x:c r="Y171" s="5" t="str">
        <x:f>IF(AND(L171="Pending",R171="Pending"),"Pending screening",IF(H171="Not assigned","Assign reviewer",IF(AND(L171="Exclude",M171=""),"Missing TA exclusion reason",IF(AND(R171="Exclude",S171=""),"Missing FT exclusion reason","Decision recorded"))))</x:f>
        <x:v>Pending screening</x:v>
      </x:c>
    </x:row>
    <x:row r="172" ht="40" customHeight="1">
      <x:c r="A172" s="5" t="str">
        <x:v>C0163</x:v>
      </x:c>
      <x:c r="B172" s="5" t="str">
        <x:v>Edge-preserving Domain Adaptation for semantic segmentation of Medical Images</x:v>
      </x:c>
      <x:c r="C172" s="5" t="str">
        <x:v>10.32920/22734362</x:v>
      </x:c>
      <x:c r="D172" s="5" t="str"/>
      <x:c r="E172" s="5" t="str">
        <x:v>posted-content</x:v>
      </x:c>
      <x:c r="F172" s="5" t="str">
        <x:v>S09</x:v>
      </x:c>
      <x:c r="G172" s="5" t="str">
        <x:v>Lower-priority; inspect scope</x:v>
      </x:c>
      <x:c r="H172" s="5" t="str">
        <x:v>Not assigned</x:v>
      </x:c>
      <x:c r="I172" s="5" t="str">
        <x:v>Not started</x:v>
      </x:c>
      <x:c r="J172" s="5" t="str">
        <x:v>Not assigned</x:v>
      </x:c>
      <x:c r="K172" s="5" t="str">
        <x:v>Not started</x:v>
      </x:c>
      <x:c r="L172" s="5" t="str">
        <x:v>Pending</x:v>
      </x:c>
      <x:c r="M172" s="5" t="str"/>
      <x:c r="N172" s="5" t="str">
        <x:v>Not started</x:v>
      </x:c>
      <x:c r="O172" s="5" t="str">
        <x:v>Not started</x:v>
      </x:c>
      <x:c r="P172" s="5" t="str">
        <x:v>Not started</x:v>
      </x:c>
      <x:c r="Q172" s="5" t="str">
        <x:v>Not started</x:v>
      </x:c>
      <x:c r="R172" s="5" t="str">
        <x:v>Pending</x:v>
      </x:c>
      <x:c r="S172" s="5" t="str"/>
      <x:c r="T172" s="5" t="str"/>
      <x:c r="U172" s="5" t="str"/>
      <x:c r="V172" s="5" t="str"/>
      <x:c r="W172" s="5" t="str">
        <x:v>Not linked</x:v>
      </x:c>
      <x:c r="X172" s="5" t="str">
        <x:v>Pending</x:v>
      </x:c>
      <x:c r="Y172" s="5" t="str">
        <x:f>IF(AND(L172="Pending",R172="Pending"),"Pending screening",IF(H172="Not assigned","Assign reviewer",IF(AND(L172="Exclude",M172=""),"Missing TA exclusion reason",IF(AND(R172="Exclude",S172=""),"Missing FT exclusion reason","Decision recorded"))))</x:f>
        <x:v>Pending screening</x:v>
      </x:c>
    </x:row>
    <x:row r="173" ht="40" customHeight="1">
      <x:c r="A173" s="5" t="str">
        <x:v>C0164</x:v>
      </x:c>
      <x:c r="B173" s="5" t="str">
        <x:v>Review for "Rib Segmentation in Chest X-ray Images based on Unsupervised Domain Adaptation"</x:v>
      </x:c>
      <x:c r="C173" s="5" t="str">
        <x:v>10.1088/2057-1976/ad1663/v2/review1</x:v>
      </x:c>
      <x:c r="D173" s="5" t="str"/>
      <x:c r="E173" s="5" t="str">
        <x:v>peer-review</x:v>
      </x:c>
      <x:c r="F173" s="5" t="str">
        <x:v>S09</x:v>
      </x:c>
      <x:c r="G173" s="5" t="str">
        <x:v>Lower-priority; inspect scope</x:v>
      </x:c>
      <x:c r="H173" s="5" t="str">
        <x:v>Not assigned</x:v>
      </x:c>
      <x:c r="I173" s="5" t="str">
        <x:v>Not started</x:v>
      </x:c>
      <x:c r="J173" s="5" t="str">
        <x:v>Not assigned</x:v>
      </x:c>
      <x:c r="K173" s="5" t="str">
        <x:v>Not started</x:v>
      </x:c>
      <x:c r="L173" s="5" t="str">
        <x:v>Pending</x:v>
      </x:c>
      <x:c r="M173" s="5" t="str"/>
      <x:c r="N173" s="5" t="str">
        <x:v>Not started</x:v>
      </x:c>
      <x:c r="O173" s="5" t="str">
        <x:v>Not started</x:v>
      </x:c>
      <x:c r="P173" s="5" t="str">
        <x:v>Not started</x:v>
      </x:c>
      <x:c r="Q173" s="5" t="str">
        <x:v>Not started</x:v>
      </x:c>
      <x:c r="R173" s="5" t="str">
        <x:v>Pending</x:v>
      </x:c>
      <x:c r="S173" s="5" t="str"/>
      <x:c r="T173" s="5" t="str"/>
      <x:c r="U173" s="5" t="str"/>
      <x:c r="V173" s="5" t="str"/>
      <x:c r="W173" s="5" t="str">
        <x:v>Not linked</x:v>
      </x:c>
      <x:c r="X173" s="5" t="str">
        <x:v>Pending</x:v>
      </x:c>
      <x:c r="Y173" s="5" t="str">
        <x:f>IF(AND(L173="Pending",R173="Pending"),"Pending screening",IF(H173="Not assigned","Assign reviewer",IF(AND(L173="Exclude",M173=""),"Missing TA exclusion reason",IF(AND(R173="Exclude",S173=""),"Missing FT exclusion reason","Decision recorded"))))</x:f>
        <x:v>Pending screening</x:v>
      </x:c>
    </x:row>
    <x:row r="174" ht="40" customHeight="1">
      <x:c r="A174" s="5" t="str">
        <x:v>C0165</x:v>
      </x:c>
      <x:c r="B174" s="5" t="str">
        <x:v>Uncertainty inspired domain adaptation network for rail surface defect segmentation</x:v>
      </x:c>
      <x:c r="C174" s="5" t="str">
        <x:v>10.1016/j.engappai.2024.108860</x:v>
      </x:c>
      <x:c r="D174" s="5" t="str"/>
      <x:c r="E174" s="5" t="str">
        <x:v>journal-article</x:v>
      </x:c>
      <x:c r="F174" s="5" t="str">
        <x:v>S09</x:v>
      </x:c>
      <x:c r="G174" s="5" t="str">
        <x:v>Title-scope candidate</x:v>
      </x:c>
      <x:c r="H174" s="5" t="str">
        <x:v>Not assigned</x:v>
      </x:c>
      <x:c r="I174" s="5" t="str">
        <x:v>Not started</x:v>
      </x:c>
      <x:c r="J174" s="5" t="str">
        <x:v>Not assigned</x:v>
      </x:c>
      <x:c r="K174" s="5" t="str">
        <x:v>Not started</x:v>
      </x:c>
      <x:c r="L174" s="5" t="str">
        <x:v>Pending</x:v>
      </x:c>
      <x:c r="M174" s="5" t="str"/>
      <x:c r="N174" s="5" t="str">
        <x:v>Not started</x:v>
      </x:c>
      <x:c r="O174" s="5" t="str">
        <x:v>Not started</x:v>
      </x:c>
      <x:c r="P174" s="5" t="str">
        <x:v>Not started</x:v>
      </x:c>
      <x:c r="Q174" s="5" t="str">
        <x:v>Not started</x:v>
      </x:c>
      <x:c r="R174" s="5" t="str">
        <x:v>Pending</x:v>
      </x:c>
      <x:c r="S174" s="5" t="str"/>
      <x:c r="T174" s="5" t="str"/>
      <x:c r="U174" s="5" t="str"/>
      <x:c r="V174" s="5" t="str"/>
      <x:c r="W174" s="5" t="str">
        <x:v>Not linked</x:v>
      </x:c>
      <x:c r="X174" s="5" t="str">
        <x:v>Pending</x:v>
      </x:c>
      <x:c r="Y174" s="5" t="str">
        <x:f>IF(AND(L174="Pending",R174="Pending"),"Pending screening",IF(H174="Not assigned","Assign reviewer",IF(AND(L174="Exclude",M174=""),"Missing TA exclusion reason",IF(AND(R174="Exclude",S174=""),"Missing FT exclusion reason","Decision recorded"))))</x:f>
        <x:v>Pending screening</x:v>
      </x:c>
    </x:row>
    <x:row r="175" ht="40" customHeight="1">
      <x:c r="A175" s="5" t="str">
        <x:v>C0166</x:v>
      </x:c>
      <x:c r="B175" s="5" t="str">
        <x:v>Domain Adaptation in LiDAR Semantic Segmentation by Aligning Class Distributions</x:v>
      </x:c>
      <x:c r="C175" s="5" t="str">
        <x:v>10.5220/0010610703300337</x:v>
      </x:c>
      <x:c r="D175" s="5" t="str"/>
      <x:c r="E175" s="5" t="str">
        <x:v>proceedings-article</x:v>
      </x:c>
      <x:c r="F175" s="5" t="str">
        <x:v>S09</x:v>
      </x:c>
      <x:c r="G175" s="5" t="str">
        <x:v>Lower-priority; inspect scope</x:v>
      </x:c>
      <x:c r="H175" s="5" t="str">
        <x:v>Not assigned</x:v>
      </x:c>
      <x:c r="I175" s="5" t="str">
        <x:v>Not started</x:v>
      </x:c>
      <x:c r="J175" s="5" t="str">
        <x:v>Not assigned</x:v>
      </x:c>
      <x:c r="K175" s="5" t="str">
        <x:v>Not started</x:v>
      </x:c>
      <x:c r="L175" s="5" t="str">
        <x:v>Pending</x:v>
      </x:c>
      <x:c r="M175" s="5" t="str"/>
      <x:c r="N175" s="5" t="str">
        <x:v>Not started</x:v>
      </x:c>
      <x:c r="O175" s="5" t="str">
        <x:v>Not started</x:v>
      </x:c>
      <x:c r="P175" s="5" t="str">
        <x:v>Not started</x:v>
      </x:c>
      <x:c r="Q175" s="5" t="str">
        <x:v>Not started</x:v>
      </x:c>
      <x:c r="R175" s="5" t="str">
        <x:v>Pending</x:v>
      </x:c>
      <x:c r="S175" s="5" t="str"/>
      <x:c r="T175" s="5" t="str"/>
      <x:c r="U175" s="5" t="str"/>
      <x:c r="V175" s="5" t="str"/>
      <x:c r="W175" s="5" t="str">
        <x:v>Not linked</x:v>
      </x:c>
      <x:c r="X175" s="5" t="str">
        <x:v>Pending</x:v>
      </x:c>
      <x:c r="Y175" s="5" t="str">
        <x:f>IF(AND(L175="Pending",R175="Pending"),"Pending screening",IF(H175="Not assigned","Assign reviewer",IF(AND(L175="Exclude",M175=""),"Missing TA exclusion reason",IF(AND(R175="Exclude",S175=""),"Missing FT exclusion reason","Decision recorded"))))</x:f>
        <x:v>Pending screening</x:v>
      </x:c>
    </x:row>
    <x:row r="176" ht="40" customHeight="1">
      <x:c r="A176" s="5" t="str">
        <x:v>C0167</x:v>
      </x:c>
      <x:c r="B176" s="5" t="str">
        <x:v>Self-Supervised Contrastive Learning for Unsupervised Anomaly Detection in Industrial Surface Inspection</x:v>
      </x:c>
      <x:c r="C176" s="5" t="str">
        <x:v>10.2139/ssrn.7011192</x:v>
      </x:c>
      <x:c r="D176" s="5" t="str"/>
      <x:c r="E176" s="5" t="str">
        <x:v>posted-content</x:v>
      </x:c>
      <x:c r="F176" s="5" t="str">
        <x:v>S10; S13</x:v>
      </x:c>
      <x:c r="G176" s="5" t="str">
        <x:v>Title-scope candidate</x:v>
      </x:c>
      <x:c r="H176" s="5" t="str">
        <x:v>Not assigned</x:v>
      </x:c>
      <x:c r="I176" s="5" t="str">
        <x:v>Not started</x:v>
      </x:c>
      <x:c r="J176" s="5" t="str">
        <x:v>Not assigned</x:v>
      </x:c>
      <x:c r="K176" s="5" t="str">
        <x:v>Not started</x:v>
      </x:c>
      <x:c r="L176" s="5" t="str">
        <x:v>Pending</x:v>
      </x:c>
      <x:c r="M176" s="5" t="str"/>
      <x:c r="N176" s="5" t="str">
        <x:v>Not started</x:v>
      </x:c>
      <x:c r="O176" s="5" t="str">
        <x:v>Not started</x:v>
      </x:c>
      <x:c r="P176" s="5" t="str">
        <x:v>Not started</x:v>
      </x:c>
      <x:c r="Q176" s="5" t="str">
        <x:v>Not started</x:v>
      </x:c>
      <x:c r="R176" s="5" t="str">
        <x:v>Pending</x:v>
      </x:c>
      <x:c r="S176" s="5" t="str"/>
      <x:c r="T176" s="5" t="str"/>
      <x:c r="U176" s="5" t="str"/>
      <x:c r="V176" s="5" t="str"/>
      <x:c r="W176" s="5" t="str">
        <x:v>Not linked</x:v>
      </x:c>
      <x:c r="X176" s="5" t="str">
        <x:v>Pending</x:v>
      </x:c>
      <x:c r="Y176" s="5" t="str">
        <x:f>IF(AND(L176="Pending",R176="Pending"),"Pending screening",IF(H176="Not assigned","Assign reviewer",IF(AND(L176="Exclude",M176=""),"Missing TA exclusion reason",IF(AND(R176="Exclude",S176=""),"Missing FT exclusion reason","Decision recorded"))))</x:f>
        <x:v>Pending screening</x:v>
      </x:c>
    </x:row>
    <x:row r="177" ht="40" customHeight="1">
      <x:c r="A177" s="5" t="str">
        <x:v>C0168</x:v>
      </x:c>
      <x:c r="B177" s="5" t="str">
        <x:v>Cognitive visual anomaly detection with constrained latent representations for industrial inspection robot</x:v>
      </x:c>
      <x:c r="C177" s="5" t="str">
        <x:v>10.1016/j.asoc.2020.106539</x:v>
      </x:c>
      <x:c r="D177" s="5" t="str"/>
      <x:c r="E177" s="5" t="str">
        <x:v>journal-article</x:v>
      </x:c>
      <x:c r="F177" s="5" t="str">
        <x:v>S10</x:v>
      </x:c>
      <x:c r="G177" s="5" t="str">
        <x:v>Title-scope candidate</x:v>
      </x:c>
      <x:c r="H177" s="5" t="str">
        <x:v>Not assigned</x:v>
      </x:c>
      <x:c r="I177" s="5" t="str">
        <x:v>Not started</x:v>
      </x:c>
      <x:c r="J177" s="5" t="str">
        <x:v>Not assigned</x:v>
      </x:c>
      <x:c r="K177" s="5" t="str">
        <x:v>Not started</x:v>
      </x:c>
      <x:c r="L177" s="5" t="str">
        <x:v>Pending</x:v>
      </x:c>
      <x:c r="M177" s="5" t="str"/>
      <x:c r="N177" s="5" t="str">
        <x:v>Not started</x:v>
      </x:c>
      <x:c r="O177" s="5" t="str">
        <x:v>Not started</x:v>
      </x:c>
      <x:c r="P177" s="5" t="str">
        <x:v>Not started</x:v>
      </x:c>
      <x:c r="Q177" s="5" t="str">
        <x:v>Not started</x:v>
      </x:c>
      <x:c r="R177" s="5" t="str">
        <x:v>Pending</x:v>
      </x:c>
      <x:c r="S177" s="5" t="str"/>
      <x:c r="T177" s="5" t="str"/>
      <x:c r="U177" s="5" t="str"/>
      <x:c r="V177" s="5" t="str"/>
      <x:c r="W177" s="5" t="str">
        <x:v>Not linked</x:v>
      </x:c>
      <x:c r="X177" s="5" t="str">
        <x:v>Pending</x:v>
      </x:c>
      <x:c r="Y177" s="5" t="str">
        <x:f>IF(AND(L177="Pending",R177="Pending"),"Pending screening",IF(H177="Not assigned","Assign reviewer",IF(AND(L177="Exclude",M177=""),"Missing TA exclusion reason",IF(AND(R177="Exclude",S177=""),"Missing FT exclusion reason","Decision recorded"))))</x:f>
        <x:v>Pending screening</x:v>
      </x:c>
    </x:row>
    <x:row r="178" ht="40" customHeight="1">
      <x:c r="A178" s="5" t="str">
        <x:v>C0169</x:v>
      </x:c>
      <x:c r="B178" s="5" t="str">
        <x:v>Analysis Of Thermal Infrared And Visual Images For Industrial Inspection Tasks</x:v>
      </x:c>
      <x:c r="C178" s="5" t="str">
        <x:v>10.1117/12.969297</x:v>
      </x:c>
      <x:c r="D178" s="5" t="str"/>
      <x:c r="E178" s="5" t="str">
        <x:v>proceedings-article</x:v>
      </x:c>
      <x:c r="F178" s="5" t="str">
        <x:v>S10</x:v>
      </x:c>
      <x:c r="G178" s="5" t="str">
        <x:v>Title-scope candidate</x:v>
      </x:c>
      <x:c r="H178" s="5" t="str">
        <x:v>Not assigned</x:v>
      </x:c>
      <x:c r="I178" s="5" t="str">
        <x:v>Not started</x:v>
      </x:c>
      <x:c r="J178" s="5" t="str">
        <x:v>Not assigned</x:v>
      </x:c>
      <x:c r="K178" s="5" t="str">
        <x:v>Not started</x:v>
      </x:c>
      <x:c r="L178" s="5" t="str">
        <x:v>Pending</x:v>
      </x:c>
      <x:c r="M178" s="5" t="str"/>
      <x:c r="N178" s="5" t="str">
        <x:v>Not started</x:v>
      </x:c>
      <x:c r="O178" s="5" t="str">
        <x:v>Not started</x:v>
      </x:c>
      <x:c r="P178" s="5" t="str">
        <x:v>Not started</x:v>
      </x:c>
      <x:c r="Q178" s="5" t="str">
        <x:v>Not started</x:v>
      </x:c>
      <x:c r="R178" s="5" t="str">
        <x:v>Pending</x:v>
      </x:c>
      <x:c r="S178" s="5" t="str"/>
      <x:c r="T178" s="5" t="str"/>
      <x:c r="U178" s="5" t="str"/>
      <x:c r="V178" s="5" t="str"/>
      <x:c r="W178" s="5" t="str">
        <x:v>Not linked</x:v>
      </x:c>
      <x:c r="X178" s="5" t="str">
        <x:v>Pending</x:v>
      </x:c>
      <x:c r="Y178" s="5" t="str">
        <x:f>IF(AND(L178="Pending",R178="Pending"),"Pending screening",IF(H178="Not assigned","Assign reviewer",IF(AND(L178="Exclude",M178=""),"Missing TA exclusion reason",IF(AND(R178="Exclude",S178=""),"Missing FT exclusion reason","Decision recorded"))))</x:f>
        <x:v>Pending screening</x:v>
      </x:c>
    </x:row>
    <x:row r="179" ht="40" customHeight="1">
      <x:c r="A179" s="5" t="str">
        <x:v>C0170</x:v>
      </x:c>
      <x:c r="B179" s="5" t="str">
        <x:v>Die-to-prompt: visual language model-based defect inspection and anomaly detection</x:v>
      </x:c>
      <x:c r="C179" s="5" t="str">
        <x:v>10.1117/12.3052174</x:v>
      </x:c>
      <x:c r="D179" s="5" t="str"/>
      <x:c r="E179" s="5" t="str">
        <x:v>proceedings-article</x:v>
      </x:c>
      <x:c r="F179" s="5" t="str">
        <x:v>S10</x:v>
      </x:c>
      <x:c r="G179" s="5" t="str">
        <x:v>Title-scope candidate</x:v>
      </x:c>
      <x:c r="H179" s="5" t="str">
        <x:v>Not assigned</x:v>
      </x:c>
      <x:c r="I179" s="5" t="str">
        <x:v>Not started</x:v>
      </x:c>
      <x:c r="J179" s="5" t="str">
        <x:v>Not assigned</x:v>
      </x:c>
      <x:c r="K179" s="5" t="str">
        <x:v>Not started</x:v>
      </x:c>
      <x:c r="L179" s="5" t="str">
        <x:v>Pending</x:v>
      </x:c>
      <x:c r="M179" s="5" t="str"/>
      <x:c r="N179" s="5" t="str">
        <x:v>Not started</x:v>
      </x:c>
      <x:c r="O179" s="5" t="str">
        <x:v>Not started</x:v>
      </x:c>
      <x:c r="P179" s="5" t="str">
        <x:v>Not started</x:v>
      </x:c>
      <x:c r="Q179" s="5" t="str">
        <x:v>Not started</x:v>
      </x:c>
      <x:c r="R179" s="5" t="str">
        <x:v>Pending</x:v>
      </x:c>
      <x:c r="S179" s="5" t="str"/>
      <x:c r="T179" s="5" t="str"/>
      <x:c r="U179" s="5" t="str"/>
      <x:c r="V179" s="5" t="str"/>
      <x:c r="W179" s="5" t="str">
        <x:v>Not linked</x:v>
      </x:c>
      <x:c r="X179" s="5" t="str">
        <x:v>Pending</x:v>
      </x:c>
      <x:c r="Y179" s="5" t="str">
        <x:f>IF(AND(L179="Pending",R179="Pending"),"Pending screening",IF(H179="Not assigned","Assign reviewer",IF(AND(L179="Exclude",M179=""),"Missing TA exclusion reason",IF(AND(R179="Exclude",S179=""),"Missing FT exclusion reason","Decision recorded"))))</x:f>
        <x:v>Pending screening</x:v>
      </x:c>
    </x:row>
    <x:row r="180" ht="40" customHeight="1">
      <x:c r="A180" s="5" t="str">
        <x:v>C0171</x:v>
      </x:c>
      <x:c r="B180" s="5" t="str">
        <x:v>Inverse rendering of a digital twin for visual inspection via anomaly detection</x:v>
      </x:c>
      <x:c r="C180" s="5" t="str">
        <x:v>10.1117/12.3057380</x:v>
      </x:c>
      <x:c r="D180" s="5" t="str"/>
      <x:c r="E180" s="5" t="str">
        <x:v>proceedings-article</x:v>
      </x:c>
      <x:c r="F180" s="5" t="str">
        <x:v>S10</x:v>
      </x:c>
      <x:c r="G180" s="5" t="str">
        <x:v>Title-scope candidate</x:v>
      </x:c>
      <x:c r="H180" s="5" t="str">
        <x:v>Not assigned</x:v>
      </x:c>
      <x:c r="I180" s="5" t="str">
        <x:v>Not started</x:v>
      </x:c>
      <x:c r="J180" s="5" t="str">
        <x:v>Not assigned</x:v>
      </x:c>
      <x:c r="K180" s="5" t="str">
        <x:v>Not started</x:v>
      </x:c>
      <x:c r="L180" s="5" t="str">
        <x:v>Pending</x:v>
      </x:c>
      <x:c r="M180" s="5" t="str"/>
      <x:c r="N180" s="5" t="str">
        <x:v>Not started</x:v>
      </x:c>
      <x:c r="O180" s="5" t="str">
        <x:v>Not started</x:v>
      </x:c>
      <x:c r="P180" s="5" t="str">
        <x:v>Not started</x:v>
      </x:c>
      <x:c r="Q180" s="5" t="str">
        <x:v>Not started</x:v>
      </x:c>
      <x:c r="R180" s="5" t="str">
        <x:v>Pending</x:v>
      </x:c>
      <x:c r="S180" s="5" t="str"/>
      <x:c r="T180" s="5" t="str"/>
      <x:c r="U180" s="5" t="str"/>
      <x:c r="V180" s="5" t="str"/>
      <x:c r="W180" s="5" t="str">
        <x:v>Not linked</x:v>
      </x:c>
      <x:c r="X180" s="5" t="str">
        <x:v>Pending</x:v>
      </x:c>
      <x:c r="Y180" s="5" t="str">
        <x:f>IF(AND(L180="Pending",R180="Pending"),"Pending screening",IF(H180="Not assigned","Assign reviewer",IF(AND(L180="Exclude",M180=""),"Missing TA exclusion reason",IF(AND(R180="Exclude",S180=""),"Missing FT exclusion reason","Decision recorded"))))</x:f>
        <x:v>Pending screening</x:v>
      </x:c>
    </x:row>
    <x:row r="181" ht="40" customHeight="1">
      <x:c r="A181" s="5" t="str">
        <x:v>C0172</x:v>
      </x:c>
      <x:c r="B181" s="5" t="str">
        <x:v>Unsupervised anomaly detection for industrial manufacturing using multiple perspectives of free falling parts</x:v>
      </x:c>
      <x:c r="C181" s="5" t="str">
        <x:v>10.1117/12.2672541</x:v>
      </x:c>
      <x:c r="D181" s="5" t="str"/>
      <x:c r="E181" s="5" t="str">
        <x:v>proceedings-article</x:v>
      </x:c>
      <x:c r="F181" s="5" t="str">
        <x:v>S10; S13</x:v>
      </x:c>
      <x:c r="G181" s="5" t="str">
        <x:v>Title-scope candidate</x:v>
      </x:c>
      <x:c r="H181" s="5" t="str">
        <x:v>Not assigned</x:v>
      </x:c>
      <x:c r="I181" s="5" t="str">
        <x:v>Not started</x:v>
      </x:c>
      <x:c r="J181" s="5" t="str">
        <x:v>Not assigned</x:v>
      </x:c>
      <x:c r="K181" s="5" t="str">
        <x:v>Not started</x:v>
      </x:c>
      <x:c r="L181" s="5" t="str">
        <x:v>Pending</x:v>
      </x:c>
      <x:c r="M181" s="5" t="str"/>
      <x:c r="N181" s="5" t="str">
        <x:v>Not started</x:v>
      </x:c>
      <x:c r="O181" s="5" t="str">
        <x:v>Not started</x:v>
      </x:c>
      <x:c r="P181" s="5" t="str">
        <x:v>Not started</x:v>
      </x:c>
      <x:c r="Q181" s="5" t="str">
        <x:v>Not started</x:v>
      </x:c>
      <x:c r="R181" s="5" t="str">
        <x:v>Pending</x:v>
      </x:c>
      <x:c r="S181" s="5" t="str"/>
      <x:c r="T181" s="5" t="str"/>
      <x:c r="U181" s="5" t="str"/>
      <x:c r="V181" s="5" t="str"/>
      <x:c r="W181" s="5" t="str">
        <x:v>Not linked</x:v>
      </x:c>
      <x:c r="X181" s="5" t="str">
        <x:v>Pending</x:v>
      </x:c>
      <x:c r="Y181" s="5" t="str">
        <x:f>IF(AND(L181="Pending",R181="Pending"),"Pending screening",IF(H181="Not assigned","Assign reviewer",IF(AND(L181="Exclude",M181=""),"Missing TA exclusion reason",IF(AND(R181="Exclude",S181=""),"Missing FT exclusion reason","Decision recorded"))))</x:f>
        <x:v>Pending screening</x:v>
      </x:c>
    </x:row>
    <x:row r="182" ht="53" customHeight="1">
      <x:c r="A182" s="5" t="str">
        <x:v>C0173</x:v>
      </x:c>
      <x:c r="B182" s="5" t="str">
        <x:v>Anomaly Detection for Industrial Inspection using Convolutional Autoencoder and Deep Feature-based One-class Classification</x:v>
      </x:c>
      <x:c r="C182" s="5" t="str">
        <x:v>10.5220/0010780200003124</x:v>
      </x:c>
      <x:c r="D182" s="5" t="str"/>
      <x:c r="E182" s="5" t="str">
        <x:v>proceedings-article</x:v>
      </x:c>
      <x:c r="F182" s="5" t="str">
        <x:v>S10; S13</x:v>
      </x:c>
      <x:c r="G182" s="5" t="str">
        <x:v>Title-scope candidate</x:v>
      </x:c>
      <x:c r="H182" s="5" t="str">
        <x:v>Not assigned</x:v>
      </x:c>
      <x:c r="I182" s="5" t="str">
        <x:v>Not started</x:v>
      </x:c>
      <x:c r="J182" s="5" t="str">
        <x:v>Not assigned</x:v>
      </x:c>
      <x:c r="K182" s="5" t="str">
        <x:v>Not started</x:v>
      </x:c>
      <x:c r="L182" s="5" t="str">
        <x:v>Pending</x:v>
      </x:c>
      <x:c r="M182" s="5" t="str"/>
      <x:c r="N182" s="5" t="str">
        <x:v>Not started</x:v>
      </x:c>
      <x:c r="O182" s="5" t="str">
        <x:v>Not started</x:v>
      </x:c>
      <x:c r="P182" s="5" t="str">
        <x:v>Not started</x:v>
      </x:c>
      <x:c r="Q182" s="5" t="str">
        <x:v>Not started</x:v>
      </x:c>
      <x:c r="R182" s="5" t="str">
        <x:v>Pending</x:v>
      </x:c>
      <x:c r="S182" s="5" t="str"/>
      <x:c r="T182" s="5" t="str"/>
      <x:c r="U182" s="5" t="str"/>
      <x:c r="V182" s="5" t="str"/>
      <x:c r="W182" s="5" t="str">
        <x:v>Not linked</x:v>
      </x:c>
      <x:c r="X182" s="5" t="str">
        <x:v>Pending</x:v>
      </x:c>
      <x:c r="Y182" s="5" t="str">
        <x:f>IF(AND(L182="Pending",R182="Pending"),"Pending screening",IF(H182="Not assigned","Assign reviewer",IF(AND(L182="Exclude",M182=""),"Missing TA exclusion reason",IF(AND(R182="Exclude",S182=""),"Missing FT exclusion reason","Decision recorded"))))</x:f>
        <x:v>Pending screening</x:v>
      </x:c>
    </x:row>
    <x:row r="183" ht="40" customHeight="1">
      <x:c r="A183" s="5" t="str">
        <x:v>C0174</x:v>
      </x:c>
      <x:c r="B183" s="5" t="str">
        <x:v>Component-aware anomaly detection framework for adjustable and logical industrial visual inspection</x:v>
      </x:c>
      <x:c r="C183" s="5" t="str">
        <x:v>10.1016/j.aei.2023.102161</x:v>
      </x:c>
      <x:c r="D183" s="5" t="str"/>
      <x:c r="E183" s="5" t="str">
        <x:v>journal-article</x:v>
      </x:c>
      <x:c r="F183" s="5" t="str">
        <x:v>S10</x:v>
      </x:c>
      <x:c r="G183" s="5" t="str">
        <x:v>Title-scope candidate</x:v>
      </x:c>
      <x:c r="H183" s="5" t="str">
        <x:v>Not assigned</x:v>
      </x:c>
      <x:c r="I183" s="5" t="str">
        <x:v>Not started</x:v>
      </x:c>
      <x:c r="J183" s="5" t="str">
        <x:v>Not assigned</x:v>
      </x:c>
      <x:c r="K183" s="5" t="str">
        <x:v>Not started</x:v>
      </x:c>
      <x:c r="L183" s="5" t="str">
        <x:v>Pending</x:v>
      </x:c>
      <x:c r="M183" s="5" t="str"/>
      <x:c r="N183" s="5" t="str">
        <x:v>Not started</x:v>
      </x:c>
      <x:c r="O183" s="5" t="str">
        <x:v>Not started</x:v>
      </x:c>
      <x:c r="P183" s="5" t="str">
        <x:v>Not started</x:v>
      </x:c>
      <x:c r="Q183" s="5" t="str">
        <x:v>Not started</x:v>
      </x:c>
      <x:c r="R183" s="5" t="str">
        <x:v>Pending</x:v>
      </x:c>
      <x:c r="S183" s="5" t="str"/>
      <x:c r="T183" s="5" t="str"/>
      <x:c r="U183" s="5" t="str"/>
      <x:c r="V183" s="5" t="str"/>
      <x:c r="W183" s="5" t="str">
        <x:v>Not linked</x:v>
      </x:c>
      <x:c r="X183" s="5" t="str">
        <x:v>Pending</x:v>
      </x:c>
      <x:c r="Y183" s="5" t="str">
        <x:f>IF(AND(L183="Pending",R183="Pending"),"Pending screening",IF(H183="Not assigned","Assign reviewer",IF(AND(L183="Exclude",M183=""),"Missing TA exclusion reason",IF(AND(R183="Exclude",S183=""),"Missing FT exclusion reason","Decision recorded"))))</x:f>
        <x:v>Pending screening</x:v>
      </x:c>
    </x:row>
    <x:row r="184" ht="40" customHeight="1">
      <x:c r="A184" s="5" t="str">
        <x:v>C0175</x:v>
      </x:c>
      <x:c r="B184" s="5" t="str">
        <x:v>Thermal Anomaly Area Intelligent Recognition Method Based on Infrared Inspection Image of Electrical Equipment</x:v>
      </x:c>
      <x:c r="C184" s="5" t="str">
        <x:v>10.22541/au.169028989.93419503/v1</x:v>
      </x:c>
      <x:c r="D184" s="5" t="str"/>
      <x:c r="E184" s="5" t="str">
        <x:v>posted-content</x:v>
      </x:c>
      <x:c r="F184" s="5" t="str">
        <x:v>S10</x:v>
      </x:c>
      <x:c r="G184" s="5" t="str">
        <x:v>Title-scope candidate</x:v>
      </x:c>
      <x:c r="H184" s="5" t="str">
        <x:v>Not assigned</x:v>
      </x:c>
      <x:c r="I184" s="5" t="str">
        <x:v>Not started</x:v>
      </x:c>
      <x:c r="J184" s="5" t="str">
        <x:v>Not assigned</x:v>
      </x:c>
      <x:c r="K184" s="5" t="str">
        <x:v>Not started</x:v>
      </x:c>
      <x:c r="L184" s="5" t="str">
        <x:v>Pending</x:v>
      </x:c>
      <x:c r="M184" s="5" t="str"/>
      <x:c r="N184" s="5" t="str">
        <x:v>Not started</x:v>
      </x:c>
      <x:c r="O184" s="5" t="str">
        <x:v>Not started</x:v>
      </x:c>
      <x:c r="P184" s="5" t="str">
        <x:v>Not started</x:v>
      </x:c>
      <x:c r="Q184" s="5" t="str">
        <x:v>Not started</x:v>
      </x:c>
      <x:c r="R184" s="5" t="str">
        <x:v>Pending</x:v>
      </x:c>
      <x:c r="S184" s="5" t="str"/>
      <x:c r="T184" s="5" t="str"/>
      <x:c r="U184" s="5" t="str"/>
      <x:c r="V184" s="5" t="str"/>
      <x:c r="W184" s="5" t="str">
        <x:v>Not linked</x:v>
      </x:c>
      <x:c r="X184" s="5" t="str">
        <x:v>Pending</x:v>
      </x:c>
      <x:c r="Y184" s="5" t="str">
        <x:f>IF(AND(L184="Pending",R184="Pending"),"Pending screening",IF(H184="Not assigned","Assign reviewer",IF(AND(L184="Exclude",M184=""),"Missing TA exclusion reason",IF(AND(R184="Exclude",S184=""),"Missing FT exclusion reason","Decision recorded"))))</x:f>
        <x:v>Pending screening</x:v>
      </x:c>
    </x:row>
    <x:row r="185" ht="40" customHeight="1">
      <x:c r="A185" s="5" t="str">
        <x:v>C0176</x:v>
      </x:c>
      <x:c r="B185" s="5" t="str">
        <x:v>Dual-Branch Collaborative Framework for Robust Visual Anomaly Detection in Mobile Robot Inspection</x:v>
      </x:c>
      <x:c r="C185" s="5" t="str">
        <x:v>10.21203/rs.3.rs-9502784/v1</x:v>
      </x:c>
      <x:c r="D185" s="5" t="str"/>
      <x:c r="E185" s="5" t="str">
        <x:v>posted-content</x:v>
      </x:c>
      <x:c r="F185" s="5" t="str">
        <x:v>S10</x:v>
      </x:c>
      <x:c r="G185" s="5" t="str">
        <x:v>Title-scope candidate</x:v>
      </x:c>
      <x:c r="H185" s="5" t="str">
        <x:v>Not assigned</x:v>
      </x:c>
      <x:c r="I185" s="5" t="str">
        <x:v>Not started</x:v>
      </x:c>
      <x:c r="J185" s="5" t="str">
        <x:v>Not assigned</x:v>
      </x:c>
      <x:c r="K185" s="5" t="str">
        <x:v>Not started</x:v>
      </x:c>
      <x:c r="L185" s="5" t="str">
        <x:v>Pending</x:v>
      </x:c>
      <x:c r="M185" s="5" t="str"/>
      <x:c r="N185" s="5" t="str">
        <x:v>Not started</x:v>
      </x:c>
      <x:c r="O185" s="5" t="str">
        <x:v>Not started</x:v>
      </x:c>
      <x:c r="P185" s="5" t="str">
        <x:v>Not started</x:v>
      </x:c>
      <x:c r="Q185" s="5" t="str">
        <x:v>Not started</x:v>
      </x:c>
      <x:c r="R185" s="5" t="str">
        <x:v>Pending</x:v>
      </x:c>
      <x:c r="S185" s="5" t="str"/>
      <x:c r="T185" s="5" t="str"/>
      <x:c r="U185" s="5" t="str"/>
      <x:c r="V185" s="5" t="str"/>
      <x:c r="W185" s="5" t="str">
        <x:v>Not linked</x:v>
      </x:c>
      <x:c r="X185" s="5" t="str">
        <x:v>Pending</x:v>
      </x:c>
      <x:c r="Y185" s="5" t="str">
        <x:f>IF(AND(L185="Pending",R185="Pending"),"Pending screening",IF(H185="Not assigned","Assign reviewer",IF(AND(L185="Exclude",M185=""),"Missing TA exclusion reason",IF(AND(R185="Exclude",S185=""),"Missing FT exclusion reason","Decision recorded"))))</x:f>
        <x:v>Pending screening</x:v>
      </x:c>
    </x:row>
    <x:row r="186" ht="40" customHeight="1">
      <x:c r="A186" s="5" t="str">
        <x:v>C0177</x:v>
      </x:c>
      <x:c r="B186" s="5" t="str">
        <x:v>A reproducible and edge-oriented industrial visual anomaly inspection framework</x:v>
      </x:c>
      <x:c r="C186" s="5" t="str">
        <x:v>10.1007/s00371-026-04746-x</x:v>
      </x:c>
      <x:c r="D186" s="5" t="str"/>
      <x:c r="E186" s="5" t="str">
        <x:v>journal-article</x:v>
      </x:c>
      <x:c r="F186" s="5" t="str">
        <x:v>S10</x:v>
      </x:c>
      <x:c r="G186" s="5" t="str">
        <x:v>Title-scope candidate</x:v>
      </x:c>
      <x:c r="H186" s="5" t="str">
        <x:v>Not assigned</x:v>
      </x:c>
      <x:c r="I186" s="5" t="str">
        <x:v>Not started</x:v>
      </x:c>
      <x:c r="J186" s="5" t="str">
        <x:v>Not assigned</x:v>
      </x:c>
      <x:c r="K186" s="5" t="str">
        <x:v>Not started</x:v>
      </x:c>
      <x:c r="L186" s="5" t="str">
        <x:v>Pending</x:v>
      </x:c>
      <x:c r="M186" s="5" t="str"/>
      <x:c r="N186" s="5" t="str">
        <x:v>Not started</x:v>
      </x:c>
      <x:c r="O186" s="5" t="str">
        <x:v>Not started</x:v>
      </x:c>
      <x:c r="P186" s="5" t="str">
        <x:v>Not started</x:v>
      </x:c>
      <x:c r="Q186" s="5" t="str">
        <x:v>Not started</x:v>
      </x:c>
      <x:c r="R186" s="5" t="str">
        <x:v>Pending</x:v>
      </x:c>
      <x:c r="S186" s="5" t="str"/>
      <x:c r="T186" s="5" t="str"/>
      <x:c r="U186" s="5" t="str"/>
      <x:c r="V186" s="5" t="str"/>
      <x:c r="W186" s="5" t="str">
        <x:v>Not linked</x:v>
      </x:c>
      <x:c r="X186" s="5" t="str">
        <x:v>Pending</x:v>
      </x:c>
      <x:c r="Y186" s="5" t="str">
        <x:f>IF(AND(L186="Pending",R186="Pending"),"Pending screening",IF(H186="Not assigned","Assign reviewer",IF(AND(L186="Exclude",M186=""),"Missing TA exclusion reason",IF(AND(R186="Exclude",S186=""),"Missing FT exclusion reason","Decision recorded"))))</x:f>
        <x:v>Pending screening</x:v>
      </x:c>
    </x:row>
    <x:row r="187" ht="40" customHeight="1">
      <x:c r="A187" s="5" t="str">
        <x:v>C0178</x:v>
      </x:c>
      <x:c r="B187" s="5" t="str">
        <x:v>Anomaly-Focused Augmentation Method for Industrial Visual Inspection</x:v>
      </x:c>
      <x:c r="C187" s="5" t="str">
        <x:v>10.1109/access.2025.3570075</x:v>
      </x:c>
      <x:c r="D187" s="5" t="str"/>
      <x:c r="E187" s="5" t="str">
        <x:v>journal-article</x:v>
      </x:c>
      <x:c r="F187" s="5" t="str">
        <x:v>S10</x:v>
      </x:c>
      <x:c r="G187" s="5" t="str">
        <x:v>Title-scope candidate</x:v>
      </x:c>
      <x:c r="H187" s="5" t="str">
        <x:v>Not assigned</x:v>
      </x:c>
      <x:c r="I187" s="5" t="str">
        <x:v>Not started</x:v>
      </x:c>
      <x:c r="J187" s="5" t="str">
        <x:v>Not assigned</x:v>
      </x:c>
      <x:c r="K187" s="5" t="str">
        <x:v>Not started</x:v>
      </x:c>
      <x:c r="L187" s="5" t="str">
        <x:v>Pending</x:v>
      </x:c>
      <x:c r="M187" s="5" t="str"/>
      <x:c r="N187" s="5" t="str">
        <x:v>Not started</x:v>
      </x:c>
      <x:c r="O187" s="5" t="str">
        <x:v>Not started</x:v>
      </x:c>
      <x:c r="P187" s="5" t="str">
        <x:v>Not started</x:v>
      </x:c>
      <x:c r="Q187" s="5" t="str">
        <x:v>Not started</x:v>
      </x:c>
      <x:c r="R187" s="5" t="str">
        <x:v>Pending</x:v>
      </x:c>
      <x:c r="S187" s="5" t="str"/>
      <x:c r="T187" s="5" t="str"/>
      <x:c r="U187" s="5" t="str"/>
      <x:c r="V187" s="5" t="str"/>
      <x:c r="W187" s="5" t="str">
        <x:v>Not linked</x:v>
      </x:c>
      <x:c r="X187" s="5" t="str">
        <x:v>Pending</x:v>
      </x:c>
      <x:c r="Y187" s="5" t="str">
        <x:f>IF(AND(L187="Pending",R187="Pending"),"Pending screening",IF(H187="Not assigned","Assign reviewer",IF(AND(L187="Exclude",M187=""),"Missing TA exclusion reason",IF(AND(R187="Exclude",S187=""),"Missing FT exclusion reason","Decision recorded"))))</x:f>
        <x:v>Pending screening</x:v>
      </x:c>
    </x:row>
    <x:row r="188" ht="40" customHeight="1">
      <x:c r="A188" s="5" t="str">
        <x:v>C0179</x:v>
      </x:c>
      <x:c r="B188" s="5" t="str">
        <x:v>Industrial anomaly generation via mask-guided dual reverse inpainting for visual inspection</x:v>
      </x:c>
      <x:c r="C188" s="5" t="str">
        <x:v>10.1016/j.neucom.2026.134313</x:v>
      </x:c>
      <x:c r="D188" s="5" t="str"/>
      <x:c r="E188" s="5" t="str">
        <x:v>journal-article</x:v>
      </x:c>
      <x:c r="F188" s="5" t="str">
        <x:v>S10</x:v>
      </x:c>
      <x:c r="G188" s="5" t="str">
        <x:v>Title-scope candidate</x:v>
      </x:c>
      <x:c r="H188" s="5" t="str">
        <x:v>Not assigned</x:v>
      </x:c>
      <x:c r="I188" s="5" t="str">
        <x:v>Not started</x:v>
      </x:c>
      <x:c r="J188" s="5" t="str">
        <x:v>Not assigned</x:v>
      </x:c>
      <x:c r="K188" s="5" t="str">
        <x:v>Not started</x:v>
      </x:c>
      <x:c r="L188" s="5" t="str">
        <x:v>Pending</x:v>
      </x:c>
      <x:c r="M188" s="5" t="str"/>
      <x:c r="N188" s="5" t="str">
        <x:v>Not started</x:v>
      </x:c>
      <x:c r="O188" s="5" t="str">
        <x:v>Not started</x:v>
      </x:c>
      <x:c r="P188" s="5" t="str">
        <x:v>Not started</x:v>
      </x:c>
      <x:c r="Q188" s="5" t="str">
        <x:v>Not started</x:v>
      </x:c>
      <x:c r="R188" s="5" t="str">
        <x:v>Pending</x:v>
      </x:c>
      <x:c r="S188" s="5" t="str"/>
      <x:c r="T188" s="5" t="str"/>
      <x:c r="U188" s="5" t="str"/>
      <x:c r="V188" s="5" t="str"/>
      <x:c r="W188" s="5" t="str">
        <x:v>Not linked</x:v>
      </x:c>
      <x:c r="X188" s="5" t="str">
        <x:v>Pending</x:v>
      </x:c>
      <x:c r="Y188" s="5" t="str">
        <x:f>IF(AND(L188="Pending",R188="Pending"),"Pending screening",IF(H188="Not assigned","Assign reviewer",IF(AND(L188="Exclude",M188=""),"Missing TA exclusion reason",IF(AND(R188="Exclude",S188=""),"Missing FT exclusion reason","Decision recorded"))))</x:f>
        <x:v>Pending screening</x:v>
      </x:c>
    </x:row>
    <x:row r="189" ht="40" customHeight="1">
      <x:c r="A189" s="5" t="str">
        <x:v>C0180</x:v>
      </x:c>
      <x:c r="B189" s="5" t="str">
        <x:v>Thermal Imaging for Enhancing Inspection Reliability: Detection and Characterization</x:v>
      </x:c>
      <x:c r="C189" s="5" t="str">
        <x:v>10.5772/27558</x:v>
      </x:c>
      <x:c r="D189" s="5" t="str"/>
      <x:c r="E189" s="5" t="str">
        <x:v>book-chapter</x:v>
      </x:c>
      <x:c r="F189" s="5" t="str">
        <x:v>S10</x:v>
      </x:c>
      <x:c r="G189" s="5" t="str">
        <x:v>Title-scope candidate</x:v>
      </x:c>
      <x:c r="H189" s="5" t="str">
        <x:v>Not assigned</x:v>
      </x:c>
      <x:c r="I189" s="5" t="str">
        <x:v>Not started</x:v>
      </x:c>
      <x:c r="J189" s="5" t="str">
        <x:v>Not assigned</x:v>
      </x:c>
      <x:c r="K189" s="5" t="str">
        <x:v>Not started</x:v>
      </x:c>
      <x:c r="L189" s="5" t="str">
        <x:v>Pending</x:v>
      </x:c>
      <x:c r="M189" s="5" t="str"/>
      <x:c r="N189" s="5" t="str">
        <x:v>Not started</x:v>
      </x:c>
      <x:c r="O189" s="5" t="str">
        <x:v>Not started</x:v>
      </x:c>
      <x:c r="P189" s="5" t="str">
        <x:v>Not started</x:v>
      </x:c>
      <x:c r="Q189" s="5" t="str">
        <x:v>Not started</x:v>
      </x:c>
      <x:c r="R189" s="5" t="str">
        <x:v>Pending</x:v>
      </x:c>
      <x:c r="S189" s="5" t="str"/>
      <x:c r="T189" s="5" t="str"/>
      <x:c r="U189" s="5" t="str"/>
      <x:c r="V189" s="5" t="str"/>
      <x:c r="W189" s="5" t="str">
        <x:v>Not linked</x:v>
      </x:c>
      <x:c r="X189" s="5" t="str">
        <x:v>Pending</x:v>
      </x:c>
      <x:c r="Y189" s="5" t="str">
        <x:f>IF(AND(L189="Pending",R189="Pending"),"Pending screening",IF(H189="Not assigned","Assign reviewer",IF(AND(L189="Exclude",M189=""),"Missing TA exclusion reason",IF(AND(R189="Exclude",S189=""),"Missing FT exclusion reason","Decision recorded"))))</x:f>
        <x:v>Pending screening</x:v>
      </x:c>
    </x:row>
    <x:row r="190" ht="68" customHeight="1">
      <x:c r="A190" s="5" t="str">
        <x:v>C0181</x:v>
      </x:c>
      <x:c r="B190" s="5" t="str">
        <x:v>A novel FuseDecode Autoencoder for industrial visual inspection: Incremental anomaly detection improvement with gradual transition from unsupervised to mixed-supervision learning with reduced human effort</x:v>
      </x:c>
      <x:c r="C190" s="5" t="str">
        <x:v>10.1016/j.compind.2024.104198</x:v>
      </x:c>
      <x:c r="D190" s="5" t="str"/>
      <x:c r="E190" s="5" t="str">
        <x:v>journal-article</x:v>
      </x:c>
      <x:c r="F190" s="5" t="str">
        <x:v>S10</x:v>
      </x:c>
      <x:c r="G190" s="5" t="str">
        <x:v>Title-scope candidate</x:v>
      </x:c>
      <x:c r="H190" s="5" t="str">
        <x:v>Not assigned</x:v>
      </x:c>
      <x:c r="I190" s="5" t="str">
        <x:v>Not started</x:v>
      </x:c>
      <x:c r="J190" s="5" t="str">
        <x:v>Not assigned</x:v>
      </x:c>
      <x:c r="K190" s="5" t="str">
        <x:v>Not started</x:v>
      </x:c>
      <x:c r="L190" s="5" t="str">
        <x:v>Pending</x:v>
      </x:c>
      <x:c r="M190" s="5" t="str"/>
      <x:c r="N190" s="5" t="str">
        <x:v>Not started</x:v>
      </x:c>
      <x:c r="O190" s="5" t="str">
        <x:v>Not started</x:v>
      </x:c>
      <x:c r="P190" s="5" t="str">
        <x:v>Not started</x:v>
      </x:c>
      <x:c r="Q190" s="5" t="str">
        <x:v>Not started</x:v>
      </x:c>
      <x:c r="R190" s="5" t="str">
        <x:v>Pending</x:v>
      </x:c>
      <x:c r="S190" s="5" t="str"/>
      <x:c r="T190" s="5" t="str"/>
      <x:c r="U190" s="5" t="str"/>
      <x:c r="V190" s="5" t="str"/>
      <x:c r="W190" s="5" t="str">
        <x:v>Not linked</x:v>
      </x:c>
      <x:c r="X190" s="5" t="str">
        <x:v>Pending</x:v>
      </x:c>
      <x:c r="Y190" s="5" t="str">
        <x:f>IF(AND(L190="Pending",R190="Pending"),"Pending screening",IF(H190="Not assigned","Assign reviewer",IF(AND(L190="Exclude",M190=""),"Missing TA exclusion reason",IF(AND(R190="Exclude",S190=""),"Missing FT exclusion reason","Decision recorded"))))</x:f>
        <x:v>Pending screening</x:v>
      </x:c>
    </x:row>
    <x:row r="191" ht="40" customHeight="1">
      <x:c r="A191" s="5" t="str">
        <x:v>C0182</x:v>
      </x:c>
      <x:c r="B191" s="5" t="str">
        <x:v>Anomaly Detection in Industrial Inspection Visual Systems using Swin Transformer with Bayesian Optimization</x:v>
      </x:c>
      <x:c r="C191" s="5" t="str">
        <x:v>10.1109/icdcece65353.2025.11035252</x:v>
      </x:c>
      <x:c r="D191" s="5" t="str"/>
      <x:c r="E191" s="5" t="str">
        <x:v>proceedings-article</x:v>
      </x:c>
      <x:c r="F191" s="5" t="str">
        <x:v>S10</x:v>
      </x:c>
      <x:c r="G191" s="5" t="str">
        <x:v>Title-scope candidate</x:v>
      </x:c>
      <x:c r="H191" s="5" t="str">
        <x:v>Not assigned</x:v>
      </x:c>
      <x:c r="I191" s="5" t="str">
        <x:v>Not started</x:v>
      </x:c>
      <x:c r="J191" s="5" t="str">
        <x:v>Not assigned</x:v>
      </x:c>
      <x:c r="K191" s="5" t="str">
        <x:v>Not started</x:v>
      </x:c>
      <x:c r="L191" s="5" t="str">
        <x:v>Pending</x:v>
      </x:c>
      <x:c r="M191" s="5" t="str"/>
      <x:c r="N191" s="5" t="str">
        <x:v>Not started</x:v>
      </x:c>
      <x:c r="O191" s="5" t="str">
        <x:v>Not started</x:v>
      </x:c>
      <x:c r="P191" s="5" t="str">
        <x:v>Not started</x:v>
      </x:c>
      <x:c r="Q191" s="5" t="str">
        <x:v>Not started</x:v>
      </x:c>
      <x:c r="R191" s="5" t="str">
        <x:v>Pending</x:v>
      </x:c>
      <x:c r="S191" s="5" t="str"/>
      <x:c r="T191" s="5" t="str"/>
      <x:c r="U191" s="5" t="str"/>
      <x:c r="V191" s="5" t="str"/>
      <x:c r="W191" s="5" t="str">
        <x:v>Not linked</x:v>
      </x:c>
      <x:c r="X191" s="5" t="str">
        <x:v>Pending</x:v>
      </x:c>
      <x:c r="Y191" s="5" t="str">
        <x:f>IF(AND(L191="Pending",R191="Pending"),"Pending screening",IF(H191="Not assigned","Assign reviewer",IF(AND(L191="Exclude",M191=""),"Missing TA exclusion reason",IF(AND(R191="Exclude",S191=""),"Missing FT exclusion reason","Decision recorded"))))</x:f>
        <x:v>Pending screening</x:v>
      </x:c>
    </x:row>
    <x:row r="192" ht="40" customHeight="1">
      <x:c r="A192" s="5" t="str">
        <x:v>C0183</x:v>
      </x:c>
      <x:c r="B192" s="5" t="str">
        <x:v>Automatic metal parts inspection: Use of thermographic images and anomaly detection algorithms</x:v>
      </x:c>
      <x:c r="C192" s="5" t="str">
        <x:v>10.1016/j.infrared.2013.07.007</x:v>
      </x:c>
      <x:c r="D192" s="5" t="str"/>
      <x:c r="E192" s="5" t="str">
        <x:v>journal-article</x:v>
      </x:c>
      <x:c r="F192" s="5" t="str">
        <x:v>S10</x:v>
      </x:c>
      <x:c r="G192" s="5" t="str">
        <x:v>Title-scope candidate</x:v>
      </x:c>
      <x:c r="H192" s="5" t="str">
        <x:v>Not assigned</x:v>
      </x:c>
      <x:c r="I192" s="5" t="str">
        <x:v>Not started</x:v>
      </x:c>
      <x:c r="J192" s="5" t="str">
        <x:v>Not assigned</x:v>
      </x:c>
      <x:c r="K192" s="5" t="str">
        <x:v>Not started</x:v>
      </x:c>
      <x:c r="L192" s="5" t="str">
        <x:v>Pending</x:v>
      </x:c>
      <x:c r="M192" s="5" t="str"/>
      <x:c r="N192" s="5" t="str">
        <x:v>Not started</x:v>
      </x:c>
      <x:c r="O192" s="5" t="str">
        <x:v>Not started</x:v>
      </x:c>
      <x:c r="P192" s="5" t="str">
        <x:v>Not started</x:v>
      </x:c>
      <x:c r="Q192" s="5" t="str">
        <x:v>Not started</x:v>
      </x:c>
      <x:c r="R192" s="5" t="str">
        <x:v>Pending</x:v>
      </x:c>
      <x:c r="S192" s="5" t="str"/>
      <x:c r="T192" s="5" t="str"/>
      <x:c r="U192" s="5" t="str"/>
      <x:c r="V192" s="5" t="str"/>
      <x:c r="W192" s="5" t="str">
        <x:v>Not linked</x:v>
      </x:c>
      <x:c r="X192" s="5" t="str">
        <x:v>Pending</x:v>
      </x:c>
      <x:c r="Y192" s="5" t="str">
        <x:f>IF(AND(L192="Pending",R192="Pending"),"Pending screening",IF(H192="Not assigned","Assign reviewer",IF(AND(L192="Exclude",M192=""),"Missing TA exclusion reason",IF(AND(R192="Exclude",S192=""),"Missing FT exclusion reason","Decision recorded"))))</x:f>
        <x:v>Pending screening</x:v>
      </x:c>
    </x:row>
    <x:row r="193" ht="40" customHeight="1">
      <x:c r="A193" s="5" t="str">
        <x:v>P04</x:v>
      </x:c>
      <x:c r="B193" s="5" t="str">
        <x:v>Risk-Calibrated Multimodal Inspection for Full-Coverage Industrial Anomaly Detection</x:v>
      </x:c>
      <x:c r="C193" s="5" t="str">
        <x:v>10.1109/csrswtc71154.2026.11669645</x:v>
      </x:c>
      <x:c r="D193" s="5" t="str"/>
      <x:c r="E193" s="5" t="str">
        <x:v>proceedings-article</x:v>
      </x:c>
      <x:c r="F193" s="5" t="str">
        <x:v>S10; S16; SEED</x:v>
      </x:c>
      <x:c r="G193" s="5" t="str">
        <x:v>Seed priority</x:v>
      </x:c>
      <x:c r="H193" s="5" t="str">
        <x:v>Not assigned</x:v>
      </x:c>
      <x:c r="I193" s="5" t="str">
        <x:v>Not started</x:v>
      </x:c>
      <x:c r="J193" s="5" t="str">
        <x:v>Not assigned</x:v>
      </x:c>
      <x:c r="K193" s="5" t="str">
        <x:v>Not started</x:v>
      </x:c>
      <x:c r="L193" s="5" t="str">
        <x:v>Pending</x:v>
      </x:c>
      <x:c r="M193" s="5" t="str"/>
      <x:c r="N193" s="5" t="str">
        <x:v>Not started</x:v>
      </x:c>
      <x:c r="O193" s="5" t="str">
        <x:v>Not started</x:v>
      </x:c>
      <x:c r="P193" s="5" t="str">
        <x:v>Not started</x:v>
      </x:c>
      <x:c r="Q193" s="5" t="str">
        <x:v>Not started</x:v>
      </x:c>
      <x:c r="R193" s="5" t="str">
        <x:v>Pending</x:v>
      </x:c>
      <x:c r="S193" s="5" t="str"/>
      <x:c r="T193" s="5" t="str"/>
      <x:c r="U193" s="5" t="str"/>
      <x:c r="V193" s="5" t="str"/>
      <x:c r="W193" s="5" t="str">
        <x:v>Not linked</x:v>
      </x:c>
      <x:c r="X193" s="5" t="str">
        <x:v>Pending</x:v>
      </x:c>
      <x:c r="Y193" s="5" t="str">
        <x:f>IF(AND(L193="Pending",R193="Pending"),"Pending screening",IF(H193="Not assigned","Assign reviewer",IF(AND(L193="Exclude",M193=""),"Missing TA exclusion reason",IF(AND(R193="Exclude",S193=""),"Missing FT exclusion reason","Decision recorded"))))</x:f>
        <x:v>Pending screening</x:v>
      </x:c>
    </x:row>
    <x:row r="194" ht="40" customHeight="1">
      <x:c r="A194" s="5" t="str">
        <x:v>C0184</x:v>
      </x:c>
      <x:c r="B194" s="5" t="str">
        <x:v>Visual Inspection System for Anomaly Detection on KTL Coatings Using Variational Autoencoders</x:v>
      </x:c>
      <x:c r="C194" s="5" t="str">
        <x:v>10.1016/j.procir.2020.04.114</x:v>
      </x:c>
      <x:c r="D194" s="5" t="str"/>
      <x:c r="E194" s="5" t="str">
        <x:v>journal-article</x:v>
      </x:c>
      <x:c r="F194" s="5" t="str">
        <x:v>S10</x:v>
      </x:c>
      <x:c r="G194" s="5" t="str">
        <x:v>Title-scope candidate</x:v>
      </x:c>
      <x:c r="H194" s="5" t="str">
        <x:v>Not assigned</x:v>
      </x:c>
      <x:c r="I194" s="5" t="str">
        <x:v>Not started</x:v>
      </x:c>
      <x:c r="J194" s="5" t="str">
        <x:v>Not assigned</x:v>
      </x:c>
      <x:c r="K194" s="5" t="str">
        <x:v>Not started</x:v>
      </x:c>
      <x:c r="L194" s="5" t="str">
        <x:v>Pending</x:v>
      </x:c>
      <x:c r="M194" s="5" t="str"/>
      <x:c r="N194" s="5" t="str">
        <x:v>Not started</x:v>
      </x:c>
      <x:c r="O194" s="5" t="str">
        <x:v>Not started</x:v>
      </x:c>
      <x:c r="P194" s="5" t="str">
        <x:v>Not started</x:v>
      </x:c>
      <x:c r="Q194" s="5" t="str">
        <x:v>Not started</x:v>
      </x:c>
      <x:c r="R194" s="5" t="str">
        <x:v>Pending</x:v>
      </x:c>
      <x:c r="S194" s="5" t="str"/>
      <x:c r="T194" s="5" t="str"/>
      <x:c r="U194" s="5" t="str"/>
      <x:c r="V194" s="5" t="str"/>
      <x:c r="W194" s="5" t="str">
        <x:v>Not linked</x:v>
      </x:c>
      <x:c r="X194" s="5" t="str">
        <x:v>Pending</x:v>
      </x:c>
      <x:c r="Y194" s="5" t="str">
        <x:f>IF(AND(L194="Pending",R194="Pending"),"Pending screening",IF(H194="Not assigned","Assign reviewer",IF(AND(L194="Exclude",M194=""),"Missing TA exclusion reason",IF(AND(R194="Exclude",S194=""),"Missing FT exclusion reason","Decision recorded"))))</x:f>
        <x:v>Pending screening</x:v>
      </x:c>
    </x:row>
    <x:row r="195" ht="40" customHeight="1">
      <x:c r="A195" s="5" t="str">
        <x:v>C0185</x:v>
      </x:c>
      <x:c r="B195" s="5" t="str">
        <x:v>Semi-supervised anomaly detection for visual quality inspection</x:v>
      </x:c>
      <x:c r="C195" s="5" t="str">
        <x:v>10.1016/j.eswa.2021.115275</x:v>
      </x:c>
      <x:c r="D195" s="5" t="str"/>
      <x:c r="E195" s="5" t="str">
        <x:v>journal-article</x:v>
      </x:c>
      <x:c r="F195" s="5" t="str">
        <x:v>S10</x:v>
      </x:c>
      <x:c r="G195" s="5" t="str">
        <x:v>Title-scope candidate</x:v>
      </x:c>
      <x:c r="H195" s="5" t="str">
        <x:v>Not assigned</x:v>
      </x:c>
      <x:c r="I195" s="5" t="str">
        <x:v>Not started</x:v>
      </x:c>
      <x:c r="J195" s="5" t="str">
        <x:v>Not assigned</x:v>
      </x:c>
      <x:c r="K195" s="5" t="str">
        <x:v>Not started</x:v>
      </x:c>
      <x:c r="L195" s="5" t="str">
        <x:v>Pending</x:v>
      </x:c>
      <x:c r="M195" s="5" t="str"/>
      <x:c r="N195" s="5" t="str">
        <x:v>Not started</x:v>
      </x:c>
      <x:c r="O195" s="5" t="str">
        <x:v>Not started</x:v>
      </x:c>
      <x:c r="P195" s="5" t="str">
        <x:v>Not started</x:v>
      </x:c>
      <x:c r="Q195" s="5" t="str">
        <x:v>Not started</x:v>
      </x:c>
      <x:c r="R195" s="5" t="str">
        <x:v>Pending</x:v>
      </x:c>
      <x:c r="S195" s="5" t="str"/>
      <x:c r="T195" s="5" t="str"/>
      <x:c r="U195" s="5" t="str"/>
      <x:c r="V195" s="5" t="str"/>
      <x:c r="W195" s="5" t="str">
        <x:v>Not linked</x:v>
      </x:c>
      <x:c r="X195" s="5" t="str">
        <x:v>Pending</x:v>
      </x:c>
      <x:c r="Y195" s="5" t="str">
        <x:f>IF(AND(L195="Pending",R195="Pending"),"Pending screening",IF(H195="Not assigned","Assign reviewer",IF(AND(L195="Exclude",M195=""),"Missing TA exclusion reason",IF(AND(R195="Exclude",S195=""),"Missing FT exclusion reason","Decision recorded"))))</x:f>
        <x:v>Pending screening</x:v>
      </x:c>
    </x:row>
    <x:row r="196" ht="40" customHeight="1">
      <x:c r="A196" s="5" t="str">
        <x:v>C0186</x:v>
      </x:c>
      <x:c r="B196" s="5" t="str">
        <x:v>Enhancing anomaly detection with adaptive node inspection in large-scale networks with binary sensors</x:v>
      </x:c>
      <x:c r="C196" s="5" t="str">
        <x:v>10.1016/j.cie.2024.109928</x:v>
      </x:c>
      <x:c r="D196" s="5" t="str"/>
      <x:c r="E196" s="5" t="str">
        <x:v>journal-article</x:v>
      </x:c>
      <x:c r="F196" s="5" t="str">
        <x:v>S10</x:v>
      </x:c>
      <x:c r="G196" s="5" t="str">
        <x:v>Title-scope candidate</x:v>
      </x:c>
      <x:c r="H196" s="5" t="str">
        <x:v>Not assigned</x:v>
      </x:c>
      <x:c r="I196" s="5" t="str">
        <x:v>Not started</x:v>
      </x:c>
      <x:c r="J196" s="5" t="str">
        <x:v>Not assigned</x:v>
      </x:c>
      <x:c r="K196" s="5" t="str">
        <x:v>Not started</x:v>
      </x:c>
      <x:c r="L196" s="5" t="str">
        <x:v>Pending</x:v>
      </x:c>
      <x:c r="M196" s="5" t="str"/>
      <x:c r="N196" s="5" t="str">
        <x:v>Not started</x:v>
      </x:c>
      <x:c r="O196" s="5" t="str">
        <x:v>Not started</x:v>
      </x:c>
      <x:c r="P196" s="5" t="str">
        <x:v>Not started</x:v>
      </x:c>
      <x:c r="Q196" s="5" t="str">
        <x:v>Not started</x:v>
      </x:c>
      <x:c r="R196" s="5" t="str">
        <x:v>Pending</x:v>
      </x:c>
      <x:c r="S196" s="5" t="str"/>
      <x:c r="T196" s="5" t="str"/>
      <x:c r="U196" s="5" t="str"/>
      <x:c r="V196" s="5" t="str"/>
      <x:c r="W196" s="5" t="str">
        <x:v>Not linked</x:v>
      </x:c>
      <x:c r="X196" s="5" t="str">
        <x:v>Pending</x:v>
      </x:c>
      <x:c r="Y196" s="5" t="str">
        <x:f>IF(AND(L196="Pending",R196="Pending"),"Pending screening",IF(H196="Not assigned","Assign reviewer",IF(AND(L196="Exclude",M196=""),"Missing TA exclusion reason",IF(AND(R196="Exclude",S196=""),"Missing FT exclusion reason","Decision recorded"))))</x:f>
        <x:v>Pending screening</x:v>
      </x:c>
    </x:row>
    <x:row r="197" ht="40" customHeight="1">
      <x:c r="A197" s="5" t="str">
        <x:v>C0187</x:v>
      </x:c>
      <x:c r="B197" s="5" t="str">
        <x:v>Anomaly Detection for Multivariate Industrial Sensor Data via Decoupled Generative Adversarial Network</x:v>
      </x:c>
      <x:c r="C197" s="5" t="str">
        <x:v>10.5220/0011894100003393</x:v>
      </x:c>
      <x:c r="D197" s="5" t="str"/>
      <x:c r="E197" s="5" t="str">
        <x:v>proceedings-article</x:v>
      </x:c>
      <x:c r="F197" s="5" t="str">
        <x:v>S12</x:v>
      </x:c>
      <x:c r="G197" s="5" t="str">
        <x:v>Title-scope candidate</x:v>
      </x:c>
      <x:c r="H197" s="5" t="str">
        <x:v>Not assigned</x:v>
      </x:c>
      <x:c r="I197" s="5" t="str">
        <x:v>Not started</x:v>
      </x:c>
      <x:c r="J197" s="5" t="str">
        <x:v>Not assigned</x:v>
      </x:c>
      <x:c r="K197" s="5" t="str">
        <x:v>Not started</x:v>
      </x:c>
      <x:c r="L197" s="5" t="str">
        <x:v>Pending</x:v>
      </x:c>
      <x:c r="M197" s="5" t="str"/>
      <x:c r="N197" s="5" t="str">
        <x:v>Not started</x:v>
      </x:c>
      <x:c r="O197" s="5" t="str">
        <x:v>Not started</x:v>
      </x:c>
      <x:c r="P197" s="5" t="str">
        <x:v>Not started</x:v>
      </x:c>
      <x:c r="Q197" s="5" t="str">
        <x:v>Not started</x:v>
      </x:c>
      <x:c r="R197" s="5" t="str">
        <x:v>Pending</x:v>
      </x:c>
      <x:c r="S197" s="5" t="str"/>
      <x:c r="T197" s="5" t="str"/>
      <x:c r="U197" s="5" t="str"/>
      <x:c r="V197" s="5" t="str"/>
      <x:c r="W197" s="5" t="str">
        <x:v>Not linked</x:v>
      </x:c>
      <x:c r="X197" s="5" t="str">
        <x:v>Pending</x:v>
      </x:c>
      <x:c r="Y197" s="5" t="str">
        <x:f>IF(AND(L197="Pending",R197="Pending"),"Pending screening",IF(H197="Not assigned","Assign reviewer",IF(AND(L197="Exclude",M197=""),"Missing TA exclusion reason",IF(AND(R197="Exclude",S197=""),"Missing FT exclusion reason","Decision recorded"))))</x:f>
        <x:v>Pending screening</x:v>
      </x:c>
    </x:row>
    <x:row r="198" ht="40" customHeight="1">
      <x:c r="A198" s="5" t="str">
        <x:v>C0188</x:v>
      </x:c>
      <x:c r="B198" s="5" t="str">
        <x:v>Fault detection and classification in Industrial IoT in case of missing sensor data</x:v>
      </x:c>
      <x:c r="C198" s="5" t="str">
        <x:v>10.36227/techrxiv.14540061.v1</x:v>
      </x:c>
      <x:c r="D198" s="5" t="str"/>
      <x:c r="E198" s="5" t="str">
        <x:v>posted-content</x:v>
      </x:c>
      <x:c r="F198" s="5" t="str">
        <x:v>S12</x:v>
      </x:c>
      <x:c r="G198" s="5" t="str">
        <x:v>Lower-priority; inspect scope</x:v>
      </x:c>
      <x:c r="H198" s="5" t="str">
        <x:v>Not assigned</x:v>
      </x:c>
      <x:c r="I198" s="5" t="str">
        <x:v>Not started</x:v>
      </x:c>
      <x:c r="J198" s="5" t="str">
        <x:v>Not assigned</x:v>
      </x:c>
      <x:c r="K198" s="5" t="str">
        <x:v>Not started</x:v>
      </x:c>
      <x:c r="L198" s="5" t="str">
        <x:v>Pending</x:v>
      </x:c>
      <x:c r="M198" s="5" t="str"/>
      <x:c r="N198" s="5" t="str">
        <x:v>Not started</x:v>
      </x:c>
      <x:c r="O198" s="5" t="str">
        <x:v>Not started</x:v>
      </x:c>
      <x:c r="P198" s="5" t="str">
        <x:v>Not started</x:v>
      </x:c>
      <x:c r="Q198" s="5" t="str">
        <x:v>Not started</x:v>
      </x:c>
      <x:c r="R198" s="5" t="str">
        <x:v>Pending</x:v>
      </x:c>
      <x:c r="S198" s="5" t="str"/>
      <x:c r="T198" s="5" t="str"/>
      <x:c r="U198" s="5" t="str"/>
      <x:c r="V198" s="5" t="str"/>
      <x:c r="W198" s="5" t="str">
        <x:v>Not linked</x:v>
      </x:c>
      <x:c r="X198" s="5" t="str">
        <x:v>Pending</x:v>
      </x:c>
      <x:c r="Y198" s="5" t="str">
        <x:f>IF(AND(L198="Pending",R198="Pending"),"Pending screening",IF(H198="Not assigned","Assign reviewer",IF(AND(L198="Exclude",M198=""),"Missing TA exclusion reason",IF(AND(R198="Exclude",S198=""),"Missing FT exclusion reason","Decision recorded"))))</x:f>
        <x:v>Pending screening</x:v>
      </x:c>
    </x:row>
    <x:row r="199" ht="40" customHeight="1">
      <x:c r="A199" s="5" t="str">
        <x:v>C0189</x:v>
      </x:c>
      <x:c r="B199" s="5" t="str">
        <x:v>Fault detection and classification in Industrial IoT in case of missing sensor data</x:v>
      </x:c>
      <x:c r="C199" s="5" t="str">
        <x:v>10.36227/techrxiv.14540061</x:v>
      </x:c>
      <x:c r="D199" s="5" t="str"/>
      <x:c r="E199" s="5" t="str">
        <x:v>posted-content</x:v>
      </x:c>
      <x:c r="F199" s="5" t="str">
        <x:v>S12</x:v>
      </x:c>
      <x:c r="G199" s="5" t="str">
        <x:v>Lower-priority; inspect scope</x:v>
      </x:c>
      <x:c r="H199" s="5" t="str">
        <x:v>Not assigned</x:v>
      </x:c>
      <x:c r="I199" s="5" t="str">
        <x:v>Not started</x:v>
      </x:c>
      <x:c r="J199" s="5" t="str">
        <x:v>Not assigned</x:v>
      </x:c>
      <x:c r="K199" s="5" t="str">
        <x:v>Not started</x:v>
      </x:c>
      <x:c r="L199" s="5" t="str">
        <x:v>Pending</x:v>
      </x:c>
      <x:c r="M199" s="5" t="str"/>
      <x:c r="N199" s="5" t="str">
        <x:v>Not started</x:v>
      </x:c>
      <x:c r="O199" s="5" t="str">
        <x:v>Not started</x:v>
      </x:c>
      <x:c r="P199" s="5" t="str">
        <x:v>Not started</x:v>
      </x:c>
      <x:c r="Q199" s="5" t="str">
        <x:v>Not started</x:v>
      </x:c>
      <x:c r="R199" s="5" t="str">
        <x:v>Pending</x:v>
      </x:c>
      <x:c r="S199" s="5" t="str"/>
      <x:c r="T199" s="5" t="str"/>
      <x:c r="U199" s="5" t="str"/>
      <x:c r="V199" s="5" t="str"/>
      <x:c r="W199" s="5" t="str">
        <x:v>Not linked</x:v>
      </x:c>
      <x:c r="X199" s="5" t="str">
        <x:v>Pending</x:v>
      </x:c>
      <x:c r="Y199" s="5" t="str">
        <x:f>IF(AND(L199="Pending",R199="Pending"),"Pending screening",IF(H199="Not assigned","Assign reviewer",IF(AND(L199="Exclude",M199=""),"Missing TA exclusion reason",IF(AND(R199="Exclude",S199=""),"Missing FT exclusion reason","Decision recorded"))))</x:f>
        <x:v>Pending screening</x:v>
      </x:c>
    </x:row>
    <x:row r="200" ht="40" customHeight="1">
      <x:c r="A200" s="5" t="str">
        <x:v>C0190</x:v>
      </x:c>
      <x:c r="B200" s="5" t="str">
        <x:v>MissingClip: An Industrial Anomaly Detection Method Under Modality Missing</x:v>
      </x:c>
      <x:c r="C200" s="5" t="str">
        <x:v>10.1007/978-981-96-8728-2_18</x:v>
      </x:c>
      <x:c r="D200" s="5" t="str"/>
      <x:c r="E200" s="5" t="str">
        <x:v>book-chapter</x:v>
      </x:c>
      <x:c r="F200" s="5" t="str">
        <x:v>S12</x:v>
      </x:c>
      <x:c r="G200" s="5" t="str">
        <x:v>Title-scope candidate</x:v>
      </x:c>
      <x:c r="H200" s="5" t="str">
        <x:v>Not assigned</x:v>
      </x:c>
      <x:c r="I200" s="5" t="str">
        <x:v>Not started</x:v>
      </x:c>
      <x:c r="J200" s="5" t="str">
        <x:v>Not assigned</x:v>
      </x:c>
      <x:c r="K200" s="5" t="str">
        <x:v>Not started</x:v>
      </x:c>
      <x:c r="L200" s="5" t="str">
        <x:v>Pending</x:v>
      </x:c>
      <x:c r="M200" s="5" t="str"/>
      <x:c r="N200" s="5" t="str">
        <x:v>Not started</x:v>
      </x:c>
      <x:c r="O200" s="5" t="str">
        <x:v>Not started</x:v>
      </x:c>
      <x:c r="P200" s="5" t="str">
        <x:v>Not started</x:v>
      </x:c>
      <x:c r="Q200" s="5" t="str">
        <x:v>Not started</x:v>
      </x:c>
      <x:c r="R200" s="5" t="str">
        <x:v>Pending</x:v>
      </x:c>
      <x:c r="S200" s="5" t="str"/>
      <x:c r="T200" s="5" t="str"/>
      <x:c r="U200" s="5" t="str"/>
      <x:c r="V200" s="5" t="str"/>
      <x:c r="W200" s="5" t="str">
        <x:v>Not linked</x:v>
      </x:c>
      <x:c r="X200" s="5" t="str">
        <x:v>Pending</x:v>
      </x:c>
      <x:c r="Y200" s="5" t="str">
        <x:f>IF(AND(L200="Pending",R200="Pending"),"Pending screening",IF(H200="Not assigned","Assign reviewer",IF(AND(L200="Exclude",M200=""),"Missing TA exclusion reason",IF(AND(R200="Exclude",S200=""),"Missing FT exclusion reason","Decision recorded"))))</x:f>
        <x:v>Pending screening</x:v>
      </x:c>
    </x:row>
    <x:row r="201" ht="53" customHeight="1">
      <x:c r="A201" s="5" t="str">
        <x:v>C0191</x:v>
      </x:c>
      <x:c r="B201" s="5" t="str">
        <x:v>Modality-Resilient Multimodal Industrial Anomaly Detection via Cross-Modal Knowledge Transfer and Dynamic Edge-Preserving Voxelization</x:v>
      </x:c>
      <x:c r="C201" s="5" t="str">
        <x:v>10.3390/s25216529</x:v>
      </x:c>
      <x:c r="D201" s="5" t="str"/>
      <x:c r="E201" s="5" t="str">
        <x:v>journal-article</x:v>
      </x:c>
      <x:c r="F201" s="5" t="str">
        <x:v>S12</x:v>
      </x:c>
      <x:c r="G201" s="5" t="str">
        <x:v>Title-scope candidate</x:v>
      </x:c>
      <x:c r="H201" s="5" t="str">
        <x:v>Not assigned</x:v>
      </x:c>
      <x:c r="I201" s="5" t="str">
        <x:v>Not started</x:v>
      </x:c>
      <x:c r="J201" s="5" t="str">
        <x:v>Not assigned</x:v>
      </x:c>
      <x:c r="K201" s="5" t="str">
        <x:v>Not started</x:v>
      </x:c>
      <x:c r="L201" s="5" t="str">
        <x:v>Pending</x:v>
      </x:c>
      <x:c r="M201" s="5" t="str"/>
      <x:c r="N201" s="5" t="str">
        <x:v>Not started</x:v>
      </x:c>
      <x:c r="O201" s="5" t="str">
        <x:v>Not started</x:v>
      </x:c>
      <x:c r="P201" s="5" t="str">
        <x:v>Not started</x:v>
      </x:c>
      <x:c r="Q201" s="5" t="str">
        <x:v>Not started</x:v>
      </x:c>
      <x:c r="R201" s="5" t="str">
        <x:v>Pending</x:v>
      </x:c>
      <x:c r="S201" s="5" t="str"/>
      <x:c r="T201" s="5" t="str"/>
      <x:c r="U201" s="5" t="str"/>
      <x:c r="V201" s="5" t="str"/>
      <x:c r="W201" s="5" t="str">
        <x:v>Not linked</x:v>
      </x:c>
      <x:c r="X201" s="5" t="str">
        <x:v>Pending</x:v>
      </x:c>
      <x:c r="Y201" s="5" t="str">
        <x:f>IF(AND(L201="Pending",R201="Pending"),"Pending screening",IF(H201="Not assigned","Assign reviewer",IF(AND(L201="Exclude",M201=""),"Missing TA exclusion reason",IF(AND(R201="Exclude",S201=""),"Missing FT exclusion reason","Decision recorded"))))</x:f>
        <x:v>Pending screening</x:v>
      </x:c>
    </x:row>
    <x:row r="202" ht="40" customHeight="1">
      <x:c r="A202" s="5" t="str">
        <x:v>C0192</x:v>
      </x:c>
      <x:c r="B202" s="5" t="str">
        <x:v>Reliability-Aware Missing-Modality SAR–Optical Change Detection for Rapid Disaster Damage Mapping</x:v>
      </x:c>
      <x:c r="C202" s="5" t="str">
        <x:v>10.2139/ssrn.7218470</x:v>
      </x:c>
      <x:c r="D202" s="5" t="str"/>
      <x:c r="E202" s="5" t="str">
        <x:v>posted-content</x:v>
      </x:c>
      <x:c r="F202" s="5" t="str">
        <x:v>S12</x:v>
      </x:c>
      <x:c r="G202" s="5" t="str">
        <x:v>Lower-priority; inspect scope</x:v>
      </x:c>
      <x:c r="H202" s="5" t="str">
        <x:v>Not assigned</x:v>
      </x:c>
      <x:c r="I202" s="5" t="str">
        <x:v>Not started</x:v>
      </x:c>
      <x:c r="J202" s="5" t="str">
        <x:v>Not assigned</x:v>
      </x:c>
      <x:c r="K202" s="5" t="str">
        <x:v>Not started</x:v>
      </x:c>
      <x:c r="L202" s="5" t="str">
        <x:v>Pending</x:v>
      </x:c>
      <x:c r="M202" s="5" t="str"/>
      <x:c r="N202" s="5" t="str">
        <x:v>Not started</x:v>
      </x:c>
      <x:c r="O202" s="5" t="str">
        <x:v>Not started</x:v>
      </x:c>
      <x:c r="P202" s="5" t="str">
        <x:v>Not started</x:v>
      </x:c>
      <x:c r="Q202" s="5" t="str">
        <x:v>Not started</x:v>
      </x:c>
      <x:c r="R202" s="5" t="str">
        <x:v>Pending</x:v>
      </x:c>
      <x:c r="S202" s="5" t="str"/>
      <x:c r="T202" s="5" t="str"/>
      <x:c r="U202" s="5" t="str"/>
      <x:c r="V202" s="5" t="str"/>
      <x:c r="W202" s="5" t="str">
        <x:v>Not linked</x:v>
      </x:c>
      <x:c r="X202" s="5" t="str">
        <x:v>Pending</x:v>
      </x:c>
      <x:c r="Y202" s="5" t="str">
        <x:f>IF(AND(L202="Pending",R202="Pending"),"Pending screening",IF(H202="Not assigned","Assign reviewer",IF(AND(L202="Exclude",M202=""),"Missing TA exclusion reason",IF(AND(R202="Exclude",S202=""),"Missing FT exclusion reason","Decision recorded"))))</x:f>
        <x:v>Pending screening</x:v>
      </x:c>
    </x:row>
    <x:row r="203" ht="40" customHeight="1">
      <x:c r="A203" s="5" t="str">
        <x:v>C0193</x:v>
      </x:c>
      <x:c r="B203" s="5" t="str">
        <x:v>Causal Wavelet Residual Learning with Observation-Support Gating for Industrial Sensor Anomaly Detection</x:v>
      </x:c>
      <x:c r="C203" s="5" t="str">
        <x:v>10.3390/s26185751</x:v>
      </x:c>
      <x:c r="D203" s="5" t="str"/>
      <x:c r="E203" s="5" t="str">
        <x:v>journal-article</x:v>
      </x:c>
      <x:c r="F203" s="5" t="str">
        <x:v>S12</x:v>
      </x:c>
      <x:c r="G203" s="5" t="str">
        <x:v>Title-scope candidate</x:v>
      </x:c>
      <x:c r="H203" s="5" t="str">
        <x:v>Not assigned</x:v>
      </x:c>
      <x:c r="I203" s="5" t="str">
        <x:v>Not started</x:v>
      </x:c>
      <x:c r="J203" s="5" t="str">
        <x:v>Not assigned</x:v>
      </x:c>
      <x:c r="K203" s="5" t="str">
        <x:v>Not started</x:v>
      </x:c>
      <x:c r="L203" s="5" t="str">
        <x:v>Pending</x:v>
      </x:c>
      <x:c r="M203" s="5" t="str"/>
      <x:c r="N203" s="5" t="str">
        <x:v>Not started</x:v>
      </x:c>
      <x:c r="O203" s="5" t="str">
        <x:v>Not started</x:v>
      </x:c>
      <x:c r="P203" s="5" t="str">
        <x:v>Not started</x:v>
      </x:c>
      <x:c r="Q203" s="5" t="str">
        <x:v>Not started</x:v>
      </x:c>
      <x:c r="R203" s="5" t="str">
        <x:v>Pending</x:v>
      </x:c>
      <x:c r="S203" s="5" t="str"/>
      <x:c r="T203" s="5" t="str"/>
      <x:c r="U203" s="5" t="str"/>
      <x:c r="V203" s="5" t="str"/>
      <x:c r="W203" s="5" t="str">
        <x:v>Not linked</x:v>
      </x:c>
      <x:c r="X203" s="5" t="str">
        <x:v>Pending</x:v>
      </x:c>
      <x:c r="Y203" s="5" t="str">
        <x:f>IF(AND(L203="Pending",R203="Pending"),"Pending screening",IF(H203="Not assigned","Assign reviewer",IF(AND(L203="Exclude",M203=""),"Missing TA exclusion reason",IF(AND(R203="Exclude",S203=""),"Missing FT exclusion reason","Decision recorded"))))</x:f>
        <x:v>Pending screening</x:v>
      </x:c>
    </x:row>
    <x:row r="204" ht="53" customHeight="1">
      <x:c r="A204" s="5" t="str">
        <x:v>C0194</x:v>
      </x:c>
      <x:c r="B204" s="5" t="str">
        <x:v>Improving Multivariate Time-Series Anomaly Detection in Industrial Sensor Networks Using Entropy-Based Feature Aggregation</x:v>
      </x:c>
      <x:c r="C204" s="5" t="str">
        <x:v>10.3390/e28010014</x:v>
      </x:c>
      <x:c r="D204" s="5" t="str"/>
      <x:c r="E204" s="5" t="str">
        <x:v>journal-article</x:v>
      </x:c>
      <x:c r="F204" s="5" t="str">
        <x:v>S12</x:v>
      </x:c>
      <x:c r="G204" s="5" t="str">
        <x:v>Title-scope candidate</x:v>
      </x:c>
      <x:c r="H204" s="5" t="str">
        <x:v>Not assigned</x:v>
      </x:c>
      <x:c r="I204" s="5" t="str">
        <x:v>Not started</x:v>
      </x:c>
      <x:c r="J204" s="5" t="str">
        <x:v>Not assigned</x:v>
      </x:c>
      <x:c r="K204" s="5" t="str">
        <x:v>Not started</x:v>
      </x:c>
      <x:c r="L204" s="5" t="str">
        <x:v>Pending</x:v>
      </x:c>
      <x:c r="M204" s="5" t="str"/>
      <x:c r="N204" s="5" t="str">
        <x:v>Not started</x:v>
      </x:c>
      <x:c r="O204" s="5" t="str">
        <x:v>Not started</x:v>
      </x:c>
      <x:c r="P204" s="5" t="str">
        <x:v>Not started</x:v>
      </x:c>
      <x:c r="Q204" s="5" t="str">
        <x:v>Not started</x:v>
      </x:c>
      <x:c r="R204" s="5" t="str">
        <x:v>Pending</x:v>
      </x:c>
      <x:c r="S204" s="5" t="str"/>
      <x:c r="T204" s="5" t="str"/>
      <x:c r="U204" s="5" t="str"/>
      <x:c r="V204" s="5" t="str"/>
      <x:c r="W204" s="5" t="str">
        <x:v>Not linked</x:v>
      </x:c>
      <x:c r="X204" s="5" t="str">
        <x:v>Pending</x:v>
      </x:c>
      <x:c r="Y204" s="5" t="str">
        <x:f>IF(AND(L204="Pending",R204="Pending"),"Pending screening",IF(H204="Not assigned","Assign reviewer",IF(AND(L204="Exclude",M204=""),"Missing TA exclusion reason",IF(AND(R204="Exclude",S204=""),"Missing FT exclusion reason","Decision recorded"))))</x:f>
        <x:v>Pending screening</x:v>
      </x:c>
    </x:row>
    <x:row r="205" ht="40" customHeight="1">
      <x:c r="A205" s="5" t="str">
        <x:v>C0195</x:v>
      </x:c>
      <x:c r="B205" s="5" t="str">
        <x:v>Hybrid quantum-classical machine learning for industrial multi-anomaly detection via single acoustic sensor</x:v>
      </x:c>
      <x:c r="C205" s="5" t="str">
        <x:v>10.1038/s41598-026-61786-y</x:v>
      </x:c>
      <x:c r="D205" s="5" t="str"/>
      <x:c r="E205" s="5" t="str">
        <x:v>journal-article</x:v>
      </x:c>
      <x:c r="F205" s="5" t="str">
        <x:v>S12</x:v>
      </x:c>
      <x:c r="G205" s="5" t="str">
        <x:v>Title-scope candidate</x:v>
      </x:c>
      <x:c r="H205" s="5" t="str">
        <x:v>Not assigned</x:v>
      </x:c>
      <x:c r="I205" s="5" t="str">
        <x:v>Not started</x:v>
      </x:c>
      <x:c r="J205" s="5" t="str">
        <x:v>Not assigned</x:v>
      </x:c>
      <x:c r="K205" s="5" t="str">
        <x:v>Not started</x:v>
      </x:c>
      <x:c r="L205" s="5" t="str">
        <x:v>Pending</x:v>
      </x:c>
      <x:c r="M205" s="5" t="str"/>
      <x:c r="N205" s="5" t="str">
        <x:v>Not started</x:v>
      </x:c>
      <x:c r="O205" s="5" t="str">
        <x:v>Not started</x:v>
      </x:c>
      <x:c r="P205" s="5" t="str">
        <x:v>Not started</x:v>
      </x:c>
      <x:c r="Q205" s="5" t="str">
        <x:v>Not started</x:v>
      </x:c>
      <x:c r="R205" s="5" t="str">
        <x:v>Pending</x:v>
      </x:c>
      <x:c r="S205" s="5" t="str"/>
      <x:c r="T205" s="5" t="str"/>
      <x:c r="U205" s="5" t="str"/>
      <x:c r="V205" s="5" t="str"/>
      <x:c r="W205" s="5" t="str">
        <x:v>Not linked</x:v>
      </x:c>
      <x:c r="X205" s="5" t="str">
        <x:v>Pending</x:v>
      </x:c>
      <x:c r="Y205" s="5" t="str">
        <x:f>IF(AND(L205="Pending",R205="Pending"),"Pending screening",IF(H205="Not assigned","Assign reviewer",IF(AND(L205="Exclude",M205=""),"Missing TA exclusion reason",IF(AND(R205="Exclude",S205=""),"Missing FT exclusion reason","Decision recorded"))))</x:f>
        <x:v>Pending screening</x:v>
      </x:c>
    </x:row>
    <x:row r="206" ht="40" customHeight="1">
      <x:c r="A206" s="5" t="str">
        <x:v>C0196</x:v>
      </x:c>
      <x:c r="B206" s="5" t="str">
        <x:v>Uncertainty-aware Sensor Data Anomaly Detection for Autonomous Vehicles</x:v>
      </x:c>
      <x:c r="C206" s="5" t="str">
        <x:v>10.1109/iv55156.2024.10588587</x:v>
      </x:c>
      <x:c r="D206" s="5" t="str"/>
      <x:c r="E206" s="5" t="str">
        <x:v>proceedings-article</x:v>
      </x:c>
      <x:c r="F206" s="5" t="str">
        <x:v>S12</x:v>
      </x:c>
      <x:c r="G206" s="5" t="str">
        <x:v>Lower-priority; inspect scope</x:v>
      </x:c>
      <x:c r="H206" s="5" t="str">
        <x:v>Not assigned</x:v>
      </x:c>
      <x:c r="I206" s="5" t="str">
        <x:v>Not started</x:v>
      </x:c>
      <x:c r="J206" s="5" t="str">
        <x:v>Not assigned</x:v>
      </x:c>
      <x:c r="K206" s="5" t="str">
        <x:v>Not started</x:v>
      </x:c>
      <x:c r="L206" s="5" t="str">
        <x:v>Pending</x:v>
      </x:c>
      <x:c r="M206" s="5" t="str"/>
      <x:c r="N206" s="5" t="str">
        <x:v>Not started</x:v>
      </x:c>
      <x:c r="O206" s="5" t="str">
        <x:v>Not started</x:v>
      </x:c>
      <x:c r="P206" s="5" t="str">
        <x:v>Not started</x:v>
      </x:c>
      <x:c r="Q206" s="5" t="str">
        <x:v>Not started</x:v>
      </x:c>
      <x:c r="R206" s="5" t="str">
        <x:v>Pending</x:v>
      </x:c>
      <x:c r="S206" s="5" t="str"/>
      <x:c r="T206" s="5" t="str"/>
      <x:c r="U206" s="5" t="str"/>
      <x:c r="V206" s="5" t="str"/>
      <x:c r="W206" s="5" t="str">
        <x:v>Not linked</x:v>
      </x:c>
      <x:c r="X206" s="5" t="str">
        <x:v>Pending</x:v>
      </x:c>
      <x:c r="Y206" s="5" t="str">
        <x:f>IF(AND(L206="Pending",R206="Pending"),"Pending screening",IF(H206="Not assigned","Assign reviewer",IF(AND(L206="Exclude",M206=""),"Missing TA exclusion reason",IF(AND(R206="Exclude",S206=""),"Missing FT exclusion reason","Decision recorded"))))</x:f>
        <x:v>Pending screening</x:v>
      </x:c>
    </x:row>
    <x:row r="207" ht="40" customHeight="1">
      <x:c r="A207" s="5" t="str">
        <x:v>C0197</x:v>
      </x:c>
      <x:c r="B207" s="5" t="str">
        <x:v>Visual inspection via anomaly detection by automated uncertainty propagation</x:v>
      </x:c>
      <x:c r="C207" s="5" t="str">
        <x:v>10.1117/12.2621146</x:v>
      </x:c>
      <x:c r="D207" s="5" t="str"/>
      <x:c r="E207" s="5" t="str">
        <x:v>proceedings-article</x:v>
      </x:c>
      <x:c r="F207" s="5" t="str">
        <x:v>S12</x:v>
      </x:c>
      <x:c r="G207" s="5" t="str">
        <x:v>Title-scope candidate</x:v>
      </x:c>
      <x:c r="H207" s="5" t="str">
        <x:v>Not assigned</x:v>
      </x:c>
      <x:c r="I207" s="5" t="str">
        <x:v>Not started</x:v>
      </x:c>
      <x:c r="J207" s="5" t="str">
        <x:v>Not assigned</x:v>
      </x:c>
      <x:c r="K207" s="5" t="str">
        <x:v>Not started</x:v>
      </x:c>
      <x:c r="L207" s="5" t="str">
        <x:v>Pending</x:v>
      </x:c>
      <x:c r="M207" s="5" t="str"/>
      <x:c r="N207" s="5" t="str">
        <x:v>Not started</x:v>
      </x:c>
      <x:c r="O207" s="5" t="str">
        <x:v>Not started</x:v>
      </x:c>
      <x:c r="P207" s="5" t="str">
        <x:v>Not started</x:v>
      </x:c>
      <x:c r="Q207" s="5" t="str">
        <x:v>Not started</x:v>
      </x:c>
      <x:c r="R207" s="5" t="str">
        <x:v>Pending</x:v>
      </x:c>
      <x:c r="S207" s="5" t="str"/>
      <x:c r="T207" s="5" t="str"/>
      <x:c r="U207" s="5" t="str"/>
      <x:c r="V207" s="5" t="str"/>
      <x:c r="W207" s="5" t="str">
        <x:v>Not linked</x:v>
      </x:c>
      <x:c r="X207" s="5" t="str">
        <x:v>Pending</x:v>
      </x:c>
      <x:c r="Y207" s="5" t="str">
        <x:f>IF(AND(L207="Pending",R207="Pending"),"Pending screening",IF(H207="Not assigned","Assign reviewer",IF(AND(L207="Exclude",M207=""),"Missing TA exclusion reason",IF(AND(R207="Exclude",S207=""),"Missing FT exclusion reason","Decision recorded"))))</x:f>
        <x:v>Pending screening</x:v>
      </x:c>
    </x:row>
    <x:row r="208" ht="40" customHeight="1">
      <x:c r="A208" s="5" t="str">
        <x:v>C0198</x:v>
      </x:c>
      <x:c r="B208" s="5" t="str">
        <x:v>ARMA-Net: Adaptive Reliability-Aware Modality Attention for Missing-Modality Multisource IoT Sensor Fusion</x:v>
      </x:c>
      <x:c r="C208" s="5" t="str">
        <x:v>10.1109/jiot.2026.3725660</x:v>
      </x:c>
      <x:c r="D208" s="5" t="str"/>
      <x:c r="E208" s="5" t="str">
        <x:v>journal-article</x:v>
      </x:c>
      <x:c r="F208" s="5" t="str">
        <x:v>S12</x:v>
      </x:c>
      <x:c r="G208" s="5" t="str">
        <x:v>Lower-priority; inspect scope</x:v>
      </x:c>
      <x:c r="H208" s="5" t="str">
        <x:v>Not assigned</x:v>
      </x:c>
      <x:c r="I208" s="5" t="str">
        <x:v>Not started</x:v>
      </x:c>
      <x:c r="J208" s="5" t="str">
        <x:v>Not assigned</x:v>
      </x:c>
      <x:c r="K208" s="5" t="str">
        <x:v>Not started</x:v>
      </x:c>
      <x:c r="L208" s="5" t="str">
        <x:v>Pending</x:v>
      </x:c>
      <x:c r="M208" s="5" t="str"/>
      <x:c r="N208" s="5" t="str">
        <x:v>Not started</x:v>
      </x:c>
      <x:c r="O208" s="5" t="str">
        <x:v>Not started</x:v>
      </x:c>
      <x:c r="P208" s="5" t="str">
        <x:v>Not started</x:v>
      </x:c>
      <x:c r="Q208" s="5" t="str">
        <x:v>Not started</x:v>
      </x:c>
      <x:c r="R208" s="5" t="str">
        <x:v>Pending</x:v>
      </x:c>
      <x:c r="S208" s="5" t="str"/>
      <x:c r="T208" s="5" t="str"/>
      <x:c r="U208" s="5" t="str"/>
      <x:c r="V208" s="5" t="str"/>
      <x:c r="W208" s="5" t="str">
        <x:v>Not linked</x:v>
      </x:c>
      <x:c r="X208" s="5" t="str">
        <x:v>Pending</x:v>
      </x:c>
      <x:c r="Y208" s="5" t="str">
        <x:f>IF(AND(L208="Pending",R208="Pending"),"Pending screening",IF(H208="Not assigned","Assign reviewer",IF(AND(L208="Exclude",M208=""),"Missing TA exclusion reason",IF(AND(R208="Exclude",S208=""),"Missing FT exclusion reason","Decision recorded"))))</x:f>
        <x:v>Pending screening</x:v>
      </x:c>
    </x:row>
    <x:row r="209" ht="40" customHeight="1">
      <x:c r="A209" s="5" t="str">
        <x:v>C0199</x:v>
      </x:c>
      <x:c r="B209" s="5" t="str">
        <x:v>Cross-Modality Integration Framework for Anomaly Detection in Surveillance Videos</x:v>
      </x:c>
      <x:c r="C209" s="5" t="str">
        <x:v>10.2139/ssrn.4634735</x:v>
      </x:c>
      <x:c r="D209" s="5" t="str"/>
      <x:c r="E209" s="5" t="str">
        <x:v>posted-content</x:v>
      </x:c>
      <x:c r="F209" s="5" t="str">
        <x:v>S12</x:v>
      </x:c>
      <x:c r="G209" s="5" t="str">
        <x:v>Lower-priority; inspect scope</x:v>
      </x:c>
      <x:c r="H209" s="5" t="str">
        <x:v>Not assigned</x:v>
      </x:c>
      <x:c r="I209" s="5" t="str">
        <x:v>Not started</x:v>
      </x:c>
      <x:c r="J209" s="5" t="str">
        <x:v>Not assigned</x:v>
      </x:c>
      <x:c r="K209" s="5" t="str">
        <x:v>Not started</x:v>
      </x:c>
      <x:c r="L209" s="5" t="str">
        <x:v>Pending</x:v>
      </x:c>
      <x:c r="M209" s="5" t="str"/>
      <x:c r="N209" s="5" t="str">
        <x:v>Not started</x:v>
      </x:c>
      <x:c r="O209" s="5" t="str">
        <x:v>Not started</x:v>
      </x:c>
      <x:c r="P209" s="5" t="str">
        <x:v>Not started</x:v>
      </x:c>
      <x:c r="Q209" s="5" t="str">
        <x:v>Not started</x:v>
      </x:c>
      <x:c r="R209" s="5" t="str">
        <x:v>Pending</x:v>
      </x:c>
      <x:c r="S209" s="5" t="str"/>
      <x:c r="T209" s="5" t="str"/>
      <x:c r="U209" s="5" t="str"/>
      <x:c r="V209" s="5" t="str"/>
      <x:c r="W209" s="5" t="str">
        <x:v>Not linked</x:v>
      </x:c>
      <x:c r="X209" s="5" t="str">
        <x:v>Pending</x:v>
      </x:c>
      <x:c r="Y209" s="5" t="str">
        <x:f>IF(AND(L209="Pending",R209="Pending"),"Pending screening",IF(H209="Not assigned","Assign reviewer",IF(AND(L209="Exclude",M209=""),"Missing TA exclusion reason",IF(AND(R209="Exclude",S209=""),"Missing FT exclusion reason","Decision recorded"))))</x:f>
        <x:v>Pending screening</x:v>
      </x:c>
    </x:row>
    <x:row r="210" ht="53" customHeight="1">
      <x:c r="A210" s="5" t="str">
        <x:v>C0200</x:v>
      </x:c>
      <x:c r="B210" s="5" t="str">
        <x:v>Beyond Heuristic Thresholds: Uncertainty-Aware Industrial Anomaly Detection With Last-Layer Laplace Approximation</x:v>
      </x:c>
      <x:c r="C210" s="5" t="str">
        <x:v>10.1109/access.2026.3702052</x:v>
      </x:c>
      <x:c r="D210" s="5" t="str"/>
      <x:c r="E210" s="5" t="str">
        <x:v>journal-article</x:v>
      </x:c>
      <x:c r="F210" s="5" t="str">
        <x:v>S12</x:v>
      </x:c>
      <x:c r="G210" s="5" t="str">
        <x:v>Title-scope candidate</x:v>
      </x:c>
      <x:c r="H210" s="5" t="str">
        <x:v>Not assigned</x:v>
      </x:c>
      <x:c r="I210" s="5" t="str">
        <x:v>Not started</x:v>
      </x:c>
      <x:c r="J210" s="5" t="str">
        <x:v>Not assigned</x:v>
      </x:c>
      <x:c r="K210" s="5" t="str">
        <x:v>Not started</x:v>
      </x:c>
      <x:c r="L210" s="5" t="str">
        <x:v>Pending</x:v>
      </x:c>
      <x:c r="M210" s="5" t="str"/>
      <x:c r="N210" s="5" t="str">
        <x:v>Not started</x:v>
      </x:c>
      <x:c r="O210" s="5" t="str">
        <x:v>Not started</x:v>
      </x:c>
      <x:c r="P210" s="5" t="str">
        <x:v>Not started</x:v>
      </x:c>
      <x:c r="Q210" s="5" t="str">
        <x:v>Not started</x:v>
      </x:c>
      <x:c r="R210" s="5" t="str">
        <x:v>Pending</x:v>
      </x:c>
      <x:c r="S210" s="5" t="str"/>
      <x:c r="T210" s="5" t="str"/>
      <x:c r="U210" s="5" t="str"/>
      <x:c r="V210" s="5" t="str"/>
      <x:c r="W210" s="5" t="str">
        <x:v>Not linked</x:v>
      </x:c>
      <x:c r="X210" s="5" t="str">
        <x:v>Pending</x:v>
      </x:c>
      <x:c r="Y210" s="5" t="str">
        <x:f>IF(AND(L210="Pending",R210="Pending"),"Pending screening",IF(H210="Not assigned","Assign reviewer",IF(AND(L210="Exclude",M210=""),"Missing TA exclusion reason",IF(AND(R210="Exclude",S210=""),"Missing FT exclusion reason","Decision recorded"))))</x:f>
        <x:v>Pending screening</x:v>
      </x:c>
    </x:row>
    <x:row r="211" ht="53" customHeight="1">
      <x:c r="A211" s="5" t="str">
        <x:v>C0201</x:v>
      </x:c>
      <x:c r="B211" s="5" t="str">
        <x:v>Anomaly Detection in Industrial IoT Sensor Streams: A Systematic Review of Data Engineering Pipelines and Detection Mechanisms</x:v>
      </x:c>
      <x:c r="C211" s="5" t="str">
        <x:v>10.56975/jetir.v13i9.585694</x:v>
      </x:c>
      <x:c r="D211" s="5" t="str"/>
      <x:c r="E211" s="5" t="str">
        <x:v>journal-article</x:v>
      </x:c>
      <x:c r="F211" s="5" t="str">
        <x:v>S12</x:v>
      </x:c>
      <x:c r="G211" s="5" t="str">
        <x:v>Title-scope candidate</x:v>
      </x:c>
      <x:c r="H211" s="5" t="str">
        <x:v>Not assigned</x:v>
      </x:c>
      <x:c r="I211" s="5" t="str">
        <x:v>Not started</x:v>
      </x:c>
      <x:c r="J211" s="5" t="str">
        <x:v>Not assigned</x:v>
      </x:c>
      <x:c r="K211" s="5" t="str">
        <x:v>Not started</x:v>
      </x:c>
      <x:c r="L211" s="5" t="str">
        <x:v>Pending</x:v>
      </x:c>
      <x:c r="M211" s="5" t="str"/>
      <x:c r="N211" s="5" t="str">
        <x:v>Not started</x:v>
      </x:c>
      <x:c r="O211" s="5" t="str">
        <x:v>Not started</x:v>
      </x:c>
      <x:c r="P211" s="5" t="str">
        <x:v>Not started</x:v>
      </x:c>
      <x:c r="Q211" s="5" t="str">
        <x:v>Not started</x:v>
      </x:c>
      <x:c r="R211" s="5" t="str">
        <x:v>Pending</x:v>
      </x:c>
      <x:c r="S211" s="5" t="str"/>
      <x:c r="T211" s="5" t="str"/>
      <x:c r="U211" s="5" t="str"/>
      <x:c r="V211" s="5" t="str"/>
      <x:c r="W211" s="5" t="str">
        <x:v>Not linked</x:v>
      </x:c>
      <x:c r="X211" s="5" t="str">
        <x:v>Pending</x:v>
      </x:c>
      <x:c r="Y211" s="5" t="str">
        <x:f>IF(AND(L211="Pending",R211="Pending"),"Pending screening",IF(H211="Not assigned","Assign reviewer",IF(AND(L211="Exclude",M211=""),"Missing TA exclusion reason",IF(AND(R211="Exclude",S211=""),"Missing FT exclusion reason","Decision recorded"))))</x:f>
        <x:v>Pending screening</x:v>
      </x:c>
    </x:row>
    <x:row r="212" ht="53" customHeight="1">
      <x:c r="A212" s="5" t="str">
        <x:v>C0202</x:v>
      </x:c>
      <x:c r="B212" s="5" t="str">
        <x:v>Language Meets Vision: A Vision–Language Guided Multimodal Framework for Explainable Industrial Anomaly Segmentation</x:v>
      </x:c>
      <x:c r="C212" s="5" t="str">
        <x:v>10.2139/ssrn.5745634</x:v>
      </x:c>
      <x:c r="D212" s="5" t="str"/>
      <x:c r="E212" s="5" t="str">
        <x:v>posted-content</x:v>
      </x:c>
      <x:c r="F212" s="5" t="str">
        <x:v>S13</x:v>
      </x:c>
      <x:c r="G212" s="5" t="str">
        <x:v>Title-scope candidate</x:v>
      </x:c>
      <x:c r="H212" s="5" t="str">
        <x:v>Not assigned</x:v>
      </x:c>
      <x:c r="I212" s="5" t="str">
        <x:v>Not started</x:v>
      </x:c>
      <x:c r="J212" s="5" t="str">
        <x:v>Not assigned</x:v>
      </x:c>
      <x:c r="K212" s="5" t="str">
        <x:v>Not started</x:v>
      </x:c>
      <x:c r="L212" s="5" t="str">
        <x:v>Pending</x:v>
      </x:c>
      <x:c r="M212" s="5" t="str"/>
      <x:c r="N212" s="5" t="str">
        <x:v>Not started</x:v>
      </x:c>
      <x:c r="O212" s="5" t="str">
        <x:v>Not started</x:v>
      </x:c>
      <x:c r="P212" s="5" t="str">
        <x:v>Not started</x:v>
      </x:c>
      <x:c r="Q212" s="5" t="str">
        <x:v>Not started</x:v>
      </x:c>
      <x:c r="R212" s="5" t="str">
        <x:v>Pending</x:v>
      </x:c>
      <x:c r="S212" s="5" t="str"/>
      <x:c r="T212" s="5" t="str"/>
      <x:c r="U212" s="5" t="str"/>
      <x:c r="V212" s="5" t="str"/>
      <x:c r="W212" s="5" t="str">
        <x:v>Not linked</x:v>
      </x:c>
      <x:c r="X212" s="5" t="str">
        <x:v>Pending</x:v>
      </x:c>
      <x:c r="Y212" s="5" t="str">
        <x:f>IF(AND(L212="Pending",R212="Pending"),"Pending screening",IF(H212="Not assigned","Assign reviewer",IF(AND(L212="Exclude",M212=""),"Missing TA exclusion reason",IF(AND(R212="Exclude",S212=""),"Missing FT exclusion reason","Decision recorded"))))</x:f>
        <x:v>Pending screening</x:v>
      </x:c>
    </x:row>
    <x:row r="213" ht="40" customHeight="1">
      <x:c r="A213" s="5" t="str">
        <x:v>C0203</x:v>
      </x:c>
      <x:c r="B213" s="5" t="str">
        <x:v>Fast Anomaly Detection for Vision-Based Industrial Inspection Using Cascades of Null Subspace PCA Detectors</x:v>
      </x:c>
      <x:c r="C213" s="5" t="str">
        <x:v>10.3390/s25154853</x:v>
      </x:c>
      <x:c r="D213" s="5" t="str"/>
      <x:c r="E213" s="5" t="str">
        <x:v>journal-article</x:v>
      </x:c>
      <x:c r="F213" s="5" t="str">
        <x:v>S13</x:v>
      </x:c>
      <x:c r="G213" s="5" t="str">
        <x:v>Title-scope candidate</x:v>
      </x:c>
      <x:c r="H213" s="5" t="str">
        <x:v>Not assigned</x:v>
      </x:c>
      <x:c r="I213" s="5" t="str">
        <x:v>Not started</x:v>
      </x:c>
      <x:c r="J213" s="5" t="str">
        <x:v>Not assigned</x:v>
      </x:c>
      <x:c r="K213" s="5" t="str">
        <x:v>Not started</x:v>
      </x:c>
      <x:c r="L213" s="5" t="str">
        <x:v>Pending</x:v>
      </x:c>
      <x:c r="M213" s="5" t="str"/>
      <x:c r="N213" s="5" t="str">
        <x:v>Not started</x:v>
      </x:c>
      <x:c r="O213" s="5" t="str">
        <x:v>Not started</x:v>
      </x:c>
      <x:c r="P213" s="5" t="str">
        <x:v>Not started</x:v>
      </x:c>
      <x:c r="Q213" s="5" t="str">
        <x:v>Not started</x:v>
      </x:c>
      <x:c r="R213" s="5" t="str">
        <x:v>Pending</x:v>
      </x:c>
      <x:c r="S213" s="5" t="str"/>
      <x:c r="T213" s="5" t="str"/>
      <x:c r="U213" s="5" t="str"/>
      <x:c r="V213" s="5" t="str"/>
      <x:c r="W213" s="5" t="str">
        <x:v>Not linked</x:v>
      </x:c>
      <x:c r="X213" s="5" t="str">
        <x:v>Pending</x:v>
      </x:c>
      <x:c r="Y213" s="5" t="str">
        <x:f>IF(AND(L213="Pending",R213="Pending"),"Pending screening",IF(H213="Not assigned","Assign reviewer",IF(AND(L213="Exclude",M213=""),"Missing TA exclusion reason",IF(AND(R213="Exclude",S213=""),"Missing FT exclusion reason","Decision recorded"))))</x:f>
        <x:v>Pending screening</x:v>
      </x:c>
    </x:row>
    <x:row r="214" ht="40" customHeight="1">
      <x:c r="A214" s="5" t="str">
        <x:v>C0204</x:v>
      </x:c>
      <x:c r="B214" s="5" t="str">
        <x:v>Vision-Guided Grounding for Reducing Hallucinations in Vision-Language Models</x:v>
      </x:c>
      <x:c r="C214" s="5" t="str">
        <x:v>10.2139/ssrn.6840298</x:v>
      </x:c>
      <x:c r="D214" s="5" t="str"/>
      <x:c r="E214" s="5" t="str">
        <x:v>posted-content</x:v>
      </x:c>
      <x:c r="F214" s="5" t="str">
        <x:v>S13</x:v>
      </x:c>
      <x:c r="G214" s="5" t="str">
        <x:v>Lower-priority; inspect scope</x:v>
      </x:c>
      <x:c r="H214" s="5" t="str">
        <x:v>Not assigned</x:v>
      </x:c>
      <x:c r="I214" s="5" t="str">
        <x:v>Not started</x:v>
      </x:c>
      <x:c r="J214" s="5" t="str">
        <x:v>Not assigned</x:v>
      </x:c>
      <x:c r="K214" s="5" t="str">
        <x:v>Not started</x:v>
      </x:c>
      <x:c r="L214" s="5" t="str">
        <x:v>Pending</x:v>
      </x:c>
      <x:c r="M214" s="5" t="str"/>
      <x:c r="N214" s="5" t="str">
        <x:v>Not started</x:v>
      </x:c>
      <x:c r="O214" s="5" t="str">
        <x:v>Not started</x:v>
      </x:c>
      <x:c r="P214" s="5" t="str">
        <x:v>Not started</x:v>
      </x:c>
      <x:c r="Q214" s="5" t="str">
        <x:v>Not started</x:v>
      </x:c>
      <x:c r="R214" s="5" t="str">
        <x:v>Pending</x:v>
      </x:c>
      <x:c r="S214" s="5" t="str"/>
      <x:c r="T214" s="5" t="str"/>
      <x:c r="U214" s="5" t="str"/>
      <x:c r="V214" s="5" t="str"/>
      <x:c r="W214" s="5" t="str">
        <x:v>Not linked</x:v>
      </x:c>
      <x:c r="X214" s="5" t="str">
        <x:v>Pending</x:v>
      </x:c>
      <x:c r="Y214" s="5" t="str">
        <x:f>IF(AND(L214="Pending",R214="Pending"),"Pending screening",IF(H214="Not assigned","Assign reviewer",IF(AND(L214="Exclude",M214=""),"Missing TA exclusion reason",IF(AND(R214="Exclude",S214=""),"Missing FT exclusion reason","Decision recorded"))))</x:f>
        <x:v>Pending screening</x:v>
      </x:c>
    </x:row>
    <x:row r="215" ht="40" customHeight="1">
      <x:c r="A215" s="5" t="str">
        <x:v>C0205</x:v>
      </x:c>
      <x:c r="B215" s="5" t="str">
        <x:v>Zoom-Anomaly: Multimodal vision-Language fusion industrial anomaly detection with synthetic data</x:v>
      </x:c>
      <x:c r="C215" s="5" t="str">
        <x:v>10.1016/j.inffus.2025.103910</x:v>
      </x:c>
      <x:c r="D215" s="5" t="str"/>
      <x:c r="E215" s="5" t="str">
        <x:v>journal-article</x:v>
      </x:c>
      <x:c r="F215" s="5" t="str">
        <x:v>S13</x:v>
      </x:c>
      <x:c r="G215" s="5" t="str">
        <x:v>Title-scope candidate</x:v>
      </x:c>
      <x:c r="H215" s="5" t="str">
        <x:v>Not assigned</x:v>
      </x:c>
      <x:c r="I215" s="5" t="str">
        <x:v>Not started</x:v>
      </x:c>
      <x:c r="J215" s="5" t="str">
        <x:v>Not assigned</x:v>
      </x:c>
      <x:c r="K215" s="5" t="str">
        <x:v>Not started</x:v>
      </x:c>
      <x:c r="L215" s="5" t="str">
        <x:v>Pending</x:v>
      </x:c>
      <x:c r="M215" s="5" t="str"/>
      <x:c r="N215" s="5" t="str">
        <x:v>Not started</x:v>
      </x:c>
      <x:c r="O215" s="5" t="str">
        <x:v>Not started</x:v>
      </x:c>
      <x:c r="P215" s="5" t="str">
        <x:v>Not started</x:v>
      </x:c>
      <x:c r="Q215" s="5" t="str">
        <x:v>Not started</x:v>
      </x:c>
      <x:c r="R215" s="5" t="str">
        <x:v>Pending</x:v>
      </x:c>
      <x:c r="S215" s="5" t="str"/>
      <x:c r="T215" s="5" t="str"/>
      <x:c r="U215" s="5" t="str"/>
      <x:c r="V215" s="5" t="str"/>
      <x:c r="W215" s="5" t="str">
        <x:v>Not linked</x:v>
      </x:c>
      <x:c r="X215" s="5" t="str">
        <x:v>Pending</x:v>
      </x:c>
      <x:c r="Y215" s="5" t="str">
        <x:f>IF(AND(L215="Pending",R215="Pending"),"Pending screening",IF(H215="Not assigned","Assign reviewer",IF(AND(L215="Exclude",M215=""),"Missing TA exclusion reason",IF(AND(R215="Exclude",S215=""),"Missing FT exclusion reason","Decision recorded"))))</x:f>
        <x:v>Pending screening</x:v>
      </x:c>
    </x:row>
    <x:row r="216" ht="40" customHeight="1">
      <x:c r="A216" s="5" t="str">
        <x:v>C0206</x:v>
      </x:c>
      <x:c r="B216" s="5" t="str">
        <x:v>Large Vision Language Models for Anomaly Detection in Aircraft Inspection with Inspectors in the Loop</x:v>
      </x:c>
      <x:c r="C216" s="5" t="str">
        <x:v>10.2514/6.2025-3793</x:v>
      </x:c>
      <x:c r="D216" s="5" t="str"/>
      <x:c r="E216" s="5" t="str">
        <x:v>proceedings-article</x:v>
      </x:c>
      <x:c r="F216" s="5" t="str">
        <x:v>S13</x:v>
      </x:c>
      <x:c r="G216" s="5" t="str">
        <x:v>Title-scope candidate</x:v>
      </x:c>
      <x:c r="H216" s="5" t="str">
        <x:v>Not assigned</x:v>
      </x:c>
      <x:c r="I216" s="5" t="str">
        <x:v>Not started</x:v>
      </x:c>
      <x:c r="J216" s="5" t="str">
        <x:v>Not assigned</x:v>
      </x:c>
      <x:c r="K216" s="5" t="str">
        <x:v>Not started</x:v>
      </x:c>
      <x:c r="L216" s="5" t="str">
        <x:v>Pending</x:v>
      </x:c>
      <x:c r="M216" s="5" t="str"/>
      <x:c r="N216" s="5" t="str">
        <x:v>Not started</x:v>
      </x:c>
      <x:c r="O216" s="5" t="str">
        <x:v>Not started</x:v>
      </x:c>
      <x:c r="P216" s="5" t="str">
        <x:v>Not started</x:v>
      </x:c>
      <x:c r="Q216" s="5" t="str">
        <x:v>Not started</x:v>
      </x:c>
      <x:c r="R216" s="5" t="str">
        <x:v>Pending</x:v>
      </x:c>
      <x:c r="S216" s="5" t="str"/>
      <x:c r="T216" s="5" t="str"/>
      <x:c r="U216" s="5" t="str"/>
      <x:c r="V216" s="5" t="str"/>
      <x:c r="W216" s="5" t="str">
        <x:v>Not linked</x:v>
      </x:c>
      <x:c r="X216" s="5" t="str">
        <x:v>Pending</x:v>
      </x:c>
      <x:c r="Y216" s="5" t="str">
        <x:f>IF(AND(L216="Pending",R216="Pending"),"Pending screening",IF(H216="Not assigned","Assign reviewer",IF(AND(L216="Exclude",M216=""),"Missing TA exclusion reason",IF(AND(R216="Exclude",S216=""),"Missing FT exclusion reason","Decision recorded"))))</x:f>
        <x:v>Pending screening</x:v>
      </x:c>
    </x:row>
    <x:row r="217" ht="40" customHeight="1">
      <x:c r="A217" s="5" t="str">
        <x:v>C0207</x:v>
      </x:c>
      <x:c r="B217" s="5" t="str">
        <x:v>Grounding Information in Route Explanation Dialogues</x:v>
      </x:c>
      <x:c r="C217" s="5" t="str">
        <x:v>10.1093/acprof:oso/9780199554201.003.0012</x:v>
      </x:c>
      <x:c r="D217" s="5" t="str"/>
      <x:c r="E217" s="5" t="str">
        <x:v>book-chapter</x:v>
      </x:c>
      <x:c r="F217" s="5" t="str">
        <x:v>S13</x:v>
      </x:c>
      <x:c r="G217" s="5" t="str">
        <x:v>Lower-priority; inspect scope</x:v>
      </x:c>
      <x:c r="H217" s="5" t="str">
        <x:v>Not assigned</x:v>
      </x:c>
      <x:c r="I217" s="5" t="str">
        <x:v>Not started</x:v>
      </x:c>
      <x:c r="J217" s="5" t="str">
        <x:v>Not assigned</x:v>
      </x:c>
      <x:c r="K217" s="5" t="str">
        <x:v>Not started</x:v>
      </x:c>
      <x:c r="L217" s="5" t="str">
        <x:v>Pending</x:v>
      </x:c>
      <x:c r="M217" s="5" t="str"/>
      <x:c r="N217" s="5" t="str">
        <x:v>Not started</x:v>
      </x:c>
      <x:c r="O217" s="5" t="str">
        <x:v>Not started</x:v>
      </x:c>
      <x:c r="P217" s="5" t="str">
        <x:v>Not started</x:v>
      </x:c>
      <x:c r="Q217" s="5" t="str">
        <x:v>Not started</x:v>
      </x:c>
      <x:c r="R217" s="5" t="str">
        <x:v>Pending</x:v>
      </x:c>
      <x:c r="S217" s="5" t="str"/>
      <x:c r="T217" s="5" t="str"/>
      <x:c r="U217" s="5" t="str"/>
      <x:c r="V217" s="5" t="str"/>
      <x:c r="W217" s="5" t="str">
        <x:v>Not linked</x:v>
      </x:c>
      <x:c r="X217" s="5" t="str">
        <x:v>Pending</x:v>
      </x:c>
      <x:c r="Y217" s="5" t="str">
        <x:f>IF(AND(L217="Pending",R217="Pending"),"Pending screening",IF(H217="Not assigned","Assign reviewer",IF(AND(L217="Exclude",M217=""),"Missing TA exclusion reason",IF(AND(R217="Exclude",S217=""),"Missing FT exclusion reason","Decision recorded"))))</x:f>
        <x:v>Pending screening</x:v>
      </x:c>
    </x:row>
    <x:row r="218" ht="40" customHeight="1">
      <x:c r="A218" s="5" t="str">
        <x:v>C0208</x:v>
      </x:c>
      <x:c r="B218" s="5" t="str">
        <x:v>Vision expert guided inspection for industrial anomaly detection</x:v>
      </x:c>
      <x:c r="C218" s="5" t="str">
        <x:v>10.1371/journal.pone.0353291</x:v>
      </x:c>
      <x:c r="D218" s="5" t="str"/>
      <x:c r="E218" s="5" t="str">
        <x:v>journal-article</x:v>
      </x:c>
      <x:c r="F218" s="5" t="str">
        <x:v>S13</x:v>
      </x:c>
      <x:c r="G218" s="5" t="str">
        <x:v>Title-scope candidate</x:v>
      </x:c>
      <x:c r="H218" s="5" t="str">
        <x:v>Not assigned</x:v>
      </x:c>
      <x:c r="I218" s="5" t="str">
        <x:v>Not started</x:v>
      </x:c>
      <x:c r="J218" s="5" t="str">
        <x:v>Not assigned</x:v>
      </x:c>
      <x:c r="K218" s="5" t="str">
        <x:v>Not started</x:v>
      </x:c>
      <x:c r="L218" s="5" t="str">
        <x:v>Pending</x:v>
      </x:c>
      <x:c r="M218" s="5" t="str"/>
      <x:c r="N218" s="5" t="str">
        <x:v>Not started</x:v>
      </x:c>
      <x:c r="O218" s="5" t="str">
        <x:v>Not started</x:v>
      </x:c>
      <x:c r="P218" s="5" t="str">
        <x:v>Not started</x:v>
      </x:c>
      <x:c r="Q218" s="5" t="str">
        <x:v>Not started</x:v>
      </x:c>
      <x:c r="R218" s="5" t="str">
        <x:v>Pending</x:v>
      </x:c>
      <x:c r="S218" s="5" t="str"/>
      <x:c r="T218" s="5" t="str"/>
      <x:c r="U218" s="5" t="str"/>
      <x:c r="V218" s="5" t="str"/>
      <x:c r="W218" s="5" t="str">
        <x:v>Not linked</x:v>
      </x:c>
      <x:c r="X218" s="5" t="str">
        <x:v>Pending</x:v>
      </x:c>
      <x:c r="Y218" s="5" t="str">
        <x:f>IF(AND(L218="Pending",R218="Pending"),"Pending screening",IF(H218="Not assigned","Assign reviewer",IF(AND(L218="Exclude",M218=""),"Missing TA exclusion reason",IF(AND(R218="Exclude",S218=""),"Missing FT exclusion reason","Decision recorded"))))</x:f>
        <x:v>Pending screening</x:v>
      </x:c>
    </x:row>
    <x:row r="219" ht="40" customHeight="1">
      <x:c r="A219" s="5" t="str">
        <x:v>C0209</x:v>
      </x:c>
      <x:c r="B219" s="5" t="str">
        <x:v>Grounding-Based Accounts of Everyday Metaphysical Explanation</x:v>
      </x:c>
      <x:c r="C219" s="5" t="str">
        <x:v>10.1093/oso/9780198857303.003.0005</x:v>
      </x:c>
      <x:c r="D219" s="5" t="str"/>
      <x:c r="E219" s="5" t="str">
        <x:v>book-chapter</x:v>
      </x:c>
      <x:c r="F219" s="5" t="str">
        <x:v>S13</x:v>
      </x:c>
      <x:c r="G219" s="5" t="str">
        <x:v>Lower-priority; inspect scope</x:v>
      </x:c>
      <x:c r="H219" s="5" t="str">
        <x:v>Not assigned</x:v>
      </x:c>
      <x:c r="I219" s="5" t="str">
        <x:v>Not started</x:v>
      </x:c>
      <x:c r="J219" s="5" t="str">
        <x:v>Not assigned</x:v>
      </x:c>
      <x:c r="K219" s="5" t="str">
        <x:v>Not started</x:v>
      </x:c>
      <x:c r="L219" s="5" t="str">
        <x:v>Pending</x:v>
      </x:c>
      <x:c r="M219" s="5" t="str"/>
      <x:c r="N219" s="5" t="str">
        <x:v>Not started</x:v>
      </x:c>
      <x:c r="O219" s="5" t="str">
        <x:v>Not started</x:v>
      </x:c>
      <x:c r="P219" s="5" t="str">
        <x:v>Not started</x:v>
      </x:c>
      <x:c r="Q219" s="5" t="str">
        <x:v>Not started</x:v>
      </x:c>
      <x:c r="R219" s="5" t="str">
        <x:v>Pending</x:v>
      </x:c>
      <x:c r="S219" s="5" t="str"/>
      <x:c r="T219" s="5" t="str"/>
      <x:c r="U219" s="5" t="str"/>
      <x:c r="V219" s="5" t="str"/>
      <x:c r="W219" s="5" t="str">
        <x:v>Not linked</x:v>
      </x:c>
      <x:c r="X219" s="5" t="str">
        <x:v>Pending</x:v>
      </x:c>
      <x:c r="Y219" s="5" t="str">
        <x:f>IF(AND(L219="Pending",R219="Pending"),"Pending screening",IF(H219="Not assigned","Assign reviewer",IF(AND(L219="Exclude",M219=""),"Missing TA exclusion reason",IF(AND(R219="Exclude",S219=""),"Missing FT exclusion reason","Decision recorded"))))</x:f>
        <x:v>Pending screening</x:v>
      </x:c>
    </x:row>
    <x:row r="220" ht="40" customHeight="1">
      <x:c r="A220" s="5" t="str">
        <x:v>C0210</x:v>
      </x:c>
      <x:c r="B220" s="5" t="str">
        <x:v>TAB: Text-Align Anomaly Backbone Model for Industrial Inspection Tasks</x:v>
      </x:c>
      <x:c r="C220" s="5" t="str">
        <x:v>10.1109/cvprw63382.2024.00396</x:v>
      </x:c>
      <x:c r="D220" s="5" t="str"/>
      <x:c r="E220" s="5" t="str">
        <x:v>proceedings-article</x:v>
      </x:c>
      <x:c r="F220" s="5" t="str">
        <x:v>S13</x:v>
      </x:c>
      <x:c r="G220" s="5" t="str">
        <x:v>Title-scope candidate</x:v>
      </x:c>
      <x:c r="H220" s="5" t="str">
        <x:v>Not assigned</x:v>
      </x:c>
      <x:c r="I220" s="5" t="str">
        <x:v>Not started</x:v>
      </x:c>
      <x:c r="J220" s="5" t="str">
        <x:v>Not assigned</x:v>
      </x:c>
      <x:c r="K220" s="5" t="str">
        <x:v>Not started</x:v>
      </x:c>
      <x:c r="L220" s="5" t="str">
        <x:v>Pending</x:v>
      </x:c>
      <x:c r="M220" s="5" t="str"/>
      <x:c r="N220" s="5" t="str">
        <x:v>Not started</x:v>
      </x:c>
      <x:c r="O220" s="5" t="str">
        <x:v>Not started</x:v>
      </x:c>
      <x:c r="P220" s="5" t="str">
        <x:v>Not started</x:v>
      </x:c>
      <x:c r="Q220" s="5" t="str">
        <x:v>Not started</x:v>
      </x:c>
      <x:c r="R220" s="5" t="str">
        <x:v>Pending</x:v>
      </x:c>
      <x:c r="S220" s="5" t="str"/>
      <x:c r="T220" s="5" t="str"/>
      <x:c r="U220" s="5" t="str"/>
      <x:c r="V220" s="5" t="str"/>
      <x:c r="W220" s="5" t="str">
        <x:v>Not linked</x:v>
      </x:c>
      <x:c r="X220" s="5" t="str">
        <x:v>Pending</x:v>
      </x:c>
      <x:c r="Y220" s="5" t="str">
        <x:f>IF(AND(L220="Pending",R220="Pending"),"Pending screening",IF(H220="Not assigned","Assign reviewer",IF(AND(L220="Exclude",M220=""),"Missing TA exclusion reason",IF(AND(R220="Exclude",S220=""),"Missing FT exclusion reason","Decision recorded"))))</x:f>
        <x:v>Pending screening</x:v>
      </x:c>
    </x:row>
    <x:row r="221" ht="40" customHeight="1">
      <x:c r="A221" s="5" t="str">
        <x:v>C0211</x:v>
      </x:c>
      <x:c r="B221" s="5" t="str">
        <x:v>Studies on industrial vision inspection methods</x:v>
      </x:c>
      <x:c r="C221" s="5" t="str">
        <x:v>10.32920/ryerson.14665326.v1</x:v>
      </x:c>
      <x:c r="D221" s="5" t="str"/>
      <x:c r="E221" s="5" t="str">
        <x:v>posted-content</x:v>
      </x:c>
      <x:c r="F221" s="5" t="str">
        <x:v>S13</x:v>
      </x:c>
      <x:c r="G221" s="5" t="str">
        <x:v>Title-scope candidate</x:v>
      </x:c>
      <x:c r="H221" s="5" t="str">
        <x:v>Not assigned</x:v>
      </x:c>
      <x:c r="I221" s="5" t="str">
        <x:v>Not started</x:v>
      </x:c>
      <x:c r="J221" s="5" t="str">
        <x:v>Not assigned</x:v>
      </x:c>
      <x:c r="K221" s="5" t="str">
        <x:v>Not started</x:v>
      </x:c>
      <x:c r="L221" s="5" t="str">
        <x:v>Pending</x:v>
      </x:c>
      <x:c r="M221" s="5" t="str"/>
      <x:c r="N221" s="5" t="str">
        <x:v>Not started</x:v>
      </x:c>
      <x:c r="O221" s="5" t="str">
        <x:v>Not started</x:v>
      </x:c>
      <x:c r="P221" s="5" t="str">
        <x:v>Not started</x:v>
      </x:c>
      <x:c r="Q221" s="5" t="str">
        <x:v>Not started</x:v>
      </x:c>
      <x:c r="R221" s="5" t="str">
        <x:v>Pending</x:v>
      </x:c>
      <x:c r="S221" s="5" t="str"/>
      <x:c r="T221" s="5" t="str"/>
      <x:c r="U221" s="5" t="str"/>
      <x:c r="V221" s="5" t="str"/>
      <x:c r="W221" s="5" t="str">
        <x:v>Not linked</x:v>
      </x:c>
      <x:c r="X221" s="5" t="str">
        <x:v>Pending</x:v>
      </x:c>
      <x:c r="Y221" s="5" t="str">
        <x:f>IF(AND(L221="Pending",R221="Pending"),"Pending screening",IF(H221="Not assigned","Assign reviewer",IF(AND(L221="Exclude",M221=""),"Missing TA exclusion reason",IF(AND(R221="Exclude",S221=""),"Missing FT exclusion reason","Decision recorded"))))</x:f>
        <x:v>Pending screening</x:v>
      </x:c>
    </x:row>
    <x:row r="222" ht="40" customHeight="1">
      <x:c r="A222" s="5" t="str">
        <x:v>C0212</x:v>
      </x:c>
      <x:c r="B222" s="5" t="str">
        <x:v>Research on Crane Protection Grounding Inspection and Detection</x:v>
      </x:c>
      <x:c r="C222" s="5" t="str">
        <x:v>10.47939/et.v2i8.315</x:v>
      </x:c>
      <x:c r="D222" s="5" t="str"/>
      <x:c r="E222" s="5" t="str">
        <x:v>journal-article</x:v>
      </x:c>
      <x:c r="F222" s="5" t="str">
        <x:v>S13</x:v>
      </x:c>
      <x:c r="G222" s="5" t="str">
        <x:v>Lower-priority; inspect scope</x:v>
      </x:c>
      <x:c r="H222" s="5" t="str">
        <x:v>Not assigned</x:v>
      </x:c>
      <x:c r="I222" s="5" t="str">
        <x:v>Not started</x:v>
      </x:c>
      <x:c r="J222" s="5" t="str">
        <x:v>Not assigned</x:v>
      </x:c>
      <x:c r="K222" s="5" t="str">
        <x:v>Not started</x:v>
      </x:c>
      <x:c r="L222" s="5" t="str">
        <x:v>Pending</x:v>
      </x:c>
      <x:c r="M222" s="5" t="str"/>
      <x:c r="N222" s="5" t="str">
        <x:v>Not started</x:v>
      </x:c>
      <x:c r="O222" s="5" t="str">
        <x:v>Not started</x:v>
      </x:c>
      <x:c r="P222" s="5" t="str">
        <x:v>Not started</x:v>
      </x:c>
      <x:c r="Q222" s="5" t="str">
        <x:v>Not started</x:v>
      </x:c>
      <x:c r="R222" s="5" t="str">
        <x:v>Pending</x:v>
      </x:c>
      <x:c r="S222" s="5" t="str"/>
      <x:c r="T222" s="5" t="str"/>
      <x:c r="U222" s="5" t="str"/>
      <x:c r="V222" s="5" t="str"/>
      <x:c r="W222" s="5" t="str">
        <x:v>Not linked</x:v>
      </x:c>
      <x:c r="X222" s="5" t="str">
        <x:v>Pending</x:v>
      </x:c>
      <x:c r="Y222" s="5" t="str">
        <x:f>IF(AND(L222="Pending",R222="Pending"),"Pending screening",IF(H222="Not assigned","Assign reviewer",IF(AND(L222="Exclude",M222=""),"Missing TA exclusion reason",IF(AND(R222="Exclude",S222=""),"Missing FT exclusion reason","Decision recorded"))))</x:f>
        <x:v>Pending screening</x:v>
      </x:c>
    </x:row>
    <x:row r="223" ht="40" customHeight="1">
      <x:c r="A223" s="5" t="str">
        <x:v>C0213</x:v>
      </x:c>
      <x:c r="B223" s="5" t="str">
        <x:v>Studies on industrial vision inspection methods</x:v>
      </x:c>
      <x:c r="C223" s="5" t="str">
        <x:v>10.32920/ryerson.14665326</x:v>
      </x:c>
      <x:c r="D223" s="5" t="str"/>
      <x:c r="E223" s="5" t="str">
        <x:v>posted-content</x:v>
      </x:c>
      <x:c r="F223" s="5" t="str">
        <x:v>S13</x:v>
      </x:c>
      <x:c r="G223" s="5" t="str">
        <x:v>Title-scope candidate</x:v>
      </x:c>
      <x:c r="H223" s="5" t="str">
        <x:v>Not assigned</x:v>
      </x:c>
      <x:c r="I223" s="5" t="str">
        <x:v>Not started</x:v>
      </x:c>
      <x:c r="J223" s="5" t="str">
        <x:v>Not assigned</x:v>
      </x:c>
      <x:c r="K223" s="5" t="str">
        <x:v>Not started</x:v>
      </x:c>
      <x:c r="L223" s="5" t="str">
        <x:v>Pending</x:v>
      </x:c>
      <x:c r="M223" s="5" t="str"/>
      <x:c r="N223" s="5" t="str">
        <x:v>Not started</x:v>
      </x:c>
      <x:c r="O223" s="5" t="str">
        <x:v>Not started</x:v>
      </x:c>
      <x:c r="P223" s="5" t="str">
        <x:v>Not started</x:v>
      </x:c>
      <x:c r="Q223" s="5" t="str">
        <x:v>Not started</x:v>
      </x:c>
      <x:c r="R223" s="5" t="str">
        <x:v>Pending</x:v>
      </x:c>
      <x:c r="S223" s="5" t="str"/>
      <x:c r="T223" s="5" t="str"/>
      <x:c r="U223" s="5" t="str"/>
      <x:c r="V223" s="5" t="str"/>
      <x:c r="W223" s="5" t="str">
        <x:v>Not linked</x:v>
      </x:c>
      <x:c r="X223" s="5" t="str">
        <x:v>Pending</x:v>
      </x:c>
      <x:c r="Y223" s="5" t="str">
        <x:f>IF(AND(L223="Pending",R223="Pending"),"Pending screening",IF(H223="Not assigned","Assign reviewer",IF(AND(L223="Exclude",M223=""),"Missing TA exclusion reason",IF(AND(R223="Exclude",S223=""),"Missing FT exclusion reason","Decision recorded"))))</x:f>
        <x:v>Pending screening</x:v>
      </x:c>
    </x:row>
    <x:row r="224" ht="40" customHeight="1">
      <x:c r="A224" s="5" t="str">
        <x:v>C0214</x:v>
      </x:c>
      <x:c r="B224" s="5" t="str">
        <x:v>Analysis of Common Problems in Crane Grounding Inspection</x:v>
      </x:c>
      <x:c r="C224" s="5" t="str">
        <x:v>10.47939/et.v3i7(03).19</x:v>
      </x:c>
      <x:c r="D224" s="5" t="str"/>
      <x:c r="E224" s="5" t="str">
        <x:v>journal-article</x:v>
      </x:c>
      <x:c r="F224" s="5" t="str">
        <x:v>S13</x:v>
      </x:c>
      <x:c r="G224" s="5" t="str">
        <x:v>Lower-priority; inspect scope</x:v>
      </x:c>
      <x:c r="H224" s="5" t="str">
        <x:v>Not assigned</x:v>
      </x:c>
      <x:c r="I224" s="5" t="str">
        <x:v>Not started</x:v>
      </x:c>
      <x:c r="J224" s="5" t="str">
        <x:v>Not assigned</x:v>
      </x:c>
      <x:c r="K224" s="5" t="str">
        <x:v>Not started</x:v>
      </x:c>
      <x:c r="L224" s="5" t="str">
        <x:v>Pending</x:v>
      </x:c>
      <x:c r="M224" s="5" t="str"/>
      <x:c r="N224" s="5" t="str">
        <x:v>Not started</x:v>
      </x:c>
      <x:c r="O224" s="5" t="str">
        <x:v>Not started</x:v>
      </x:c>
      <x:c r="P224" s="5" t="str">
        <x:v>Not started</x:v>
      </x:c>
      <x:c r="Q224" s="5" t="str">
        <x:v>Not started</x:v>
      </x:c>
      <x:c r="R224" s="5" t="str">
        <x:v>Pending</x:v>
      </x:c>
      <x:c r="S224" s="5" t="str"/>
      <x:c r="T224" s="5" t="str"/>
      <x:c r="U224" s="5" t="str"/>
      <x:c r="V224" s="5" t="str"/>
      <x:c r="W224" s="5" t="str">
        <x:v>Not linked</x:v>
      </x:c>
      <x:c r="X224" s="5" t="str">
        <x:v>Pending</x:v>
      </x:c>
      <x:c r="Y224" s="5" t="str">
        <x:f>IF(AND(L224="Pending",R224="Pending"),"Pending screening",IF(H224="Not assigned","Assign reviewer",IF(AND(L224="Exclude",M224=""),"Missing TA exclusion reason",IF(AND(R224="Exclude",S224=""),"Missing FT exclusion reason","Decision recorded"))))</x:f>
        <x:v>Pending screening</x:v>
      </x:c>
    </x:row>
    <x:row r="225" ht="40" customHeight="1">
      <x:c r="A225" s="5" t="str">
        <x:v>C0215</x:v>
      </x:c>
      <x:c r="B225" s="5" t="str">
        <x:v>3D anomaly inspection system for sewer pipes using stereo vision and novel image processing</x:v>
      </x:c>
      <x:c r="C225" s="5" t="str">
        <x:v>10.1109/iciea.2016.7603726</x:v>
      </x:c>
      <x:c r="D225" s="5" t="str"/>
      <x:c r="E225" s="5" t="str">
        <x:v>proceedings-article</x:v>
      </x:c>
      <x:c r="F225" s="5" t="str">
        <x:v>S13</x:v>
      </x:c>
      <x:c r="G225" s="5" t="str">
        <x:v>Title-scope candidate</x:v>
      </x:c>
      <x:c r="H225" s="5" t="str">
        <x:v>Not assigned</x:v>
      </x:c>
      <x:c r="I225" s="5" t="str">
        <x:v>Not started</x:v>
      </x:c>
      <x:c r="J225" s="5" t="str">
        <x:v>Not assigned</x:v>
      </x:c>
      <x:c r="K225" s="5" t="str">
        <x:v>Not started</x:v>
      </x:c>
      <x:c r="L225" s="5" t="str">
        <x:v>Pending</x:v>
      </x:c>
      <x:c r="M225" s="5" t="str"/>
      <x:c r="N225" s="5" t="str">
        <x:v>Not started</x:v>
      </x:c>
      <x:c r="O225" s="5" t="str">
        <x:v>Not started</x:v>
      </x:c>
      <x:c r="P225" s="5" t="str">
        <x:v>Not started</x:v>
      </x:c>
      <x:c r="Q225" s="5" t="str">
        <x:v>Not started</x:v>
      </x:c>
      <x:c r="R225" s="5" t="str">
        <x:v>Pending</x:v>
      </x:c>
      <x:c r="S225" s="5" t="str"/>
      <x:c r="T225" s="5" t="str"/>
      <x:c r="U225" s="5" t="str"/>
      <x:c r="V225" s="5" t="str"/>
      <x:c r="W225" s="5" t="str">
        <x:v>Not linked</x:v>
      </x:c>
      <x:c r="X225" s="5" t="str">
        <x:v>Pending</x:v>
      </x:c>
      <x:c r="Y225" s="5" t="str">
        <x:f>IF(AND(L225="Pending",R225="Pending"),"Pending screening",IF(H225="Not assigned","Assign reviewer",IF(AND(L225="Exclude",M225=""),"Missing TA exclusion reason",IF(AND(R225="Exclude",S225=""),"Missing FT exclusion reason","Decision recorded"))))</x:f>
        <x:v>Pending screening</x:v>
      </x:c>
    </x:row>
    <x:row r="226" ht="40" customHeight="1">
      <x:c r="A226" s="5" t="str">
        <x:v>C0216</x:v>
      </x:c>
      <x:c r="B226" s="5" t="str">
        <x:v>Grounding Hierarchical Vision-Language-Action Models Through Explicit Language-Action Alignment</x:v>
      </x:c>
      <x:c r="C226" s="5" t="str">
        <x:v>10.1109/cvprf71909.2026.00889</x:v>
      </x:c>
      <x:c r="D226" s="5" t="str"/>
      <x:c r="E226" s="5" t="str">
        <x:v>proceedings-article</x:v>
      </x:c>
      <x:c r="F226" s="5" t="str">
        <x:v>S13</x:v>
      </x:c>
      <x:c r="G226" s="5" t="str">
        <x:v>Lower-priority; inspect scope</x:v>
      </x:c>
      <x:c r="H226" s="5" t="str">
        <x:v>Not assigned</x:v>
      </x:c>
      <x:c r="I226" s="5" t="str">
        <x:v>Not started</x:v>
      </x:c>
      <x:c r="J226" s="5" t="str">
        <x:v>Not assigned</x:v>
      </x:c>
      <x:c r="K226" s="5" t="str">
        <x:v>Not started</x:v>
      </x:c>
      <x:c r="L226" s="5" t="str">
        <x:v>Pending</x:v>
      </x:c>
      <x:c r="M226" s="5" t="str"/>
      <x:c r="N226" s="5" t="str">
        <x:v>Not started</x:v>
      </x:c>
      <x:c r="O226" s="5" t="str">
        <x:v>Not started</x:v>
      </x:c>
      <x:c r="P226" s="5" t="str">
        <x:v>Not started</x:v>
      </x:c>
      <x:c r="Q226" s="5" t="str">
        <x:v>Not started</x:v>
      </x:c>
      <x:c r="R226" s="5" t="str">
        <x:v>Pending</x:v>
      </x:c>
      <x:c r="S226" s="5" t="str"/>
      <x:c r="T226" s="5" t="str"/>
      <x:c r="U226" s="5" t="str"/>
      <x:c r="V226" s="5" t="str"/>
      <x:c r="W226" s="5" t="str">
        <x:v>Not linked</x:v>
      </x:c>
      <x:c r="X226" s="5" t="str">
        <x:v>Pending</x:v>
      </x:c>
      <x:c r="Y226" s="5" t="str">
        <x:f>IF(AND(L226="Pending",R226="Pending"),"Pending screening",IF(H226="Not assigned","Assign reviewer",IF(AND(L226="Exclude",M226=""),"Missing TA exclusion reason",IF(AND(R226="Exclude",S226=""),"Missing FT exclusion reason","Decision recorded"))))</x:f>
        <x:v>Pending screening</x:v>
      </x:c>
    </x:row>
    <x:row r="227" ht="40" customHeight="1">
      <x:c r="A227" s="5" t="str">
        <x:v>C0217</x:v>
      </x:c>
      <x:c r="B227" s="5" t="str">
        <x:v>Grounding Language in Perception</x:v>
      </x:c>
      <x:c r="C227" s="5" t="str">
        <x:v>10.1007/978-94-011-0273-5_12</x:v>
      </x:c>
      <x:c r="D227" s="5" t="str"/>
      <x:c r="E227" s="5" t="str">
        <x:v>book-chapter</x:v>
      </x:c>
      <x:c r="F227" s="5" t="str">
        <x:v>S13</x:v>
      </x:c>
      <x:c r="G227" s="5" t="str">
        <x:v>Lower-priority; inspect scope</x:v>
      </x:c>
      <x:c r="H227" s="5" t="str">
        <x:v>Not assigned</x:v>
      </x:c>
      <x:c r="I227" s="5" t="str">
        <x:v>Not started</x:v>
      </x:c>
      <x:c r="J227" s="5" t="str">
        <x:v>Not assigned</x:v>
      </x:c>
      <x:c r="K227" s="5" t="str">
        <x:v>Not started</x:v>
      </x:c>
      <x:c r="L227" s="5" t="str">
        <x:v>Pending</x:v>
      </x:c>
      <x:c r="M227" s="5" t="str"/>
      <x:c r="N227" s="5" t="str">
        <x:v>Not started</x:v>
      </x:c>
      <x:c r="O227" s="5" t="str">
        <x:v>Not started</x:v>
      </x:c>
      <x:c r="P227" s="5" t="str">
        <x:v>Not started</x:v>
      </x:c>
      <x:c r="Q227" s="5" t="str">
        <x:v>Not started</x:v>
      </x:c>
      <x:c r="R227" s="5" t="str">
        <x:v>Pending</x:v>
      </x:c>
      <x:c r="S227" s="5" t="str"/>
      <x:c r="T227" s="5" t="str"/>
      <x:c r="U227" s="5" t="str"/>
      <x:c r="V227" s="5" t="str"/>
      <x:c r="W227" s="5" t="str">
        <x:v>Not linked</x:v>
      </x:c>
      <x:c r="X227" s="5" t="str">
        <x:v>Pending</x:v>
      </x:c>
      <x:c r="Y227" s="5" t="str">
        <x:f>IF(AND(L227="Pending",R227="Pending"),"Pending screening",IF(H227="Not assigned","Assign reviewer",IF(AND(L227="Exclude",M227=""),"Missing TA exclusion reason",IF(AND(R227="Exclude",S227=""),"Missing FT exclusion reason","Decision recorded"))))</x:f>
        <x:v>Pending screening</x:v>
      </x:c>
    </x:row>
    <x:row r="228" ht="40" customHeight="1">
      <x:c r="A228" s="5" t="str">
        <x:v>C0218</x:v>
      </x:c>
      <x:c r="B228" s="5" t="str">
        <x:v>Vision Based Inspection And Quality Control For Use In Industrial Laundries</x:v>
      </x:c>
      <x:c r="C228" s="5" t="str">
        <x:v>10.1117/12.949229</x:v>
      </x:c>
      <x:c r="D228" s="5" t="str"/>
      <x:c r="E228" s="5" t="str">
        <x:v>proceedings-article</x:v>
      </x:c>
      <x:c r="F228" s="5" t="str">
        <x:v>S13</x:v>
      </x:c>
      <x:c r="G228" s="5" t="str">
        <x:v>Title-scope candidate</x:v>
      </x:c>
      <x:c r="H228" s="5" t="str">
        <x:v>Not assigned</x:v>
      </x:c>
      <x:c r="I228" s="5" t="str">
        <x:v>Not started</x:v>
      </x:c>
      <x:c r="J228" s="5" t="str">
        <x:v>Not assigned</x:v>
      </x:c>
      <x:c r="K228" s="5" t="str">
        <x:v>Not started</x:v>
      </x:c>
      <x:c r="L228" s="5" t="str">
        <x:v>Pending</x:v>
      </x:c>
      <x:c r="M228" s="5" t="str"/>
      <x:c r="N228" s="5" t="str">
        <x:v>Not started</x:v>
      </x:c>
      <x:c r="O228" s="5" t="str">
        <x:v>Not started</x:v>
      </x:c>
      <x:c r="P228" s="5" t="str">
        <x:v>Not started</x:v>
      </x:c>
      <x:c r="Q228" s="5" t="str">
        <x:v>Not started</x:v>
      </x:c>
      <x:c r="R228" s="5" t="str">
        <x:v>Pending</x:v>
      </x:c>
      <x:c r="S228" s="5" t="str"/>
      <x:c r="T228" s="5" t="str"/>
      <x:c r="U228" s="5" t="str"/>
      <x:c r="V228" s="5" t="str"/>
      <x:c r="W228" s="5" t="str">
        <x:v>Not linked</x:v>
      </x:c>
      <x:c r="X228" s="5" t="str">
        <x:v>Pending</x:v>
      </x:c>
      <x:c r="Y228" s="5" t="str">
        <x:f>IF(AND(L228="Pending",R228="Pending"),"Pending screening",IF(H228="Not assigned","Assign reviewer",IF(AND(L228="Exclude",M228=""),"Missing TA exclusion reason",IF(AND(R228="Exclude",S228=""),"Missing FT exclusion reason","Decision recorded"))))</x:f>
        <x:v>Pending screening</x:v>
      </x:c>
    </x:row>
    <x:row r="229" ht="40" customHeight="1">
      <x:c r="A229" s="5" t="str">
        <x:v>C0219</x:v>
      </x:c>
      <x:c r="B229" s="5" t="str">
        <x:v>Learning language to symbol and language to vision mapping for visual grounding</x:v>
      </x:c>
      <x:c r="C229" s="5" t="str">
        <x:v>10.1016/j.imavis.2022.104451</x:v>
      </x:c>
      <x:c r="D229" s="5" t="str"/>
      <x:c r="E229" s="5" t="str">
        <x:v>journal-article</x:v>
      </x:c>
      <x:c r="F229" s="5" t="str">
        <x:v>S13</x:v>
      </x:c>
      <x:c r="G229" s="5" t="str">
        <x:v>Lower-priority; inspect scope</x:v>
      </x:c>
      <x:c r="H229" s="5" t="str">
        <x:v>Not assigned</x:v>
      </x:c>
      <x:c r="I229" s="5" t="str">
        <x:v>Not started</x:v>
      </x:c>
      <x:c r="J229" s="5" t="str">
        <x:v>Not assigned</x:v>
      </x:c>
      <x:c r="K229" s="5" t="str">
        <x:v>Not started</x:v>
      </x:c>
      <x:c r="L229" s="5" t="str">
        <x:v>Pending</x:v>
      </x:c>
      <x:c r="M229" s="5" t="str"/>
      <x:c r="N229" s="5" t="str">
        <x:v>Not started</x:v>
      </x:c>
      <x:c r="O229" s="5" t="str">
        <x:v>Not started</x:v>
      </x:c>
      <x:c r="P229" s="5" t="str">
        <x:v>Not started</x:v>
      </x:c>
      <x:c r="Q229" s="5" t="str">
        <x:v>Not started</x:v>
      </x:c>
      <x:c r="R229" s="5" t="str">
        <x:v>Pending</x:v>
      </x:c>
      <x:c r="S229" s="5" t="str"/>
      <x:c r="T229" s="5" t="str"/>
      <x:c r="U229" s="5" t="str"/>
      <x:c r="V229" s="5" t="str"/>
      <x:c r="W229" s="5" t="str">
        <x:v>Not linked</x:v>
      </x:c>
      <x:c r="X229" s="5" t="str">
        <x:v>Pending</x:v>
      </x:c>
      <x:c r="Y229" s="5" t="str">
        <x:f>IF(AND(L229="Pending",R229="Pending"),"Pending screening",IF(H229="Not assigned","Assign reviewer",IF(AND(L229="Exclude",M229=""),"Missing TA exclusion reason",IF(AND(R229="Exclude",S229=""),"Missing FT exclusion reason","Decision recorded"))))</x:f>
        <x:v>Pending screening</x:v>
      </x:c>
    </x:row>
    <x:row r="230" ht="40" customHeight="1">
      <x:c r="A230" s="5" t="str">
        <x:v>C0220</x:v>
      </x:c>
      <x:c r="B230" s="5" t="str">
        <x:v>Machine vision in the inspection of patterned textile webs</x:v>
      </x:c>
      <x:c r="C230" s="5" t="str">
        <x:v>10.1049/ic:19970266</x:v>
      </x:c>
      <x:c r="D230" s="5" t="str"/>
      <x:c r="E230" s="5" t="str">
        <x:v>proceedings-article</x:v>
      </x:c>
      <x:c r="F230" s="5" t="str">
        <x:v>S13</x:v>
      </x:c>
      <x:c r="G230" s="5" t="str">
        <x:v>Title-scope candidate</x:v>
      </x:c>
      <x:c r="H230" s="5" t="str">
        <x:v>Not assigned</x:v>
      </x:c>
      <x:c r="I230" s="5" t="str">
        <x:v>Not started</x:v>
      </x:c>
      <x:c r="J230" s="5" t="str">
        <x:v>Not assigned</x:v>
      </x:c>
      <x:c r="K230" s="5" t="str">
        <x:v>Not started</x:v>
      </x:c>
      <x:c r="L230" s="5" t="str">
        <x:v>Pending</x:v>
      </x:c>
      <x:c r="M230" s="5" t="str"/>
      <x:c r="N230" s="5" t="str">
        <x:v>Not started</x:v>
      </x:c>
      <x:c r="O230" s="5" t="str">
        <x:v>Not started</x:v>
      </x:c>
      <x:c r="P230" s="5" t="str">
        <x:v>Not started</x:v>
      </x:c>
      <x:c r="Q230" s="5" t="str">
        <x:v>Not started</x:v>
      </x:c>
      <x:c r="R230" s="5" t="str">
        <x:v>Pending</x:v>
      </x:c>
      <x:c r="S230" s="5" t="str"/>
      <x:c r="T230" s="5" t="str"/>
      <x:c r="U230" s="5" t="str"/>
      <x:c r="V230" s="5" t="str"/>
      <x:c r="W230" s="5" t="str">
        <x:v>Not linked</x:v>
      </x:c>
      <x:c r="X230" s="5" t="str">
        <x:v>Pending</x:v>
      </x:c>
      <x:c r="Y230" s="5" t="str">
        <x:f>IF(AND(L230="Pending",R230="Pending"),"Pending screening",IF(H230="Not assigned","Assign reviewer",IF(AND(L230="Exclude",M230=""),"Missing TA exclusion reason",IF(AND(R230="Exclude",S230=""),"Missing FT exclusion reason","Decision recorded"))))</x:f>
        <x:v>Pending screening</x:v>
      </x:c>
    </x:row>
    <x:row r="231" ht="40" customHeight="1">
      <x:c r="A231" s="5" t="str">
        <x:v>C0221</x:v>
      </x:c>
      <x:c r="B231" s="5" t="str">
        <x:v>Machine vision system for surface inspection on brushed industrial parts</x:v>
      </x:c>
      <x:c r="C231" s="5" t="str">
        <x:v>10.1117/12.530683</x:v>
      </x:c>
      <x:c r="D231" s="5" t="str"/>
      <x:c r="E231" s="5" t="str">
        <x:v>proceedings-article</x:v>
      </x:c>
      <x:c r="F231" s="5" t="str">
        <x:v>S13</x:v>
      </x:c>
      <x:c r="G231" s="5" t="str">
        <x:v>Title-scope candidate</x:v>
      </x:c>
      <x:c r="H231" s="5" t="str">
        <x:v>Not assigned</x:v>
      </x:c>
      <x:c r="I231" s="5" t="str">
        <x:v>Not started</x:v>
      </x:c>
      <x:c r="J231" s="5" t="str">
        <x:v>Not assigned</x:v>
      </x:c>
      <x:c r="K231" s="5" t="str">
        <x:v>Not started</x:v>
      </x:c>
      <x:c r="L231" s="5" t="str">
        <x:v>Pending</x:v>
      </x:c>
      <x:c r="M231" s="5" t="str"/>
      <x:c r="N231" s="5" t="str">
        <x:v>Not started</x:v>
      </x:c>
      <x:c r="O231" s="5" t="str">
        <x:v>Not started</x:v>
      </x:c>
      <x:c r="P231" s="5" t="str">
        <x:v>Not started</x:v>
      </x:c>
      <x:c r="Q231" s="5" t="str">
        <x:v>Not started</x:v>
      </x:c>
      <x:c r="R231" s="5" t="str">
        <x:v>Pending</x:v>
      </x:c>
      <x:c r="S231" s="5" t="str"/>
      <x:c r="T231" s="5" t="str"/>
      <x:c r="U231" s="5" t="str"/>
      <x:c r="V231" s="5" t="str"/>
      <x:c r="W231" s="5" t="str">
        <x:v>Not linked</x:v>
      </x:c>
      <x:c r="X231" s="5" t="str">
        <x:v>Pending</x:v>
      </x:c>
      <x:c r="Y231" s="5" t="str">
        <x:f>IF(AND(L231="Pending",R231="Pending"),"Pending screening",IF(H231="Not assigned","Assign reviewer",IF(AND(L231="Exclude",M231=""),"Missing TA exclusion reason",IF(AND(R231="Exclude",S231=""),"Missing FT exclusion reason","Decision recorded"))))</x:f>
        <x:v>Pending screening</x:v>
      </x:c>
    </x:row>
    <x:row r="232" ht="53" customHeight="1">
      <x:c r="A232" s="5" t="str">
        <x:v>C0222</x:v>
      </x:c>
      <x:c r="B232" s="5" t="str">
        <x:v>Smart Check 3D: An Industrial Inspection System Combining 3D Vision with Automatic Planning of Inspection Viewpoints</x:v>
      </x:c>
      <x:c r="C232" s="5" t="str">
        <x:v>10.1007/978-1-4471-6741-9_12</x:v>
      </x:c>
      <x:c r="D232" s="5" t="str"/>
      <x:c r="E232" s="5" t="str">
        <x:v>book-chapter</x:v>
      </x:c>
      <x:c r="F232" s="5" t="str">
        <x:v>S13</x:v>
      </x:c>
      <x:c r="G232" s="5" t="str">
        <x:v>Title-scope candidate</x:v>
      </x:c>
      <x:c r="H232" s="5" t="str">
        <x:v>Not assigned</x:v>
      </x:c>
      <x:c r="I232" s="5" t="str">
        <x:v>Not started</x:v>
      </x:c>
      <x:c r="J232" s="5" t="str">
        <x:v>Not assigned</x:v>
      </x:c>
      <x:c r="K232" s="5" t="str">
        <x:v>Not started</x:v>
      </x:c>
      <x:c r="L232" s="5" t="str">
        <x:v>Pending</x:v>
      </x:c>
      <x:c r="M232" s="5" t="str"/>
      <x:c r="N232" s="5" t="str">
        <x:v>Not started</x:v>
      </x:c>
      <x:c r="O232" s="5" t="str">
        <x:v>Not started</x:v>
      </x:c>
      <x:c r="P232" s="5" t="str">
        <x:v>Not started</x:v>
      </x:c>
      <x:c r="Q232" s="5" t="str">
        <x:v>Not started</x:v>
      </x:c>
      <x:c r="R232" s="5" t="str">
        <x:v>Pending</x:v>
      </x:c>
      <x:c r="S232" s="5" t="str"/>
      <x:c r="T232" s="5" t="str"/>
      <x:c r="U232" s="5" t="str"/>
      <x:c r="V232" s="5" t="str"/>
      <x:c r="W232" s="5" t="str">
        <x:v>Not linked</x:v>
      </x:c>
      <x:c r="X232" s="5" t="str">
        <x:v>Pending</x:v>
      </x:c>
      <x:c r="Y232" s="5" t="str">
        <x:f>IF(AND(L232="Pending",R232="Pending"),"Pending screening",IF(H232="Not assigned","Assign reviewer",IF(AND(L232="Exclude",M232=""),"Missing TA exclusion reason",IF(AND(R232="Exclude",S232=""),"Missing FT exclusion reason","Decision recorded"))))</x:f>
        <x:v>Pending screening</x:v>
      </x:c>
    </x:row>
    <x:row r="233" ht="53" customHeight="1">
      <x:c r="A233" s="5" t="str">
        <x:v>C0223</x:v>
      </x:c>
      <x:c r="B233" s="5" t="str">
        <x:v>Adaptive multimodal large language model with hierarchical cross modal grounding for real time industrial visual anomaly detection on edge devices</x:v>
      </x:c>
      <x:c r="C233" s="5" t="str">
        <x:v>10.1007/s44163-026-02008-2</x:v>
      </x:c>
      <x:c r="D233" s="5" t="str"/>
      <x:c r="E233" s="5" t="str">
        <x:v>journal-article</x:v>
      </x:c>
      <x:c r="F233" s="5" t="str">
        <x:v>S13</x:v>
      </x:c>
      <x:c r="G233" s="5" t="str">
        <x:v>Title-scope candidate</x:v>
      </x:c>
      <x:c r="H233" s="5" t="str">
        <x:v>Not assigned</x:v>
      </x:c>
      <x:c r="I233" s="5" t="str">
        <x:v>Not started</x:v>
      </x:c>
      <x:c r="J233" s="5" t="str">
        <x:v>Not assigned</x:v>
      </x:c>
      <x:c r="K233" s="5" t="str">
        <x:v>Not started</x:v>
      </x:c>
      <x:c r="L233" s="5" t="str">
        <x:v>Pending</x:v>
      </x:c>
      <x:c r="M233" s="5" t="str"/>
      <x:c r="N233" s="5" t="str">
        <x:v>Not started</x:v>
      </x:c>
      <x:c r="O233" s="5" t="str">
        <x:v>Not started</x:v>
      </x:c>
      <x:c r="P233" s="5" t="str">
        <x:v>Not started</x:v>
      </x:c>
      <x:c r="Q233" s="5" t="str">
        <x:v>Not started</x:v>
      </x:c>
      <x:c r="R233" s="5" t="str">
        <x:v>Pending</x:v>
      </x:c>
      <x:c r="S233" s="5" t="str"/>
      <x:c r="T233" s="5" t="str"/>
      <x:c r="U233" s="5" t="str"/>
      <x:c r="V233" s="5" t="str"/>
      <x:c r="W233" s="5" t="str">
        <x:v>Not linked</x:v>
      </x:c>
      <x:c r="X233" s="5" t="str">
        <x:v>Pending</x:v>
      </x:c>
      <x:c r="Y233" s="5" t="str">
        <x:f>IF(AND(L233="Pending",R233="Pending"),"Pending screening",IF(H233="Not assigned","Assign reviewer",IF(AND(L233="Exclude",M233=""),"Missing TA exclusion reason",IF(AND(R233="Exclude",S233=""),"Missing FT exclusion reason","Decision recorded"))))</x:f>
        <x:v>Pending screening</x:v>
      </x:c>
    </x:row>
    <x:row r="234" ht="40" customHeight="1">
      <x:c r="A234" s="5" t="str">
        <x:v>C0224</x:v>
      </x:c>
      <x:c r="B234" s="5" t="str">
        <x:v>Reliability-Aware Compact AI Framework for Industrial Predictive Maintenance Under Deployment Constraints</x:v>
      </x:c>
      <x:c r="C234" s="5" t="str">
        <x:v>10.21203/rs.3.rs-9827907/v1</x:v>
      </x:c>
      <x:c r="D234" s="5" t="str"/>
      <x:c r="E234" s="5" t="str">
        <x:v>posted-content</x:v>
      </x:c>
      <x:c r="F234" s="5" t="str">
        <x:v>S14</x:v>
      </x:c>
      <x:c r="G234" s="5" t="str">
        <x:v>Lower-priority; inspect scope</x:v>
      </x:c>
      <x:c r="H234" s="5" t="str">
        <x:v>Not assigned</x:v>
      </x:c>
      <x:c r="I234" s="5" t="str">
        <x:v>Not started</x:v>
      </x:c>
      <x:c r="J234" s="5" t="str">
        <x:v>Not assigned</x:v>
      </x:c>
      <x:c r="K234" s="5" t="str">
        <x:v>Not started</x:v>
      </x:c>
      <x:c r="L234" s="5" t="str">
        <x:v>Pending</x:v>
      </x:c>
      <x:c r="M234" s="5" t="str"/>
      <x:c r="N234" s="5" t="str">
        <x:v>Not started</x:v>
      </x:c>
      <x:c r="O234" s="5" t="str">
        <x:v>Not started</x:v>
      </x:c>
      <x:c r="P234" s="5" t="str">
        <x:v>Not started</x:v>
      </x:c>
      <x:c r="Q234" s="5" t="str">
        <x:v>Not started</x:v>
      </x:c>
      <x:c r="R234" s="5" t="str">
        <x:v>Pending</x:v>
      </x:c>
      <x:c r="S234" s="5" t="str"/>
      <x:c r="T234" s="5" t="str"/>
      <x:c r="U234" s="5" t="str"/>
      <x:c r="V234" s="5" t="str"/>
      <x:c r="W234" s="5" t="str">
        <x:v>Not linked</x:v>
      </x:c>
      <x:c r="X234" s="5" t="str">
        <x:v>Pending</x:v>
      </x:c>
      <x:c r="Y234" s="5" t="str">
        <x:f>IF(AND(L234="Pending",R234="Pending"),"Pending screening",IF(H234="Not assigned","Assign reviewer",IF(AND(L234="Exclude",M234=""),"Missing TA exclusion reason",IF(AND(R234="Exclude",S234=""),"Missing FT exclusion reason","Decision recorded"))))</x:f>
        <x:v>Pending screening</x:v>
      </x:c>
    </x:row>
    <x:row r="235" ht="40" customHeight="1">
      <x:c r="A235" s="5" t="str">
        <x:v>C0225</x:v>
      </x:c>
      <x:c r="B235" s="5" t="str">
        <x:v>High performance computing for industrial visual inspection</x:v>
      </x:c>
      <x:c r="C235" s="5" t="str">
        <x:v>10.1007/s001380050134</x:v>
      </x:c>
      <x:c r="D235" s="5" t="str"/>
      <x:c r="E235" s="5" t="str">
        <x:v>journal-article</x:v>
      </x:c>
      <x:c r="F235" s="5" t="str">
        <x:v>S14</x:v>
      </x:c>
      <x:c r="G235" s="5" t="str">
        <x:v>Title-scope candidate</x:v>
      </x:c>
      <x:c r="H235" s="5" t="str">
        <x:v>Not assigned</x:v>
      </x:c>
      <x:c r="I235" s="5" t="str">
        <x:v>Not started</x:v>
      </x:c>
      <x:c r="J235" s="5" t="str">
        <x:v>Not assigned</x:v>
      </x:c>
      <x:c r="K235" s="5" t="str">
        <x:v>Not started</x:v>
      </x:c>
      <x:c r="L235" s="5" t="str">
        <x:v>Pending</x:v>
      </x:c>
      <x:c r="M235" s="5" t="str"/>
      <x:c r="N235" s="5" t="str">
        <x:v>Not started</x:v>
      </x:c>
      <x:c r="O235" s="5" t="str">
        <x:v>Not started</x:v>
      </x:c>
      <x:c r="P235" s="5" t="str">
        <x:v>Not started</x:v>
      </x:c>
      <x:c r="Q235" s="5" t="str">
        <x:v>Not started</x:v>
      </x:c>
      <x:c r="R235" s="5" t="str">
        <x:v>Pending</x:v>
      </x:c>
      <x:c r="S235" s="5" t="str"/>
      <x:c r="T235" s="5" t="str"/>
      <x:c r="U235" s="5" t="str"/>
      <x:c r="V235" s="5" t="str"/>
      <x:c r="W235" s="5" t="str">
        <x:v>Not linked</x:v>
      </x:c>
      <x:c r="X235" s="5" t="str">
        <x:v>Pending</x:v>
      </x:c>
      <x:c r="Y235" s="5" t="str">
        <x:f>IF(AND(L235="Pending",R235="Pending"),"Pending screening",IF(H235="Not assigned","Assign reviewer",IF(AND(L235="Exclude",M235=""),"Missing TA exclusion reason",IF(AND(R235="Exclude",S235=""),"Missing FT exclusion reason","Decision recorded"))))</x:f>
        <x:v>Pending screening</x:v>
      </x:c>
    </x:row>
    <x:row r="236" ht="40" customHeight="1">
      <x:c r="A236" s="5" t="str">
        <x:v>C0226</x:v>
      </x:c>
      <x:c r="B236" s="5" t="str">
        <x:v>Illumination for visual photomask inspection</x:v>
      </x:c>
      <x:c r="C236" s="5" t="str">
        <x:v>10.1016/0026-2714(88)90203-x</x:v>
      </x:c>
      <x:c r="D236" s="5" t="str"/>
      <x:c r="E236" s="5" t="str">
        <x:v>journal-article</x:v>
      </x:c>
      <x:c r="F236" s="5" t="str">
        <x:v>S14</x:v>
      </x:c>
      <x:c r="G236" s="5" t="str">
        <x:v>Title-scope candidate</x:v>
      </x:c>
      <x:c r="H236" s="5" t="str">
        <x:v>Not assigned</x:v>
      </x:c>
      <x:c r="I236" s="5" t="str">
        <x:v>Not started</x:v>
      </x:c>
      <x:c r="J236" s="5" t="str">
        <x:v>Not assigned</x:v>
      </x:c>
      <x:c r="K236" s="5" t="str">
        <x:v>Not started</x:v>
      </x:c>
      <x:c r="L236" s="5" t="str">
        <x:v>Pending</x:v>
      </x:c>
      <x:c r="M236" s="5" t="str"/>
      <x:c r="N236" s="5" t="str">
        <x:v>Not started</x:v>
      </x:c>
      <x:c r="O236" s="5" t="str">
        <x:v>Not started</x:v>
      </x:c>
      <x:c r="P236" s="5" t="str">
        <x:v>Not started</x:v>
      </x:c>
      <x:c r="Q236" s="5" t="str">
        <x:v>Not started</x:v>
      </x:c>
      <x:c r="R236" s="5" t="str">
        <x:v>Pending</x:v>
      </x:c>
      <x:c r="S236" s="5" t="str"/>
      <x:c r="T236" s="5" t="str"/>
      <x:c r="U236" s="5" t="str"/>
      <x:c r="V236" s="5" t="str"/>
      <x:c r="W236" s="5" t="str">
        <x:v>Not linked</x:v>
      </x:c>
      <x:c r="X236" s="5" t="str">
        <x:v>Pending</x:v>
      </x:c>
      <x:c r="Y236" s="5" t="str">
        <x:f>IF(AND(L236="Pending",R236="Pending"),"Pending screening",IF(H236="Not assigned","Assign reviewer",IF(AND(L236="Exclude",M236=""),"Missing TA exclusion reason",IF(AND(R236="Exclude",S236=""),"Missing FT exclusion reason","Decision recorded"))))</x:f>
        <x:v>Pending screening</x:v>
      </x:c>
    </x:row>
    <x:row r="237" ht="40" customHeight="1">
      <x:c r="A237" s="5" t="str">
        <x:v>C0227</x:v>
      </x:c>
      <x:c r="B237" s="5" t="str">
        <x:v>Automated visual inspection for polished stone manufacture</x:v>
      </x:c>
      <x:c r="C237" s="5" t="str">
        <x:v>10.1117/12.477511</x:v>
      </x:c>
      <x:c r="D237" s="5" t="str"/>
      <x:c r="E237" s="5" t="str">
        <x:v>proceedings-article</x:v>
      </x:c>
      <x:c r="F237" s="5" t="str">
        <x:v>S14</x:v>
      </x:c>
      <x:c r="G237" s="5" t="str">
        <x:v>Title-scope candidate</x:v>
      </x:c>
      <x:c r="H237" s="5" t="str">
        <x:v>Not assigned</x:v>
      </x:c>
      <x:c r="I237" s="5" t="str">
        <x:v>Not started</x:v>
      </x:c>
      <x:c r="J237" s="5" t="str">
        <x:v>Not assigned</x:v>
      </x:c>
      <x:c r="K237" s="5" t="str">
        <x:v>Not started</x:v>
      </x:c>
      <x:c r="L237" s="5" t="str">
        <x:v>Pending</x:v>
      </x:c>
      <x:c r="M237" s="5" t="str"/>
      <x:c r="N237" s="5" t="str">
        <x:v>Not started</x:v>
      </x:c>
      <x:c r="O237" s="5" t="str">
        <x:v>Not started</x:v>
      </x:c>
      <x:c r="P237" s="5" t="str">
        <x:v>Not started</x:v>
      </x:c>
      <x:c r="Q237" s="5" t="str">
        <x:v>Not started</x:v>
      </x:c>
      <x:c r="R237" s="5" t="str">
        <x:v>Pending</x:v>
      </x:c>
      <x:c r="S237" s="5" t="str"/>
      <x:c r="T237" s="5" t="str"/>
      <x:c r="U237" s="5" t="str"/>
      <x:c r="V237" s="5" t="str"/>
      <x:c r="W237" s="5" t="str">
        <x:v>Not linked</x:v>
      </x:c>
      <x:c r="X237" s="5" t="str">
        <x:v>Pending</x:v>
      </x:c>
      <x:c r="Y237" s="5" t="str">
        <x:f>IF(AND(L237="Pending",R237="Pending"),"Pending screening",IF(H237="Not assigned","Assign reviewer",IF(AND(L237="Exclude",M237=""),"Missing TA exclusion reason",IF(AND(R237="Exclude",S237=""),"Missing FT exclusion reason","Decision recorded"))))</x:f>
        <x:v>Pending screening</x:v>
      </x:c>
    </x:row>
    <x:row r="238" ht="40" customHeight="1">
      <x:c r="A238" s="5" t="str">
        <x:v>C0228</x:v>
      </x:c>
      <x:c r="B238" s="5" t="str">
        <x:v>Deformation visual inspection of industrial parts with image sequence</x:v>
      </x:c>
      <x:c r="C238" s="5" t="str">
        <x:v>10.1007/s00138-004-0136-7</x:v>
      </x:c>
      <x:c r="D238" s="5" t="str"/>
      <x:c r="E238" s="5" t="str">
        <x:v>journal-article</x:v>
      </x:c>
      <x:c r="F238" s="5" t="str">
        <x:v>S14</x:v>
      </x:c>
      <x:c r="G238" s="5" t="str">
        <x:v>Title-scope candidate</x:v>
      </x:c>
      <x:c r="H238" s="5" t="str">
        <x:v>Not assigned</x:v>
      </x:c>
      <x:c r="I238" s="5" t="str">
        <x:v>Not started</x:v>
      </x:c>
      <x:c r="J238" s="5" t="str">
        <x:v>Not assigned</x:v>
      </x:c>
      <x:c r="K238" s="5" t="str">
        <x:v>Not started</x:v>
      </x:c>
      <x:c r="L238" s="5" t="str">
        <x:v>Pending</x:v>
      </x:c>
      <x:c r="M238" s="5" t="str"/>
      <x:c r="N238" s="5" t="str">
        <x:v>Not started</x:v>
      </x:c>
      <x:c r="O238" s="5" t="str">
        <x:v>Not started</x:v>
      </x:c>
      <x:c r="P238" s="5" t="str">
        <x:v>Not started</x:v>
      </x:c>
      <x:c r="Q238" s="5" t="str">
        <x:v>Not started</x:v>
      </x:c>
      <x:c r="R238" s="5" t="str">
        <x:v>Pending</x:v>
      </x:c>
      <x:c r="S238" s="5" t="str"/>
      <x:c r="T238" s="5" t="str"/>
      <x:c r="U238" s="5" t="str"/>
      <x:c r="V238" s="5" t="str"/>
      <x:c r="W238" s="5" t="str">
        <x:v>Not linked</x:v>
      </x:c>
      <x:c r="X238" s="5" t="str">
        <x:v>Pending</x:v>
      </x:c>
      <x:c r="Y238" s="5" t="str">
        <x:f>IF(AND(L238="Pending",R238="Pending"),"Pending screening",IF(H238="Not assigned","Assign reviewer",IF(AND(L238="Exclude",M238=""),"Missing TA exclusion reason",IF(AND(R238="Exclude",S238=""),"Missing FT exclusion reason","Decision recorded"))))</x:f>
        <x:v>Pending screening</x:v>
      </x:c>
    </x:row>
    <x:row r="239" ht="40" customHeight="1">
      <x:c r="A239" s="5" t="str">
        <x:v>C0229</x:v>
      </x:c>
      <x:c r="B239" s="5" t="str">
        <x:v>Visual inspection of ICs boosts reliability at little cost</x:v>
      </x:c>
      <x:c r="C239" s="5" t="str">
        <x:v>10.1016/0026-2714(69)90121-8</x:v>
      </x:c>
      <x:c r="D239" s="5" t="str"/>
      <x:c r="E239" s="5" t="str">
        <x:v>journal-article</x:v>
      </x:c>
      <x:c r="F239" s="5" t="str">
        <x:v>S14</x:v>
      </x:c>
      <x:c r="G239" s="5" t="str">
        <x:v>Title-scope candidate</x:v>
      </x:c>
      <x:c r="H239" s="5" t="str">
        <x:v>Not assigned</x:v>
      </x:c>
      <x:c r="I239" s="5" t="str">
        <x:v>Not started</x:v>
      </x:c>
      <x:c r="J239" s="5" t="str">
        <x:v>Not assigned</x:v>
      </x:c>
      <x:c r="K239" s="5" t="str">
        <x:v>Not started</x:v>
      </x:c>
      <x:c r="L239" s="5" t="str">
        <x:v>Pending</x:v>
      </x:c>
      <x:c r="M239" s="5" t="str"/>
      <x:c r="N239" s="5" t="str">
        <x:v>Not started</x:v>
      </x:c>
      <x:c r="O239" s="5" t="str">
        <x:v>Not started</x:v>
      </x:c>
      <x:c r="P239" s="5" t="str">
        <x:v>Not started</x:v>
      </x:c>
      <x:c r="Q239" s="5" t="str">
        <x:v>Not started</x:v>
      </x:c>
      <x:c r="R239" s="5" t="str">
        <x:v>Pending</x:v>
      </x:c>
      <x:c r="S239" s="5" t="str"/>
      <x:c r="T239" s="5" t="str"/>
      <x:c r="U239" s="5" t="str"/>
      <x:c r="V239" s="5" t="str"/>
      <x:c r="W239" s="5" t="str">
        <x:v>Not linked</x:v>
      </x:c>
      <x:c r="X239" s="5" t="str">
        <x:v>Pending</x:v>
      </x:c>
      <x:c r="Y239" s="5" t="str">
        <x:f>IF(AND(L239="Pending",R239="Pending"),"Pending screening",IF(H239="Not assigned","Assign reviewer",IF(AND(L239="Exclude",M239=""),"Missing TA exclusion reason",IF(AND(R239="Exclude",S239=""),"Missing FT exclusion reason","Decision recorded"))))</x:f>
        <x:v>Pending screening</x:v>
      </x:c>
    </x:row>
    <x:row r="240" ht="40" customHeight="1">
      <x:c r="A240" s="5" t="str">
        <x:v>C0230</x:v>
      </x:c>
      <x:c r="B240" s="5" t="str">
        <x:v>Reliability of multistage production systems controlled by automated visual inspection</x:v>
      </x:c>
      <x:c r="C240" s="5" t="str">
        <x:v>10.1016/0026-2714(94)90363-8</x:v>
      </x:c>
      <x:c r="D240" s="5" t="str"/>
      <x:c r="E240" s="5" t="str">
        <x:v>journal-article</x:v>
      </x:c>
      <x:c r="F240" s="5" t="str">
        <x:v>S14</x:v>
      </x:c>
      <x:c r="G240" s="5" t="str">
        <x:v>Title-scope candidate</x:v>
      </x:c>
      <x:c r="H240" s="5" t="str">
        <x:v>Not assigned</x:v>
      </x:c>
      <x:c r="I240" s="5" t="str">
        <x:v>Not started</x:v>
      </x:c>
      <x:c r="J240" s="5" t="str">
        <x:v>Not assigned</x:v>
      </x:c>
      <x:c r="K240" s="5" t="str">
        <x:v>Not started</x:v>
      </x:c>
      <x:c r="L240" s="5" t="str">
        <x:v>Pending</x:v>
      </x:c>
      <x:c r="M240" s="5" t="str"/>
      <x:c r="N240" s="5" t="str">
        <x:v>Not started</x:v>
      </x:c>
      <x:c r="O240" s="5" t="str">
        <x:v>Not started</x:v>
      </x:c>
      <x:c r="P240" s="5" t="str">
        <x:v>Not started</x:v>
      </x:c>
      <x:c r="Q240" s="5" t="str">
        <x:v>Not started</x:v>
      </x:c>
      <x:c r="R240" s="5" t="str">
        <x:v>Pending</x:v>
      </x:c>
      <x:c r="S240" s="5" t="str"/>
      <x:c r="T240" s="5" t="str"/>
      <x:c r="U240" s="5" t="str"/>
      <x:c r="V240" s="5" t="str"/>
      <x:c r="W240" s="5" t="str">
        <x:v>Not linked</x:v>
      </x:c>
      <x:c r="X240" s="5" t="str">
        <x:v>Pending</x:v>
      </x:c>
      <x:c r="Y240" s="5" t="str">
        <x:f>IF(AND(L240="Pending",R240="Pending"),"Pending screening",IF(H240="Not assigned","Assign reviewer",IF(AND(L240="Exclude",M240=""),"Missing TA exclusion reason",IF(AND(R240="Exclude",S240=""),"Missing FT exclusion reason","Decision recorded"))))</x:f>
        <x:v>Pending screening</x:v>
      </x:c>
    </x:row>
    <x:row r="241" ht="40" customHeight="1">
      <x:c r="A241" s="5" t="str">
        <x:v>C0231</x:v>
      </x:c>
      <x:c r="B241" s="5" t="str">
        <x:v>Visual inspection standards for parallel-gap soldered joints</x:v>
      </x:c>
      <x:c r="C241" s="5" t="str">
        <x:v>10.1016/0026-2714(67)90102-3</x:v>
      </x:c>
      <x:c r="D241" s="5" t="str"/>
      <x:c r="E241" s="5" t="str">
        <x:v>journal-article</x:v>
      </x:c>
      <x:c r="F241" s="5" t="str">
        <x:v>S14</x:v>
      </x:c>
      <x:c r="G241" s="5" t="str">
        <x:v>Title-scope candidate</x:v>
      </x:c>
      <x:c r="H241" s="5" t="str">
        <x:v>Not assigned</x:v>
      </x:c>
      <x:c r="I241" s="5" t="str">
        <x:v>Not started</x:v>
      </x:c>
      <x:c r="J241" s="5" t="str">
        <x:v>Not assigned</x:v>
      </x:c>
      <x:c r="K241" s="5" t="str">
        <x:v>Not started</x:v>
      </x:c>
      <x:c r="L241" s="5" t="str">
        <x:v>Pending</x:v>
      </x:c>
      <x:c r="M241" s="5" t="str"/>
      <x:c r="N241" s="5" t="str">
        <x:v>Not started</x:v>
      </x:c>
      <x:c r="O241" s="5" t="str">
        <x:v>Not started</x:v>
      </x:c>
      <x:c r="P241" s="5" t="str">
        <x:v>Not started</x:v>
      </x:c>
      <x:c r="Q241" s="5" t="str">
        <x:v>Not started</x:v>
      </x:c>
      <x:c r="R241" s="5" t="str">
        <x:v>Pending</x:v>
      </x:c>
      <x:c r="S241" s="5" t="str"/>
      <x:c r="T241" s="5" t="str"/>
      <x:c r="U241" s="5" t="str"/>
      <x:c r="V241" s="5" t="str"/>
      <x:c r="W241" s="5" t="str">
        <x:v>Not linked</x:v>
      </x:c>
      <x:c r="X241" s="5" t="str">
        <x:v>Pending</x:v>
      </x:c>
      <x:c r="Y241" s="5" t="str">
        <x:f>IF(AND(L241="Pending",R241="Pending"),"Pending screening",IF(H241="Not assigned","Assign reviewer",IF(AND(L241="Exclude",M241=""),"Missing TA exclusion reason",IF(AND(R241="Exclude",S241=""),"Missing FT exclusion reason","Decision recorded"))))</x:f>
        <x:v>Pending screening</x:v>
      </x:c>
    </x:row>
    <x:row r="242" ht="40" customHeight="1">
      <x:c r="A242" s="5" t="str">
        <x:v>C0232</x:v>
      </x:c>
      <x:c r="B242" s="5" t="str">
        <x:v>Automated visual inspection system for bonded IC wires</x:v>
      </x:c>
      <x:c r="C242" s="5" t="str">
        <x:v>10.1016/0026-2714(94)90325-5</x:v>
      </x:c>
      <x:c r="D242" s="5" t="str"/>
      <x:c r="E242" s="5" t="str">
        <x:v>journal-article</x:v>
      </x:c>
      <x:c r="F242" s="5" t="str">
        <x:v>S14</x:v>
      </x:c>
      <x:c r="G242" s="5" t="str">
        <x:v>Title-scope candidate</x:v>
      </x:c>
      <x:c r="H242" s="5" t="str">
        <x:v>Not assigned</x:v>
      </x:c>
      <x:c r="I242" s="5" t="str">
        <x:v>Not started</x:v>
      </x:c>
      <x:c r="J242" s="5" t="str">
        <x:v>Not assigned</x:v>
      </x:c>
      <x:c r="K242" s="5" t="str">
        <x:v>Not started</x:v>
      </x:c>
      <x:c r="L242" s="5" t="str">
        <x:v>Pending</x:v>
      </x:c>
      <x:c r="M242" s="5" t="str"/>
      <x:c r="N242" s="5" t="str">
        <x:v>Not started</x:v>
      </x:c>
      <x:c r="O242" s="5" t="str">
        <x:v>Not started</x:v>
      </x:c>
      <x:c r="P242" s="5" t="str">
        <x:v>Not started</x:v>
      </x:c>
      <x:c r="Q242" s="5" t="str">
        <x:v>Not started</x:v>
      </x:c>
      <x:c r="R242" s="5" t="str">
        <x:v>Pending</x:v>
      </x:c>
      <x:c r="S242" s="5" t="str"/>
      <x:c r="T242" s="5" t="str"/>
      <x:c r="U242" s="5" t="str"/>
      <x:c r="V242" s="5" t="str"/>
      <x:c r="W242" s="5" t="str">
        <x:v>Not linked</x:v>
      </x:c>
      <x:c r="X242" s="5" t="str">
        <x:v>Pending</x:v>
      </x:c>
      <x:c r="Y242" s="5" t="str">
        <x:f>IF(AND(L242="Pending",R242="Pending"),"Pending screening",IF(H242="Not assigned","Assign reviewer",IF(AND(L242="Exclude",M242=""),"Missing TA exclusion reason",IF(AND(R242="Exclude",S242=""),"Missing FT exclusion reason","Decision recorded"))))</x:f>
        <x:v>Pending screening</x:v>
      </x:c>
    </x:row>
    <x:row r="243" ht="40" customHeight="1">
      <x:c r="A243" s="5" t="str">
        <x:v>C0233</x:v>
      </x:c>
      <x:c r="B243" s="5" t="str">
        <x:v>&lt;title&gt;Image quality in automated visual web inspection&lt;/title&gt;</x:v>
      </x:c>
      <x:c r="C243" s="5" t="str">
        <x:v>10.1117/12.271250</x:v>
      </x:c>
      <x:c r="D243" s="5" t="str"/>
      <x:c r="E243" s="5" t="str">
        <x:v>proceedings-article</x:v>
      </x:c>
      <x:c r="F243" s="5" t="str">
        <x:v>S14</x:v>
      </x:c>
      <x:c r="G243" s="5" t="str">
        <x:v>Title-scope candidate</x:v>
      </x:c>
      <x:c r="H243" s="5" t="str">
        <x:v>Not assigned</x:v>
      </x:c>
      <x:c r="I243" s="5" t="str">
        <x:v>Not started</x:v>
      </x:c>
      <x:c r="J243" s="5" t="str">
        <x:v>Not assigned</x:v>
      </x:c>
      <x:c r="K243" s="5" t="str">
        <x:v>Not started</x:v>
      </x:c>
      <x:c r="L243" s="5" t="str">
        <x:v>Pending</x:v>
      </x:c>
      <x:c r="M243" s="5" t="str"/>
      <x:c r="N243" s="5" t="str">
        <x:v>Not started</x:v>
      </x:c>
      <x:c r="O243" s="5" t="str">
        <x:v>Not started</x:v>
      </x:c>
      <x:c r="P243" s="5" t="str">
        <x:v>Not started</x:v>
      </x:c>
      <x:c r="Q243" s="5" t="str">
        <x:v>Not started</x:v>
      </x:c>
      <x:c r="R243" s="5" t="str">
        <x:v>Pending</x:v>
      </x:c>
      <x:c r="S243" s="5" t="str"/>
      <x:c r="T243" s="5" t="str"/>
      <x:c r="U243" s="5" t="str"/>
      <x:c r="V243" s="5" t="str"/>
      <x:c r="W243" s="5" t="str">
        <x:v>Not linked</x:v>
      </x:c>
      <x:c r="X243" s="5" t="str">
        <x:v>Pending</x:v>
      </x:c>
      <x:c r="Y243" s="5" t="str">
        <x:f>IF(AND(L243="Pending",R243="Pending"),"Pending screening",IF(H243="Not assigned","Assign reviewer",IF(AND(L243="Exclude",M243=""),"Missing TA exclusion reason",IF(AND(R243="Exclude",S243=""),"Missing FT exclusion reason","Decision recorded"))))</x:f>
        <x:v>Pending screening</x:v>
      </x:c>
    </x:row>
    <x:row r="244" ht="40" customHeight="1">
      <x:c r="A244" s="5" t="str">
        <x:v>C0234</x:v>
      </x:c>
      <x:c r="B244" s="5" t="str">
        <x:v>Human Reliability Analysis and Prediction for Visual Inspection in Bridge Maintenance</x:v>
      </x:c>
      <x:c r="C244" s="5" t="str">
        <x:v>10.1061/9780784483893.032</x:v>
      </x:c>
      <x:c r="D244" s="5" t="str"/>
      <x:c r="E244" s="5" t="str">
        <x:v>proceedings-article</x:v>
      </x:c>
      <x:c r="F244" s="5" t="str">
        <x:v>S14</x:v>
      </x:c>
      <x:c r="G244" s="5" t="str">
        <x:v>Title-scope candidate</x:v>
      </x:c>
      <x:c r="H244" s="5" t="str">
        <x:v>Not assigned</x:v>
      </x:c>
      <x:c r="I244" s="5" t="str">
        <x:v>Not started</x:v>
      </x:c>
      <x:c r="J244" s="5" t="str">
        <x:v>Not assigned</x:v>
      </x:c>
      <x:c r="K244" s="5" t="str">
        <x:v>Not started</x:v>
      </x:c>
      <x:c r="L244" s="5" t="str">
        <x:v>Pending</x:v>
      </x:c>
      <x:c r="M244" s="5" t="str"/>
      <x:c r="N244" s="5" t="str">
        <x:v>Not started</x:v>
      </x:c>
      <x:c r="O244" s="5" t="str">
        <x:v>Not started</x:v>
      </x:c>
      <x:c r="P244" s="5" t="str">
        <x:v>Not started</x:v>
      </x:c>
      <x:c r="Q244" s="5" t="str">
        <x:v>Not started</x:v>
      </x:c>
      <x:c r="R244" s="5" t="str">
        <x:v>Pending</x:v>
      </x:c>
      <x:c r="S244" s="5" t="str"/>
      <x:c r="T244" s="5" t="str"/>
      <x:c r="U244" s="5" t="str"/>
      <x:c r="V244" s="5" t="str"/>
      <x:c r="W244" s="5" t="str">
        <x:v>Not linked</x:v>
      </x:c>
      <x:c r="X244" s="5" t="str">
        <x:v>Pending</x:v>
      </x:c>
      <x:c r="Y244" s="5" t="str">
        <x:f>IF(AND(L244="Pending",R244="Pending"),"Pending screening",IF(H244="Not assigned","Assign reviewer",IF(AND(L244="Exclude",M244=""),"Missing TA exclusion reason",IF(AND(R244="Exclude",S244=""),"Missing FT exclusion reason","Decision recorded"))))</x:f>
        <x:v>Pending screening</x:v>
      </x:c>
    </x:row>
    <x:row r="245" ht="40" customHeight="1">
      <x:c r="A245" s="5" t="str">
        <x:v>C0235</x:v>
      </x:c>
      <x:c r="B245" s="5" t="str">
        <x:v>Visual inspection of surface-mounted solder joints</x:v>
      </x:c>
      <x:c r="C245" s="5" t="str">
        <x:v>10.1016/0026-2714(91)90379-l</x:v>
      </x:c>
      <x:c r="D245" s="5" t="str"/>
      <x:c r="E245" s="5" t="str">
        <x:v>journal-article</x:v>
      </x:c>
      <x:c r="F245" s="5" t="str">
        <x:v>S14</x:v>
      </x:c>
      <x:c r="G245" s="5" t="str">
        <x:v>Title-scope candidate</x:v>
      </x:c>
      <x:c r="H245" s="5" t="str">
        <x:v>Not assigned</x:v>
      </x:c>
      <x:c r="I245" s="5" t="str">
        <x:v>Not started</x:v>
      </x:c>
      <x:c r="J245" s="5" t="str">
        <x:v>Not assigned</x:v>
      </x:c>
      <x:c r="K245" s="5" t="str">
        <x:v>Not started</x:v>
      </x:c>
      <x:c r="L245" s="5" t="str">
        <x:v>Pending</x:v>
      </x:c>
      <x:c r="M245" s="5" t="str"/>
      <x:c r="N245" s="5" t="str">
        <x:v>Not started</x:v>
      </x:c>
      <x:c r="O245" s="5" t="str">
        <x:v>Not started</x:v>
      </x:c>
      <x:c r="P245" s="5" t="str">
        <x:v>Not started</x:v>
      </x:c>
      <x:c r="Q245" s="5" t="str">
        <x:v>Not started</x:v>
      </x:c>
      <x:c r="R245" s="5" t="str">
        <x:v>Pending</x:v>
      </x:c>
      <x:c r="S245" s="5" t="str"/>
      <x:c r="T245" s="5" t="str"/>
      <x:c r="U245" s="5" t="str"/>
      <x:c r="V245" s="5" t="str"/>
      <x:c r="W245" s="5" t="str">
        <x:v>Not linked</x:v>
      </x:c>
      <x:c r="X245" s="5" t="str">
        <x:v>Pending</x:v>
      </x:c>
      <x:c r="Y245" s="5" t="str">
        <x:f>IF(AND(L245="Pending",R245="Pending"),"Pending screening",IF(H245="Not assigned","Assign reviewer",IF(AND(L245="Exclude",M245=""),"Missing TA exclusion reason",IF(AND(R245="Exclude",S245=""),"Missing FT exclusion reason","Decision recorded"))))</x:f>
        <x:v>Pending screening</x:v>
      </x:c>
    </x:row>
    <x:row r="246" ht="40" customHeight="1">
      <x:c r="A246" s="5" t="str">
        <x:v>C0236</x:v>
      </x:c>
      <x:c r="B246" s="5" t="str">
        <x:v>Automated visual inspection of bare printed circuit boards</x:v>
      </x:c>
      <x:c r="C246" s="5" t="str">
        <x:v>10.1016/0026-2714(91)90068-i</x:v>
      </x:c>
      <x:c r="D246" s="5" t="str"/>
      <x:c r="E246" s="5" t="str">
        <x:v>journal-article</x:v>
      </x:c>
      <x:c r="F246" s="5" t="str">
        <x:v>S14</x:v>
      </x:c>
      <x:c r="G246" s="5" t="str">
        <x:v>Title-scope candidate</x:v>
      </x:c>
      <x:c r="H246" s="5" t="str">
        <x:v>Not assigned</x:v>
      </x:c>
      <x:c r="I246" s="5" t="str">
        <x:v>Not started</x:v>
      </x:c>
      <x:c r="J246" s="5" t="str">
        <x:v>Not assigned</x:v>
      </x:c>
      <x:c r="K246" s="5" t="str">
        <x:v>Not started</x:v>
      </x:c>
      <x:c r="L246" s="5" t="str">
        <x:v>Pending</x:v>
      </x:c>
      <x:c r="M246" s="5" t="str"/>
      <x:c r="N246" s="5" t="str">
        <x:v>Not started</x:v>
      </x:c>
      <x:c r="O246" s="5" t="str">
        <x:v>Not started</x:v>
      </x:c>
      <x:c r="P246" s="5" t="str">
        <x:v>Not started</x:v>
      </x:c>
      <x:c r="Q246" s="5" t="str">
        <x:v>Not started</x:v>
      </x:c>
      <x:c r="R246" s="5" t="str">
        <x:v>Pending</x:v>
      </x:c>
      <x:c r="S246" s="5" t="str"/>
      <x:c r="T246" s="5" t="str"/>
      <x:c r="U246" s="5" t="str"/>
      <x:c r="V246" s="5" t="str"/>
      <x:c r="W246" s="5" t="str">
        <x:v>Not linked</x:v>
      </x:c>
      <x:c r="X246" s="5" t="str">
        <x:v>Pending</x:v>
      </x:c>
      <x:c r="Y246" s="5" t="str">
        <x:f>IF(AND(L246="Pending",R246="Pending"),"Pending screening",IF(H246="Not assigned","Assign reviewer",IF(AND(L246="Exclude",M246=""),"Missing TA exclusion reason",IF(AND(R246="Exclude",S246=""),"Missing FT exclusion reason","Decision recorded"))))</x:f>
        <x:v>Pending screening</x:v>
      </x:c>
    </x:row>
    <x:row r="247" ht="40" customHeight="1">
      <x:c r="A247" s="5" t="str">
        <x:v>C0237</x:v>
      </x:c>
      <x:c r="B247" s="5" t="str">
        <x:v>&lt;title&gt;CNN based visual processing for industrial inspection&lt;/title&gt;</x:v>
      </x:c>
      <x:c r="C247" s="5" t="str">
        <x:v>10.1117/12.380086</x:v>
      </x:c>
      <x:c r="D247" s="5" t="str"/>
      <x:c r="E247" s="5" t="str">
        <x:v>proceedings-article</x:v>
      </x:c>
      <x:c r="F247" s="5" t="str">
        <x:v>S14</x:v>
      </x:c>
      <x:c r="G247" s="5" t="str">
        <x:v>Title-scope candidate</x:v>
      </x:c>
      <x:c r="H247" s="5" t="str">
        <x:v>Not assigned</x:v>
      </x:c>
      <x:c r="I247" s="5" t="str">
        <x:v>Not started</x:v>
      </x:c>
      <x:c r="J247" s="5" t="str">
        <x:v>Not assigned</x:v>
      </x:c>
      <x:c r="K247" s="5" t="str">
        <x:v>Not started</x:v>
      </x:c>
      <x:c r="L247" s="5" t="str">
        <x:v>Pending</x:v>
      </x:c>
      <x:c r="M247" s="5" t="str"/>
      <x:c r="N247" s="5" t="str">
        <x:v>Not started</x:v>
      </x:c>
      <x:c r="O247" s="5" t="str">
        <x:v>Not started</x:v>
      </x:c>
      <x:c r="P247" s="5" t="str">
        <x:v>Not started</x:v>
      </x:c>
      <x:c r="Q247" s="5" t="str">
        <x:v>Not started</x:v>
      </x:c>
      <x:c r="R247" s="5" t="str">
        <x:v>Pending</x:v>
      </x:c>
      <x:c r="S247" s="5" t="str"/>
      <x:c r="T247" s="5" t="str"/>
      <x:c r="U247" s="5" t="str"/>
      <x:c r="V247" s="5" t="str"/>
      <x:c r="W247" s="5" t="str">
        <x:v>Not linked</x:v>
      </x:c>
      <x:c r="X247" s="5" t="str">
        <x:v>Pending</x:v>
      </x:c>
      <x:c r="Y247" s="5" t="str">
        <x:f>IF(AND(L247="Pending",R247="Pending"),"Pending screening",IF(H247="Not assigned","Assign reviewer",IF(AND(L247="Exclude",M247=""),"Missing TA exclusion reason",IF(AND(R247="Exclude",S247=""),"Missing FT exclusion reason","Decision recorded"))))</x:f>
        <x:v>Pending screening</x:v>
      </x:c>
    </x:row>
    <x:row r="248" ht="40" customHeight="1">
      <x:c r="A248" s="5" t="str">
        <x:v>C0238</x:v>
      </x:c>
      <x:c r="B248" s="5" t="str">
        <x:v>Automated Visual Inspection</x:v>
      </x:c>
      <x:c r="C248" s="5" t="str">
        <x:v>10.1016/b978-0-12-206093-9.50067-8</x:v>
      </x:c>
      <x:c r="D248" s="5" t="str"/>
      <x:c r="E248" s="5" t="str">
        <x:v>book-chapter</x:v>
      </x:c>
      <x:c r="F248" s="5" t="str">
        <x:v>S14</x:v>
      </x:c>
      <x:c r="G248" s="5" t="str">
        <x:v>Title-scope candidate</x:v>
      </x:c>
      <x:c r="H248" s="5" t="str">
        <x:v>Not assigned</x:v>
      </x:c>
      <x:c r="I248" s="5" t="str">
        <x:v>Not started</x:v>
      </x:c>
      <x:c r="J248" s="5" t="str">
        <x:v>Not assigned</x:v>
      </x:c>
      <x:c r="K248" s="5" t="str">
        <x:v>Not started</x:v>
      </x:c>
      <x:c r="L248" s="5" t="str">
        <x:v>Pending</x:v>
      </x:c>
      <x:c r="M248" s="5" t="str"/>
      <x:c r="N248" s="5" t="str">
        <x:v>Not started</x:v>
      </x:c>
      <x:c r="O248" s="5" t="str">
        <x:v>Not started</x:v>
      </x:c>
      <x:c r="P248" s="5" t="str">
        <x:v>Not started</x:v>
      </x:c>
      <x:c r="Q248" s="5" t="str">
        <x:v>Not started</x:v>
      </x:c>
      <x:c r="R248" s="5" t="str">
        <x:v>Pending</x:v>
      </x:c>
      <x:c r="S248" s="5" t="str"/>
      <x:c r="T248" s="5" t="str"/>
      <x:c r="U248" s="5" t="str"/>
      <x:c r="V248" s="5" t="str"/>
      <x:c r="W248" s="5" t="str">
        <x:v>Not linked</x:v>
      </x:c>
      <x:c r="X248" s="5" t="str">
        <x:v>Pending</x:v>
      </x:c>
      <x:c r="Y248" s="5" t="str">
        <x:f>IF(AND(L248="Pending",R248="Pending"),"Pending screening",IF(H248="Not assigned","Assign reviewer",IF(AND(L248="Exclude",M248=""),"Missing TA exclusion reason",IF(AND(R248="Exclude",S248=""),"Missing FT exclusion reason","Decision recorded"))))</x:f>
        <x:v>Pending screening</x:v>
      </x:c>
    </x:row>
    <x:row r="249" ht="40" customHeight="1">
      <x:c r="A249" s="5" t="str">
        <x:v>C0239</x:v>
      </x:c>
      <x:c r="B249" s="5" t="str">
        <x:v>Light field Inspection</x:v>
      </x:c>
      <x:c r="C249" s="5" t="str">
        <x:v>10.1117/12.2673829</x:v>
      </x:c>
      <x:c r="D249" s="5" t="str"/>
      <x:c r="E249" s="5" t="str">
        <x:v>proceedings-article</x:v>
      </x:c>
      <x:c r="F249" s="5" t="str">
        <x:v>S14</x:v>
      </x:c>
      <x:c r="G249" s="5" t="str">
        <x:v>Lower-priority; inspect scope</x:v>
      </x:c>
      <x:c r="H249" s="5" t="str">
        <x:v>Not assigned</x:v>
      </x:c>
      <x:c r="I249" s="5" t="str">
        <x:v>Not started</x:v>
      </x:c>
      <x:c r="J249" s="5" t="str">
        <x:v>Not assigned</x:v>
      </x:c>
      <x:c r="K249" s="5" t="str">
        <x:v>Not started</x:v>
      </x:c>
      <x:c r="L249" s="5" t="str">
        <x:v>Pending</x:v>
      </x:c>
      <x:c r="M249" s="5" t="str"/>
      <x:c r="N249" s="5" t="str">
        <x:v>Not started</x:v>
      </x:c>
      <x:c r="O249" s="5" t="str">
        <x:v>Not started</x:v>
      </x:c>
      <x:c r="P249" s="5" t="str">
        <x:v>Not started</x:v>
      </x:c>
      <x:c r="Q249" s="5" t="str">
        <x:v>Not started</x:v>
      </x:c>
      <x:c r="R249" s="5" t="str">
        <x:v>Pending</x:v>
      </x:c>
      <x:c r="S249" s="5" t="str"/>
      <x:c r="T249" s="5" t="str"/>
      <x:c r="U249" s="5" t="str"/>
      <x:c r="V249" s="5" t="str"/>
      <x:c r="W249" s="5" t="str">
        <x:v>Not linked</x:v>
      </x:c>
      <x:c r="X249" s="5" t="str">
        <x:v>Pending</x:v>
      </x:c>
      <x:c r="Y249" s="5" t="str">
        <x:f>IF(AND(L249="Pending",R249="Pending"),"Pending screening",IF(H249="Not assigned","Assign reviewer",IF(AND(L249="Exclude",M249=""),"Missing TA exclusion reason",IF(AND(R249="Exclude",S249=""),"Missing FT exclusion reason","Decision recorded"))))</x:f>
        <x:v>Pending screening</x:v>
      </x:c>
    </x:row>
    <x:row r="250" ht="40" customHeight="1">
      <x:c r="A250" s="5" t="str">
        <x:v>C0240</x:v>
      </x:c>
      <x:c r="B250" s="5" t="str">
        <x:v>Pairing human and machine-vision in industrial inspection tasks</x:v>
      </x:c>
      <x:c r="C250" s="5" t="str">
        <x:v>10.1016/0967-0661(93)92254-2</x:v>
      </x:c>
      <x:c r="D250" s="5" t="str"/>
      <x:c r="E250" s="5" t="str">
        <x:v>journal-article</x:v>
      </x:c>
      <x:c r="F250" s="5" t="str">
        <x:v>S14</x:v>
      </x:c>
      <x:c r="G250" s="5" t="str">
        <x:v>Title-scope candidate</x:v>
      </x:c>
      <x:c r="H250" s="5" t="str">
        <x:v>Not assigned</x:v>
      </x:c>
      <x:c r="I250" s="5" t="str">
        <x:v>Not started</x:v>
      </x:c>
      <x:c r="J250" s="5" t="str">
        <x:v>Not assigned</x:v>
      </x:c>
      <x:c r="K250" s="5" t="str">
        <x:v>Not started</x:v>
      </x:c>
      <x:c r="L250" s="5" t="str">
        <x:v>Pending</x:v>
      </x:c>
      <x:c r="M250" s="5" t="str"/>
      <x:c r="N250" s="5" t="str">
        <x:v>Not started</x:v>
      </x:c>
      <x:c r="O250" s="5" t="str">
        <x:v>Not started</x:v>
      </x:c>
      <x:c r="P250" s="5" t="str">
        <x:v>Not started</x:v>
      </x:c>
      <x:c r="Q250" s="5" t="str">
        <x:v>Not started</x:v>
      </x:c>
      <x:c r="R250" s="5" t="str">
        <x:v>Pending</x:v>
      </x:c>
      <x:c r="S250" s="5" t="str"/>
      <x:c r="T250" s="5" t="str"/>
      <x:c r="U250" s="5" t="str"/>
      <x:c r="V250" s="5" t="str"/>
      <x:c r="W250" s="5" t="str">
        <x:v>Not linked</x:v>
      </x:c>
      <x:c r="X250" s="5" t="str">
        <x:v>Pending</x:v>
      </x:c>
      <x:c r="Y250" s="5" t="str">
        <x:f>IF(AND(L250="Pending",R250="Pending"),"Pending screening",IF(H250="Not assigned","Assign reviewer",IF(AND(L250="Exclude",M250=""),"Missing TA exclusion reason",IF(AND(R250="Exclude",S250=""),"Missing FT exclusion reason","Decision recorded"))))</x:f>
        <x:v>Pending screening</x:v>
      </x:c>
    </x:row>
    <x:row r="251" ht="40" customHeight="1">
      <x:c r="A251" s="5" t="str">
        <x:v>C0241</x:v>
      </x:c>
      <x:c r="B251" s="5" t="str">
        <x:v>Human Factors of Visual Inspection Systems in Production</x:v>
      </x:c>
      <x:c r="C251" s="5" t="str">
        <x:v>10.1109/iecon.2006.347916</x:v>
      </x:c>
      <x:c r="D251" s="5" t="str"/>
      <x:c r="E251" s="5" t="str">
        <x:v>proceedings-article</x:v>
      </x:c>
      <x:c r="F251" s="5" t="str">
        <x:v>S14</x:v>
      </x:c>
      <x:c r="G251" s="5" t="str">
        <x:v>Title-scope candidate</x:v>
      </x:c>
      <x:c r="H251" s="5" t="str">
        <x:v>Not assigned</x:v>
      </x:c>
      <x:c r="I251" s="5" t="str">
        <x:v>Not started</x:v>
      </x:c>
      <x:c r="J251" s="5" t="str">
        <x:v>Not assigned</x:v>
      </x:c>
      <x:c r="K251" s="5" t="str">
        <x:v>Not started</x:v>
      </x:c>
      <x:c r="L251" s="5" t="str">
        <x:v>Pending</x:v>
      </x:c>
      <x:c r="M251" s="5" t="str"/>
      <x:c r="N251" s="5" t="str">
        <x:v>Not started</x:v>
      </x:c>
      <x:c r="O251" s="5" t="str">
        <x:v>Not started</x:v>
      </x:c>
      <x:c r="P251" s="5" t="str">
        <x:v>Not started</x:v>
      </x:c>
      <x:c r="Q251" s="5" t="str">
        <x:v>Not started</x:v>
      </x:c>
      <x:c r="R251" s="5" t="str">
        <x:v>Pending</x:v>
      </x:c>
      <x:c r="S251" s="5" t="str"/>
      <x:c r="T251" s="5" t="str"/>
      <x:c r="U251" s="5" t="str"/>
      <x:c r="V251" s="5" t="str"/>
      <x:c r="W251" s="5" t="str">
        <x:v>Not linked</x:v>
      </x:c>
      <x:c r="X251" s="5" t="str">
        <x:v>Pending</x:v>
      </x:c>
      <x:c r="Y251" s="5" t="str">
        <x:f>IF(AND(L251="Pending",R251="Pending"),"Pending screening",IF(H251="Not assigned","Assign reviewer",IF(AND(L251="Exclude",M251=""),"Missing TA exclusion reason",IF(AND(R251="Exclude",S251=""),"Missing FT exclusion reason","Decision recorded"))))</x:f>
        <x:v>Pending screening</x:v>
      </x:c>
    </x:row>
    <x:row r="252" ht="40" customHeight="1">
      <x:c r="A252" s="5" t="str">
        <x:v>C0242</x:v>
      </x:c>
      <x:c r="B252" s="5" t="str">
        <x:v>Machine vision automates inspection of thick-film hybrids</x:v>
      </x:c>
      <x:c r="C252" s="5" t="str">
        <x:v>10.1016/0026-2714(87)90276-9</x:v>
      </x:c>
      <x:c r="D252" s="5" t="str"/>
      <x:c r="E252" s="5" t="str">
        <x:v>journal-article</x:v>
      </x:c>
      <x:c r="F252" s="5" t="str">
        <x:v>S14</x:v>
      </x:c>
      <x:c r="G252" s="5" t="str">
        <x:v>Title-scope candidate</x:v>
      </x:c>
      <x:c r="H252" s="5" t="str">
        <x:v>Not assigned</x:v>
      </x:c>
      <x:c r="I252" s="5" t="str">
        <x:v>Not started</x:v>
      </x:c>
      <x:c r="J252" s="5" t="str">
        <x:v>Not assigned</x:v>
      </x:c>
      <x:c r="K252" s="5" t="str">
        <x:v>Not started</x:v>
      </x:c>
      <x:c r="L252" s="5" t="str">
        <x:v>Pending</x:v>
      </x:c>
      <x:c r="M252" s="5" t="str"/>
      <x:c r="N252" s="5" t="str">
        <x:v>Not started</x:v>
      </x:c>
      <x:c r="O252" s="5" t="str">
        <x:v>Not started</x:v>
      </x:c>
      <x:c r="P252" s="5" t="str">
        <x:v>Not started</x:v>
      </x:c>
      <x:c r="Q252" s="5" t="str">
        <x:v>Not started</x:v>
      </x:c>
      <x:c r="R252" s="5" t="str">
        <x:v>Pending</x:v>
      </x:c>
      <x:c r="S252" s="5" t="str"/>
      <x:c r="T252" s="5" t="str"/>
      <x:c r="U252" s="5" t="str"/>
      <x:c r="V252" s="5" t="str"/>
      <x:c r="W252" s="5" t="str">
        <x:v>Not linked</x:v>
      </x:c>
      <x:c r="X252" s="5" t="str">
        <x:v>Pending</x:v>
      </x:c>
      <x:c r="Y252" s="5" t="str">
        <x:f>IF(AND(L252="Pending",R252="Pending"),"Pending screening",IF(H252="Not assigned","Assign reviewer",IF(AND(L252="Exclude",M252=""),"Missing TA exclusion reason",IF(AND(R252="Exclude",S252=""),"Missing FT exclusion reason","Decision recorded"))))</x:f>
        <x:v>Pending screening</x:v>
      </x:c>
    </x:row>
    <x:row r="253" ht="40" customHeight="1">
      <x:c r="A253" s="5" t="str">
        <x:v>C0243</x:v>
      </x:c>
      <x:c r="B253" s="5" t="str">
        <x:v>&lt;title&gt;Real-time aspects of SOM-based visual surface inspection&lt;/title&gt;</x:v>
      </x:c>
      <x:c r="C253" s="5" t="str">
        <x:v>10.1117/12.460189</x:v>
      </x:c>
      <x:c r="D253" s="5" t="str"/>
      <x:c r="E253" s="5" t="str">
        <x:v>proceedings-article</x:v>
      </x:c>
      <x:c r="F253" s="5" t="str">
        <x:v>S14</x:v>
      </x:c>
      <x:c r="G253" s="5" t="str">
        <x:v>Title-scope candidate</x:v>
      </x:c>
      <x:c r="H253" s="5" t="str">
        <x:v>Not assigned</x:v>
      </x:c>
      <x:c r="I253" s="5" t="str">
        <x:v>Not started</x:v>
      </x:c>
      <x:c r="J253" s="5" t="str">
        <x:v>Not assigned</x:v>
      </x:c>
      <x:c r="K253" s="5" t="str">
        <x:v>Not started</x:v>
      </x:c>
      <x:c r="L253" s="5" t="str">
        <x:v>Pending</x:v>
      </x:c>
      <x:c r="M253" s="5" t="str"/>
      <x:c r="N253" s="5" t="str">
        <x:v>Not started</x:v>
      </x:c>
      <x:c r="O253" s="5" t="str">
        <x:v>Not started</x:v>
      </x:c>
      <x:c r="P253" s="5" t="str">
        <x:v>Not started</x:v>
      </x:c>
      <x:c r="Q253" s="5" t="str">
        <x:v>Not started</x:v>
      </x:c>
      <x:c r="R253" s="5" t="str">
        <x:v>Pending</x:v>
      </x:c>
      <x:c r="S253" s="5" t="str"/>
      <x:c r="T253" s="5" t="str"/>
      <x:c r="U253" s="5" t="str"/>
      <x:c r="V253" s="5" t="str"/>
      <x:c r="W253" s="5" t="str">
        <x:v>Not linked</x:v>
      </x:c>
      <x:c r="X253" s="5" t="str">
        <x:v>Pending</x:v>
      </x:c>
      <x:c r="Y253" s="5" t="str">
        <x:f>IF(AND(L253="Pending",R253="Pending"),"Pending screening",IF(H253="Not assigned","Assign reviewer",IF(AND(L253="Exclude",M253=""),"Missing TA exclusion reason",IF(AND(R253="Exclude",S253=""),"Missing FT exclusion reason","Decision recorded"))))</x:f>
        <x:v>Pending screening</x:v>
      </x:c>
    </x:row>
    <x:row r="254" ht="40" customHeight="1">
      <x:c r="A254" s="5" t="str">
        <x:v>C0244</x:v>
      </x:c>
      <x:c r="B254" s="5" t="str">
        <x:v>Human Factors and the Reliability of Airframe Visual Inspection</x:v>
      </x:c>
      <x:c r="C254" s="5" t="str">
        <x:v>10.4271/972592</x:v>
      </x:c>
      <x:c r="D254" s="5" t="str"/>
      <x:c r="E254" s="5" t="str">
        <x:v>proceedings-article</x:v>
      </x:c>
      <x:c r="F254" s="5" t="str">
        <x:v>S14</x:v>
      </x:c>
      <x:c r="G254" s="5" t="str">
        <x:v>Title-scope candidate</x:v>
      </x:c>
      <x:c r="H254" s="5" t="str">
        <x:v>Not assigned</x:v>
      </x:c>
      <x:c r="I254" s="5" t="str">
        <x:v>Not started</x:v>
      </x:c>
      <x:c r="J254" s="5" t="str">
        <x:v>Not assigned</x:v>
      </x:c>
      <x:c r="K254" s="5" t="str">
        <x:v>Not started</x:v>
      </x:c>
      <x:c r="L254" s="5" t="str">
        <x:v>Pending</x:v>
      </x:c>
      <x:c r="M254" s="5" t="str"/>
      <x:c r="N254" s="5" t="str">
        <x:v>Not started</x:v>
      </x:c>
      <x:c r="O254" s="5" t="str">
        <x:v>Not started</x:v>
      </x:c>
      <x:c r="P254" s="5" t="str">
        <x:v>Not started</x:v>
      </x:c>
      <x:c r="Q254" s="5" t="str">
        <x:v>Not started</x:v>
      </x:c>
      <x:c r="R254" s="5" t="str">
        <x:v>Pending</x:v>
      </x:c>
      <x:c r="S254" s="5" t="str"/>
      <x:c r="T254" s="5" t="str"/>
      <x:c r="U254" s="5" t="str"/>
      <x:c r="V254" s="5" t="str"/>
      <x:c r="W254" s="5" t="str">
        <x:v>Not linked</x:v>
      </x:c>
      <x:c r="X254" s="5" t="str">
        <x:v>Pending</x:v>
      </x:c>
      <x:c r="Y254" s="5" t="str">
        <x:f>IF(AND(L254="Pending",R254="Pending"),"Pending screening",IF(H254="Not assigned","Assign reviewer",IF(AND(L254="Exclude",M254=""),"Missing TA exclusion reason",IF(AND(R254="Exclude",S254=""),"Missing FT exclusion reason","Decision recorded"))))</x:f>
        <x:v>Pending screening</x:v>
      </x:c>
    </x:row>
    <x:row r="255" ht="40" customHeight="1">
      <x:c r="A255" s="5" t="str">
        <x:v>C0245</x:v>
      </x:c>
      <x:c r="B255" s="5" t="str">
        <x:v>Automated Visual Inspection</x:v>
      </x:c>
      <x:c r="C255" s="5" t="str">
        <x:v>10.1016/b978-012206093-9/50025-3</x:v>
      </x:c>
      <x:c r="D255" s="5" t="str"/>
      <x:c r="E255" s="5" t="str">
        <x:v>book-chapter</x:v>
      </x:c>
      <x:c r="F255" s="5" t="str">
        <x:v>S14</x:v>
      </x:c>
      <x:c r="G255" s="5" t="str">
        <x:v>Title-scope candidate</x:v>
      </x:c>
      <x:c r="H255" s="5" t="str">
        <x:v>Not assigned</x:v>
      </x:c>
      <x:c r="I255" s="5" t="str">
        <x:v>Not started</x:v>
      </x:c>
      <x:c r="J255" s="5" t="str">
        <x:v>Not assigned</x:v>
      </x:c>
      <x:c r="K255" s="5" t="str">
        <x:v>Not started</x:v>
      </x:c>
      <x:c r="L255" s="5" t="str">
        <x:v>Pending</x:v>
      </x:c>
      <x:c r="M255" s="5" t="str"/>
      <x:c r="N255" s="5" t="str">
        <x:v>Not started</x:v>
      </x:c>
      <x:c r="O255" s="5" t="str">
        <x:v>Not started</x:v>
      </x:c>
      <x:c r="P255" s="5" t="str">
        <x:v>Not started</x:v>
      </x:c>
      <x:c r="Q255" s="5" t="str">
        <x:v>Not started</x:v>
      </x:c>
      <x:c r="R255" s="5" t="str">
        <x:v>Pending</x:v>
      </x:c>
      <x:c r="S255" s="5" t="str"/>
      <x:c r="T255" s="5" t="str"/>
      <x:c r="U255" s="5" t="str"/>
      <x:c r="V255" s="5" t="str"/>
      <x:c r="W255" s="5" t="str">
        <x:v>Not linked</x:v>
      </x:c>
      <x:c r="X255" s="5" t="str">
        <x:v>Pending</x:v>
      </x:c>
      <x:c r="Y255" s="5" t="str">
        <x:f>IF(AND(L255="Pending",R255="Pending"),"Pending screening",IF(H255="Not assigned","Assign reviewer",IF(AND(L255="Exclude",M255=""),"Missing TA exclusion reason",IF(AND(R255="Exclude",S255=""),"Missing FT exclusion reason","Decision recorded"))))</x:f>
        <x:v>Pending screening</x:v>
      </x:c>
    </x:row>
    <x:row r="256" ht="40" customHeight="1">
      <x:c r="A256" s="5" t="str">
        <x:v>C0246</x:v>
      </x:c>
      <x:c r="B256" s="5" t="str">
        <x:v>Automated Visual Inspection</x:v>
      </x:c>
      <x:c r="C256" s="5" t="str">
        <x:v>10.1016/b978-0-12-206090-8.50027-x</x:v>
      </x:c>
      <x:c r="D256" s="5" t="str"/>
      <x:c r="E256" s="5" t="str">
        <x:v>book-chapter</x:v>
      </x:c>
      <x:c r="F256" s="5" t="str">
        <x:v>S14</x:v>
      </x:c>
      <x:c r="G256" s="5" t="str">
        <x:v>Title-scope candidate</x:v>
      </x:c>
      <x:c r="H256" s="5" t="str">
        <x:v>Not assigned</x:v>
      </x:c>
      <x:c r="I256" s="5" t="str">
        <x:v>Not started</x:v>
      </x:c>
      <x:c r="J256" s="5" t="str">
        <x:v>Not assigned</x:v>
      </x:c>
      <x:c r="K256" s="5" t="str">
        <x:v>Not started</x:v>
      </x:c>
      <x:c r="L256" s="5" t="str">
        <x:v>Pending</x:v>
      </x:c>
      <x:c r="M256" s="5" t="str"/>
      <x:c r="N256" s="5" t="str">
        <x:v>Not started</x:v>
      </x:c>
      <x:c r="O256" s="5" t="str">
        <x:v>Not started</x:v>
      </x:c>
      <x:c r="P256" s="5" t="str">
        <x:v>Not started</x:v>
      </x:c>
      <x:c r="Q256" s="5" t="str">
        <x:v>Not started</x:v>
      </x:c>
      <x:c r="R256" s="5" t="str">
        <x:v>Pending</x:v>
      </x:c>
      <x:c r="S256" s="5" t="str"/>
      <x:c r="T256" s="5" t="str"/>
      <x:c r="U256" s="5" t="str"/>
      <x:c r="V256" s="5" t="str"/>
      <x:c r="W256" s="5" t="str">
        <x:v>Not linked</x:v>
      </x:c>
      <x:c r="X256" s="5" t="str">
        <x:v>Pending</x:v>
      </x:c>
      <x:c r="Y256" s="5" t="str">
        <x:f>IF(AND(L256="Pending",R256="Pending"),"Pending screening",IF(H256="Not assigned","Assign reviewer",IF(AND(L256="Exclude",M256=""),"Missing TA exclusion reason",IF(AND(R256="Exclude",S256=""),"Missing FT exclusion reason","Decision recorded"))))</x:f>
        <x:v>Pending screening</x:v>
      </x:c>
    </x:row>
    <x:row r="257" ht="40" customHeight="1">
      <x:c r="A257" s="5" t="str">
        <x:v>C0247</x:v>
      </x:c>
      <x:c r="B257" s="5" t="str">
        <x:v>Seagate: Improving Automated Visual Inspection of Wafers and Fab Tooling with AI</x:v>
      </x:c>
      <x:c r="C257" s="5" t="str">
        <x:v>10.7551/mitpress/14453.003.0025</x:v>
      </x:c>
      <x:c r="D257" s="5" t="str"/>
      <x:c r="E257" s="5" t="str">
        <x:v>book-chapter</x:v>
      </x:c>
      <x:c r="F257" s="5" t="str">
        <x:v>S14</x:v>
      </x:c>
      <x:c r="G257" s="5" t="str">
        <x:v>Title-scope candidate</x:v>
      </x:c>
      <x:c r="H257" s="5" t="str">
        <x:v>Not assigned</x:v>
      </x:c>
      <x:c r="I257" s="5" t="str">
        <x:v>Not started</x:v>
      </x:c>
      <x:c r="J257" s="5" t="str">
        <x:v>Not assigned</x:v>
      </x:c>
      <x:c r="K257" s="5" t="str">
        <x:v>Not started</x:v>
      </x:c>
      <x:c r="L257" s="5" t="str">
        <x:v>Pending</x:v>
      </x:c>
      <x:c r="M257" s="5" t="str"/>
      <x:c r="N257" s="5" t="str">
        <x:v>Not started</x:v>
      </x:c>
      <x:c r="O257" s="5" t="str">
        <x:v>Not started</x:v>
      </x:c>
      <x:c r="P257" s="5" t="str">
        <x:v>Not started</x:v>
      </x:c>
      <x:c r="Q257" s="5" t="str">
        <x:v>Not started</x:v>
      </x:c>
      <x:c r="R257" s="5" t="str">
        <x:v>Pending</x:v>
      </x:c>
      <x:c r="S257" s="5" t="str"/>
      <x:c r="T257" s="5" t="str"/>
      <x:c r="U257" s="5" t="str"/>
      <x:c r="V257" s="5" t="str"/>
      <x:c r="W257" s="5" t="str">
        <x:v>Not linked</x:v>
      </x:c>
      <x:c r="X257" s="5" t="str">
        <x:v>Pending</x:v>
      </x:c>
      <x:c r="Y257" s="5" t="str">
        <x:f>IF(AND(L257="Pending",R257="Pending"),"Pending screening",IF(H257="Not assigned","Assign reviewer",IF(AND(L257="Exclude",M257=""),"Missing TA exclusion reason",IF(AND(R257="Exclude",S257=""),"Missing FT exclusion reason","Decision recorded"))))</x:f>
        <x:v>Pending screening</x:v>
      </x:c>
    </x:row>
    <x:row r="258" ht="40" customHeight="1">
      <x:c r="A258" s="5" t="str">
        <x:v>C0248</x:v>
      </x:c>
      <x:c r="B258" s="5" t="str">
        <x:v>Visual Inspection Reliability for Precision Manufactured Parts</x:v>
      </x:c>
      <x:c r="C258" s="5" t="str">
        <x:v>10.1177/0018720815602389</x:v>
      </x:c>
      <x:c r="D258" s="5" t="str"/>
      <x:c r="E258" s="5" t="str">
        <x:v>journal-article</x:v>
      </x:c>
      <x:c r="F258" s="5" t="str">
        <x:v>S14</x:v>
      </x:c>
      <x:c r="G258" s="5" t="str">
        <x:v>Title-scope candidate</x:v>
      </x:c>
      <x:c r="H258" s="5" t="str">
        <x:v>Not assigned</x:v>
      </x:c>
      <x:c r="I258" s="5" t="str">
        <x:v>Not started</x:v>
      </x:c>
      <x:c r="J258" s="5" t="str">
        <x:v>Not assigned</x:v>
      </x:c>
      <x:c r="K258" s="5" t="str">
        <x:v>Not started</x:v>
      </x:c>
      <x:c r="L258" s="5" t="str">
        <x:v>Pending</x:v>
      </x:c>
      <x:c r="M258" s="5" t="str"/>
      <x:c r="N258" s="5" t="str">
        <x:v>Not started</x:v>
      </x:c>
      <x:c r="O258" s="5" t="str">
        <x:v>Not started</x:v>
      </x:c>
      <x:c r="P258" s="5" t="str">
        <x:v>Not started</x:v>
      </x:c>
      <x:c r="Q258" s="5" t="str">
        <x:v>Not started</x:v>
      </x:c>
      <x:c r="R258" s="5" t="str">
        <x:v>Pending</x:v>
      </x:c>
      <x:c r="S258" s="5" t="str"/>
      <x:c r="T258" s="5" t="str"/>
      <x:c r="U258" s="5" t="str"/>
      <x:c r="V258" s="5" t="str"/>
      <x:c r="W258" s="5" t="str">
        <x:v>Not linked</x:v>
      </x:c>
      <x:c r="X258" s="5" t="str">
        <x:v>Pending</x:v>
      </x:c>
      <x:c r="Y258" s="5" t="str">
        <x:f>IF(AND(L258="Pending",R258="Pending"),"Pending screening",IF(H258="Not assigned","Assign reviewer",IF(AND(L258="Exclude",M258=""),"Missing TA exclusion reason",IF(AND(R258="Exclude",S258=""),"Missing FT exclusion reason","Decision recorded"))))</x:f>
        <x:v>Pending screening</x:v>
      </x:c>
    </x:row>
    <x:row r="259" ht="40" customHeight="1">
      <x:c r="A259" s="5" t="str">
        <x:v>C0249</x:v>
      </x:c>
      <x:c r="B259" s="5" t="str">
        <x:v>Anomaly Detection in Industrial Park: Benchmark Virtual-Real Dataset and an Improved Yolo Model</x:v>
      </x:c>
      <x:c r="C259" s="5" t="str">
        <x:v>10.2139/ssrn.5371357</x:v>
      </x:c>
      <x:c r="D259" s="5" t="str"/>
      <x:c r="E259" s="5" t="str">
        <x:v>posted-content</x:v>
      </x:c>
      <x:c r="F259" s="5" t="str">
        <x:v>S15</x:v>
      </x:c>
      <x:c r="G259" s="5" t="str">
        <x:v>Title-scope candidate</x:v>
      </x:c>
      <x:c r="H259" s="5" t="str">
        <x:v>Not assigned</x:v>
      </x:c>
      <x:c r="I259" s="5" t="str">
        <x:v>Not started</x:v>
      </x:c>
      <x:c r="J259" s="5" t="str">
        <x:v>Not assigned</x:v>
      </x:c>
      <x:c r="K259" s="5" t="str">
        <x:v>Not started</x:v>
      </x:c>
      <x:c r="L259" s="5" t="str">
        <x:v>Pending</x:v>
      </x:c>
      <x:c r="M259" s="5" t="str"/>
      <x:c r="N259" s="5" t="str">
        <x:v>Not started</x:v>
      </x:c>
      <x:c r="O259" s="5" t="str">
        <x:v>Not started</x:v>
      </x:c>
      <x:c r="P259" s="5" t="str">
        <x:v>Not started</x:v>
      </x:c>
      <x:c r="Q259" s="5" t="str">
        <x:v>Not started</x:v>
      </x:c>
      <x:c r="R259" s="5" t="str">
        <x:v>Pending</x:v>
      </x:c>
      <x:c r="S259" s="5" t="str"/>
      <x:c r="T259" s="5" t="str"/>
      <x:c r="U259" s="5" t="str"/>
      <x:c r="V259" s="5" t="str"/>
      <x:c r="W259" s="5" t="str">
        <x:v>Not linked</x:v>
      </x:c>
      <x:c r="X259" s="5" t="str">
        <x:v>Pending</x:v>
      </x:c>
      <x:c r="Y259" s="5" t="str">
        <x:f>IF(AND(L259="Pending",R259="Pending"),"Pending screening",IF(H259="Not assigned","Assign reviewer",IF(AND(L259="Exclude",M259=""),"Missing TA exclusion reason",IF(AND(R259="Exclude",S259=""),"Missing FT exclusion reason","Decision recorded"))))</x:f>
        <x:v>Pending screening</x:v>
      </x:c>
    </x:row>
    <x:row r="260" ht="40" customHeight="1">
      <x:c r="A260" s="5" t="str">
        <x:v>C0250</x:v>
      </x:c>
      <x:c r="B260" s="5" t="str">
        <x:v>Unified Spacecraft Anomaly Detection Benchmark: Aggregated and Preprocessed Dataset</x:v>
      </x:c>
      <x:c r="C260" s="5" t="str">
        <x:v>10.36227/techrxiv.171177260.01297477/v1</x:v>
      </x:c>
      <x:c r="D260" s="5" t="str"/>
      <x:c r="E260" s="5" t="str">
        <x:v>posted-content</x:v>
      </x:c>
      <x:c r="F260" s="5" t="str">
        <x:v>S15</x:v>
      </x:c>
      <x:c r="G260" s="5" t="str">
        <x:v>Lower-priority; inspect scope</x:v>
      </x:c>
      <x:c r="H260" s="5" t="str">
        <x:v>Not assigned</x:v>
      </x:c>
      <x:c r="I260" s="5" t="str">
        <x:v>Not started</x:v>
      </x:c>
      <x:c r="J260" s="5" t="str">
        <x:v>Not assigned</x:v>
      </x:c>
      <x:c r="K260" s="5" t="str">
        <x:v>Not started</x:v>
      </x:c>
      <x:c r="L260" s="5" t="str">
        <x:v>Pending</x:v>
      </x:c>
      <x:c r="M260" s="5" t="str"/>
      <x:c r="N260" s="5" t="str">
        <x:v>Not started</x:v>
      </x:c>
      <x:c r="O260" s="5" t="str">
        <x:v>Not started</x:v>
      </x:c>
      <x:c r="P260" s="5" t="str">
        <x:v>Not started</x:v>
      </x:c>
      <x:c r="Q260" s="5" t="str">
        <x:v>Not started</x:v>
      </x:c>
      <x:c r="R260" s="5" t="str">
        <x:v>Pending</x:v>
      </x:c>
      <x:c r="S260" s="5" t="str"/>
      <x:c r="T260" s="5" t="str"/>
      <x:c r="U260" s="5" t="str"/>
      <x:c r="V260" s="5" t="str"/>
      <x:c r="W260" s="5" t="str">
        <x:v>Not linked</x:v>
      </x:c>
      <x:c r="X260" s="5" t="str">
        <x:v>Pending</x:v>
      </x:c>
      <x:c r="Y260" s="5" t="str">
        <x:f>IF(AND(L260="Pending",R260="Pending"),"Pending screening",IF(H260="Not assigned","Assign reviewer",IF(AND(L260="Exclude",M260=""),"Missing TA exclusion reason",IF(AND(R260="Exclude",S260=""),"Missing FT exclusion reason","Decision recorded"))))</x:f>
        <x:v>Pending screening</x:v>
      </x:c>
    </x:row>
    <x:row r="261" ht="40" customHeight="1">
      <x:c r="A261" s="5" t="str">
        <x:v>C0251</x:v>
      </x:c>
      <x:c r="B261" s="5" t="str">
        <x:v>Real-IAD MVN: A Multi-View Normal Vector Dataset and Benchmark for High-Fidelity Industrial Anomaly Detection</x:v>
      </x:c>
      <x:c r="C261" s="5" t="str">
        <x:v>10.1109/cvprf71909.2026.00202</x:v>
      </x:c>
      <x:c r="D261" s="5" t="str"/>
      <x:c r="E261" s="5" t="str">
        <x:v>proceedings-article</x:v>
      </x:c>
      <x:c r="F261" s="5" t="str">
        <x:v>S15</x:v>
      </x:c>
      <x:c r="G261" s="5" t="str">
        <x:v>Title-scope candidate</x:v>
      </x:c>
      <x:c r="H261" s="5" t="str">
        <x:v>Not assigned</x:v>
      </x:c>
      <x:c r="I261" s="5" t="str">
        <x:v>Not started</x:v>
      </x:c>
      <x:c r="J261" s="5" t="str">
        <x:v>Not assigned</x:v>
      </x:c>
      <x:c r="K261" s="5" t="str">
        <x:v>Not started</x:v>
      </x:c>
      <x:c r="L261" s="5" t="str">
        <x:v>Pending</x:v>
      </x:c>
      <x:c r="M261" s="5" t="str"/>
      <x:c r="N261" s="5" t="str">
        <x:v>Not started</x:v>
      </x:c>
      <x:c r="O261" s="5" t="str">
        <x:v>Not started</x:v>
      </x:c>
      <x:c r="P261" s="5" t="str">
        <x:v>Not started</x:v>
      </x:c>
      <x:c r="Q261" s="5" t="str">
        <x:v>Not started</x:v>
      </x:c>
      <x:c r="R261" s="5" t="str">
        <x:v>Pending</x:v>
      </x:c>
      <x:c r="S261" s="5" t="str"/>
      <x:c r="T261" s="5" t="str"/>
      <x:c r="U261" s="5" t="str"/>
      <x:c r="V261" s="5" t="str"/>
      <x:c r="W261" s="5" t="str">
        <x:v>Not linked</x:v>
      </x:c>
      <x:c r="X261" s="5" t="str">
        <x:v>Pending</x:v>
      </x:c>
      <x:c r="Y261" s="5" t="str">
        <x:f>IF(AND(L261="Pending",R261="Pending"),"Pending screening",IF(H261="Not assigned","Assign reviewer",IF(AND(L261="Exclude",M261=""),"Missing TA exclusion reason",IF(AND(R261="Exclude",S261=""),"Missing FT exclusion reason","Decision recorded"))))</x:f>
        <x:v>Pending screening</x:v>
      </x:c>
    </x:row>
    <x:row r="262" ht="40" customHeight="1">
      <x:c r="A262" s="5" t="str">
        <x:v>C0252</x:v>
      </x:c>
      <x:c r="B262" s="5" t="str">
        <x:v>Robust AD: A Real World Benchmark Dataset for Robustness in Industrial Anomaly Detection</x:v>
      </x:c>
      <x:c r="C262" s="5" t="str">
        <x:v>10.1109/cvprw67362.2025.00389</x:v>
      </x:c>
      <x:c r="D262" s="5" t="str"/>
      <x:c r="E262" s="5" t="str">
        <x:v>proceedings-article</x:v>
      </x:c>
      <x:c r="F262" s="5" t="str">
        <x:v>S15</x:v>
      </x:c>
      <x:c r="G262" s="5" t="str">
        <x:v>Title-scope candidate</x:v>
      </x:c>
      <x:c r="H262" s="5" t="str">
        <x:v>Not assigned</x:v>
      </x:c>
      <x:c r="I262" s="5" t="str">
        <x:v>Not started</x:v>
      </x:c>
      <x:c r="J262" s="5" t="str">
        <x:v>Not assigned</x:v>
      </x:c>
      <x:c r="K262" s="5" t="str">
        <x:v>Not started</x:v>
      </x:c>
      <x:c r="L262" s="5" t="str">
        <x:v>Pending</x:v>
      </x:c>
      <x:c r="M262" s="5" t="str"/>
      <x:c r="N262" s="5" t="str">
        <x:v>Not started</x:v>
      </x:c>
      <x:c r="O262" s="5" t="str">
        <x:v>Not started</x:v>
      </x:c>
      <x:c r="P262" s="5" t="str">
        <x:v>Not started</x:v>
      </x:c>
      <x:c r="Q262" s="5" t="str">
        <x:v>Not started</x:v>
      </x:c>
      <x:c r="R262" s="5" t="str">
        <x:v>Pending</x:v>
      </x:c>
      <x:c r="S262" s="5" t="str"/>
      <x:c r="T262" s="5" t="str"/>
      <x:c r="U262" s="5" t="str"/>
      <x:c r="V262" s="5" t="str"/>
      <x:c r="W262" s="5" t="str">
        <x:v>Not linked</x:v>
      </x:c>
      <x:c r="X262" s="5" t="str">
        <x:v>Pending</x:v>
      </x:c>
      <x:c r="Y262" s="5" t="str">
        <x:f>IF(AND(L262="Pending",R262="Pending"),"Pending screening",IF(H262="Not assigned","Assign reviewer",IF(AND(L262="Exclude",M262=""),"Missing TA exclusion reason",IF(AND(R262="Exclude",S262=""),"Missing FT exclusion reason","Decision recorded"))))</x:f>
        <x:v>Pending screening</x:v>
      </x:c>
    </x:row>
    <x:row r="263" ht="40" customHeight="1">
      <x:c r="A263" s="5" t="str">
        <x:v>C0253</x:v>
      </x:c>
      <x:c r="B263" s="5" t="str">
        <x:v>PairAnom: A Benchmark Dataset for Pairwise Fine-Grained Multi-Class Video Anomaly Detection</x:v>
      </x:c>
      <x:c r="C263" s="5" t="str">
        <x:v>10.5220/0014210600004084</x:v>
      </x:c>
      <x:c r="D263" s="5" t="str"/>
      <x:c r="E263" s="5" t="str">
        <x:v>proceedings-article</x:v>
      </x:c>
      <x:c r="F263" s="5" t="str">
        <x:v>S15</x:v>
      </x:c>
      <x:c r="G263" s="5" t="str">
        <x:v>Lower-priority; inspect scope</x:v>
      </x:c>
      <x:c r="H263" s="5" t="str">
        <x:v>Not assigned</x:v>
      </x:c>
      <x:c r="I263" s="5" t="str">
        <x:v>Not started</x:v>
      </x:c>
      <x:c r="J263" s="5" t="str">
        <x:v>Not assigned</x:v>
      </x:c>
      <x:c r="K263" s="5" t="str">
        <x:v>Not started</x:v>
      </x:c>
      <x:c r="L263" s="5" t="str">
        <x:v>Pending</x:v>
      </x:c>
      <x:c r="M263" s="5" t="str"/>
      <x:c r="N263" s="5" t="str">
        <x:v>Not started</x:v>
      </x:c>
      <x:c r="O263" s="5" t="str">
        <x:v>Not started</x:v>
      </x:c>
      <x:c r="P263" s="5" t="str">
        <x:v>Not started</x:v>
      </x:c>
      <x:c r="Q263" s="5" t="str">
        <x:v>Not started</x:v>
      </x:c>
      <x:c r="R263" s="5" t="str">
        <x:v>Pending</x:v>
      </x:c>
      <x:c r="S263" s="5" t="str"/>
      <x:c r="T263" s="5" t="str"/>
      <x:c r="U263" s="5" t="str"/>
      <x:c r="V263" s="5" t="str"/>
      <x:c r="W263" s="5" t="str">
        <x:v>Not linked</x:v>
      </x:c>
      <x:c r="X263" s="5" t="str">
        <x:v>Pending</x:v>
      </x:c>
      <x:c r="Y263" s="5" t="str">
        <x:f>IF(AND(L263="Pending",R263="Pending"),"Pending screening",IF(H263="Not assigned","Assign reviewer",IF(AND(L263="Exclude",M263=""),"Missing TA exclusion reason",IF(AND(R263="Exclude",S263=""),"Missing FT exclusion reason","Decision recorded"))))</x:f>
        <x:v>Pending screening</x:v>
      </x:c>
    </x:row>
    <x:row r="264" ht="40" customHeight="1">
      <x:c r="A264" s="5" t="str">
        <x:v>C0254</x:v>
      </x:c>
      <x:c r="B264" s="5" t="str">
        <x:v>Beyond Random Splits: A Temporal Robustness Benchmark for Industrial Food Anomaly Detection</x:v>
      </x:c>
      <x:c r="C264" s="5" t="str">
        <x:v>10.1109/access.2026.3691935</x:v>
      </x:c>
      <x:c r="D264" s="5" t="str"/>
      <x:c r="E264" s="5" t="str">
        <x:v>journal-article</x:v>
      </x:c>
      <x:c r="F264" s="5" t="str">
        <x:v>S15</x:v>
      </x:c>
      <x:c r="G264" s="5" t="str">
        <x:v>Title-scope candidate</x:v>
      </x:c>
      <x:c r="H264" s="5" t="str">
        <x:v>Not assigned</x:v>
      </x:c>
      <x:c r="I264" s="5" t="str">
        <x:v>Not started</x:v>
      </x:c>
      <x:c r="J264" s="5" t="str">
        <x:v>Not assigned</x:v>
      </x:c>
      <x:c r="K264" s="5" t="str">
        <x:v>Not started</x:v>
      </x:c>
      <x:c r="L264" s="5" t="str">
        <x:v>Pending</x:v>
      </x:c>
      <x:c r="M264" s="5" t="str"/>
      <x:c r="N264" s="5" t="str">
        <x:v>Not started</x:v>
      </x:c>
      <x:c r="O264" s="5" t="str">
        <x:v>Not started</x:v>
      </x:c>
      <x:c r="P264" s="5" t="str">
        <x:v>Not started</x:v>
      </x:c>
      <x:c r="Q264" s="5" t="str">
        <x:v>Not started</x:v>
      </x:c>
      <x:c r="R264" s="5" t="str">
        <x:v>Pending</x:v>
      </x:c>
      <x:c r="S264" s="5" t="str"/>
      <x:c r="T264" s="5" t="str"/>
      <x:c r="U264" s="5" t="str"/>
      <x:c r="V264" s="5" t="str"/>
      <x:c r="W264" s="5" t="str">
        <x:v>Not linked</x:v>
      </x:c>
      <x:c r="X264" s="5" t="str">
        <x:v>Pending</x:v>
      </x:c>
      <x:c r="Y264" s="5" t="str">
        <x:f>IF(AND(L264="Pending",R264="Pending"),"Pending screening",IF(H264="Not assigned","Assign reviewer",IF(AND(L264="Exclude",M264=""),"Missing TA exclusion reason",IF(AND(R264="Exclude",S264=""),"Missing FT exclusion reason","Decision recorded"))))</x:f>
        <x:v>Pending screening</x:v>
      </x:c>
    </x:row>
    <x:row r="265" ht="40" customHeight="1">
      <x:c r="A265" s="5" t="str">
        <x:v>C0255</x:v>
      </x:c>
      <x:c r="B265" s="5" t="str">
        <x:v>7  Voraus-AD dataset</x:v>
      </x:c>
      <x:c r="C265" s="5" t="str">
        <x:v>10.51202/9783186886101-82</x:v>
      </x:c>
      <x:c r="D265" s="5" t="str"/>
      <x:c r="E265" s="5" t="str">
        <x:v>book-chapter</x:v>
      </x:c>
      <x:c r="F265" s="5" t="str">
        <x:v>S15</x:v>
      </x:c>
      <x:c r="G265" s="5" t="str">
        <x:v>Lower-priority; inspect scope</x:v>
      </x:c>
      <x:c r="H265" s="5" t="str">
        <x:v>Not assigned</x:v>
      </x:c>
      <x:c r="I265" s="5" t="str">
        <x:v>Not started</x:v>
      </x:c>
      <x:c r="J265" s="5" t="str">
        <x:v>Not assigned</x:v>
      </x:c>
      <x:c r="K265" s="5" t="str">
        <x:v>Not started</x:v>
      </x:c>
      <x:c r="L265" s="5" t="str">
        <x:v>Pending</x:v>
      </x:c>
      <x:c r="M265" s="5" t="str"/>
      <x:c r="N265" s="5" t="str">
        <x:v>Not started</x:v>
      </x:c>
      <x:c r="O265" s="5" t="str">
        <x:v>Not started</x:v>
      </x:c>
      <x:c r="P265" s="5" t="str">
        <x:v>Not started</x:v>
      </x:c>
      <x:c r="Q265" s="5" t="str">
        <x:v>Not started</x:v>
      </x:c>
      <x:c r="R265" s="5" t="str">
        <x:v>Pending</x:v>
      </x:c>
      <x:c r="S265" s="5" t="str"/>
      <x:c r="T265" s="5" t="str"/>
      <x:c r="U265" s="5" t="str"/>
      <x:c r="V265" s="5" t="str"/>
      <x:c r="W265" s="5" t="str">
        <x:v>Not linked</x:v>
      </x:c>
      <x:c r="X265" s="5" t="str">
        <x:v>Pending</x:v>
      </x:c>
      <x:c r="Y265" s="5" t="str">
        <x:f>IF(AND(L265="Pending",R265="Pending"),"Pending screening",IF(H265="Not assigned","Assign reviewer",IF(AND(L265="Exclude",M265=""),"Missing TA exclusion reason",IF(AND(R265="Exclude",S265=""),"Missing FT exclusion reason","Decision recorded"))))</x:f>
        <x:v>Pending screening</x:v>
      </x:c>
    </x:row>
    <x:row r="266" ht="53" customHeight="1">
      <x:c r="A266" s="5" t="str">
        <x:v>C0256</x:v>
      </x:c>
      <x:c r="B266" s="5" t="str">
        <x:v>A Pilot-Real-Calibrated Indoor Robotic IoT Benchmark Dataset for Edge-Assisted Mobile Robot Navigation and Anomaly Detection</x:v>
      </x:c>
      <x:c r="C266" s="5" t="str">
        <x:v>10.3390/data11070165</x:v>
      </x:c>
      <x:c r="D266" s="5" t="str"/>
      <x:c r="E266" s="5" t="str">
        <x:v>journal-article</x:v>
      </x:c>
      <x:c r="F266" s="5" t="str">
        <x:v>S15</x:v>
      </x:c>
      <x:c r="G266" s="5" t="str">
        <x:v>Lower-priority; inspect scope</x:v>
      </x:c>
      <x:c r="H266" s="5" t="str">
        <x:v>Not assigned</x:v>
      </x:c>
      <x:c r="I266" s="5" t="str">
        <x:v>Not started</x:v>
      </x:c>
      <x:c r="J266" s="5" t="str">
        <x:v>Not assigned</x:v>
      </x:c>
      <x:c r="K266" s="5" t="str">
        <x:v>Not started</x:v>
      </x:c>
      <x:c r="L266" s="5" t="str">
        <x:v>Pending</x:v>
      </x:c>
      <x:c r="M266" s="5" t="str"/>
      <x:c r="N266" s="5" t="str">
        <x:v>Not started</x:v>
      </x:c>
      <x:c r="O266" s="5" t="str">
        <x:v>Not started</x:v>
      </x:c>
      <x:c r="P266" s="5" t="str">
        <x:v>Not started</x:v>
      </x:c>
      <x:c r="Q266" s="5" t="str">
        <x:v>Not started</x:v>
      </x:c>
      <x:c r="R266" s="5" t="str">
        <x:v>Pending</x:v>
      </x:c>
      <x:c r="S266" s="5" t="str"/>
      <x:c r="T266" s="5" t="str"/>
      <x:c r="U266" s="5" t="str"/>
      <x:c r="V266" s="5" t="str"/>
      <x:c r="W266" s="5" t="str">
        <x:v>Not linked</x:v>
      </x:c>
      <x:c r="X266" s="5" t="str">
        <x:v>Pending</x:v>
      </x:c>
      <x:c r="Y266" s="5" t="str">
        <x:f>IF(AND(L266="Pending",R266="Pending"),"Pending screening",IF(H266="Not assigned","Assign reviewer",IF(AND(L266="Exclude",M266=""),"Missing TA exclusion reason",IF(AND(R266="Exclude",S266=""),"Missing FT exclusion reason","Decision recorded"))))</x:f>
        <x:v>Pending screening</x:v>
      </x:c>
    </x:row>
    <x:row r="267" ht="40" customHeight="1">
      <x:c r="A267" s="5" t="str">
        <x:v>C0257</x:v>
      </x:c>
      <x:c r="B267" s="5" t="str">
        <x:v>Towards Realistic Industrial Anomaly Detection: MADE-Net Framework and ManuDefect-21 Benchmark</x:v>
      </x:c>
      <x:c r="C267" s="5" t="str">
        <x:v>10.3390/app152010885</x:v>
      </x:c>
      <x:c r="D267" s="5" t="str"/>
      <x:c r="E267" s="5" t="str">
        <x:v>journal-article</x:v>
      </x:c>
      <x:c r="F267" s="5" t="str">
        <x:v>S15</x:v>
      </x:c>
      <x:c r="G267" s="5" t="str">
        <x:v>Title-scope candidate</x:v>
      </x:c>
      <x:c r="H267" s="5" t="str">
        <x:v>Not assigned</x:v>
      </x:c>
      <x:c r="I267" s="5" t="str">
        <x:v>Not started</x:v>
      </x:c>
      <x:c r="J267" s="5" t="str">
        <x:v>Not assigned</x:v>
      </x:c>
      <x:c r="K267" s="5" t="str">
        <x:v>Not started</x:v>
      </x:c>
      <x:c r="L267" s="5" t="str">
        <x:v>Pending</x:v>
      </x:c>
      <x:c r="M267" s="5" t="str"/>
      <x:c r="N267" s="5" t="str">
        <x:v>Not started</x:v>
      </x:c>
      <x:c r="O267" s="5" t="str">
        <x:v>Not started</x:v>
      </x:c>
      <x:c r="P267" s="5" t="str">
        <x:v>Not started</x:v>
      </x:c>
      <x:c r="Q267" s="5" t="str">
        <x:v>Not started</x:v>
      </x:c>
      <x:c r="R267" s="5" t="str">
        <x:v>Pending</x:v>
      </x:c>
      <x:c r="S267" s="5" t="str"/>
      <x:c r="T267" s="5" t="str"/>
      <x:c r="U267" s="5" t="str"/>
      <x:c r="V267" s="5" t="str"/>
      <x:c r="W267" s="5" t="str">
        <x:v>Not linked</x:v>
      </x:c>
      <x:c r="X267" s="5" t="str">
        <x:v>Pending</x:v>
      </x:c>
      <x:c r="Y267" s="5" t="str">
        <x:f>IF(AND(L267="Pending",R267="Pending"),"Pending screening",IF(H267="Not assigned","Assign reviewer",IF(AND(L267="Exclude",M267=""),"Missing TA exclusion reason",IF(AND(R267="Exclude",S267=""),"Missing FT exclusion reason","Decision recorded"))))</x:f>
        <x:v>Pending screening</x:v>
      </x:c>
    </x:row>
    <x:row r="268" ht="40" customHeight="1">
      <x:c r="A268" s="5" t="str">
        <x:v>C0258</x:v>
      </x:c>
      <x:c r="B268" s="5" t="str">
        <x:v>UMAD: University of Macau Anomaly Detection Benchmark Dataset</x:v>
      </x:c>
      <x:c r="C268" s="5" t="str">
        <x:v>10.1109/iros58592.2024.10802194</x:v>
      </x:c>
      <x:c r="D268" s="5" t="str"/>
      <x:c r="E268" s="5" t="str">
        <x:v>proceedings-article</x:v>
      </x:c>
      <x:c r="F268" s="5" t="str">
        <x:v>S15</x:v>
      </x:c>
      <x:c r="G268" s="5" t="str">
        <x:v>Lower-priority; inspect scope</x:v>
      </x:c>
      <x:c r="H268" s="5" t="str">
        <x:v>Not assigned</x:v>
      </x:c>
      <x:c r="I268" s="5" t="str">
        <x:v>Not started</x:v>
      </x:c>
      <x:c r="J268" s="5" t="str">
        <x:v>Not assigned</x:v>
      </x:c>
      <x:c r="K268" s="5" t="str">
        <x:v>Not started</x:v>
      </x:c>
      <x:c r="L268" s="5" t="str">
        <x:v>Pending</x:v>
      </x:c>
      <x:c r="M268" s="5" t="str"/>
      <x:c r="N268" s="5" t="str">
        <x:v>Not started</x:v>
      </x:c>
      <x:c r="O268" s="5" t="str">
        <x:v>Not started</x:v>
      </x:c>
      <x:c r="P268" s="5" t="str">
        <x:v>Not started</x:v>
      </x:c>
      <x:c r="Q268" s="5" t="str">
        <x:v>Not started</x:v>
      </x:c>
      <x:c r="R268" s="5" t="str">
        <x:v>Pending</x:v>
      </x:c>
      <x:c r="S268" s="5" t="str"/>
      <x:c r="T268" s="5" t="str"/>
      <x:c r="U268" s="5" t="str"/>
      <x:c r="V268" s="5" t="str"/>
      <x:c r="W268" s="5" t="str">
        <x:v>Not linked</x:v>
      </x:c>
      <x:c r="X268" s="5" t="str">
        <x:v>Pending</x:v>
      </x:c>
      <x:c r="Y268" s="5" t="str">
        <x:f>IF(AND(L268="Pending",R268="Pending"),"Pending screening",IF(H268="Not assigned","Assign reviewer",IF(AND(L268="Exclude",M268=""),"Missing TA exclusion reason",IF(AND(R268="Exclude",S268=""),"Missing FT exclusion reason","Decision recorded"))))</x:f>
        <x:v>Pending screening</x:v>
      </x:c>
    </x:row>
    <x:row r="269" ht="40" customHeight="1">
      <x:c r="A269" s="5" t="str">
        <x:v>C0259</x:v>
      </x:c>
      <x:c r="B269" s="5" t="str">
        <x:v>Multi-Scenario Anomaly Detection with a Hybrid Dataset: A Benchmark and Comparative Study</x:v>
      </x:c>
      <x:c r="C269" s="5" t="str">
        <x:v>10.1109/asyu67174.2025.11208327</x:v>
      </x:c>
      <x:c r="D269" s="5" t="str"/>
      <x:c r="E269" s="5" t="str">
        <x:v>proceedings-article</x:v>
      </x:c>
      <x:c r="F269" s="5" t="str">
        <x:v>S15</x:v>
      </x:c>
      <x:c r="G269" s="5" t="str">
        <x:v>Lower-priority; inspect scope</x:v>
      </x:c>
      <x:c r="H269" s="5" t="str">
        <x:v>Not assigned</x:v>
      </x:c>
      <x:c r="I269" s="5" t="str">
        <x:v>Not started</x:v>
      </x:c>
      <x:c r="J269" s="5" t="str">
        <x:v>Not assigned</x:v>
      </x:c>
      <x:c r="K269" s="5" t="str">
        <x:v>Not started</x:v>
      </x:c>
      <x:c r="L269" s="5" t="str">
        <x:v>Pending</x:v>
      </x:c>
      <x:c r="M269" s="5" t="str"/>
      <x:c r="N269" s="5" t="str">
        <x:v>Not started</x:v>
      </x:c>
      <x:c r="O269" s="5" t="str">
        <x:v>Not started</x:v>
      </x:c>
      <x:c r="P269" s="5" t="str">
        <x:v>Not started</x:v>
      </x:c>
      <x:c r="Q269" s="5" t="str">
        <x:v>Not started</x:v>
      </x:c>
      <x:c r="R269" s="5" t="str">
        <x:v>Pending</x:v>
      </x:c>
      <x:c r="S269" s="5" t="str"/>
      <x:c r="T269" s="5" t="str"/>
      <x:c r="U269" s="5" t="str"/>
      <x:c r="V269" s="5" t="str"/>
      <x:c r="W269" s="5" t="str">
        <x:v>Not linked</x:v>
      </x:c>
      <x:c r="X269" s="5" t="str">
        <x:v>Pending</x:v>
      </x:c>
      <x:c r="Y269" s="5" t="str">
        <x:f>IF(AND(L269="Pending",R269="Pending"),"Pending screening",IF(H269="Not assigned","Assign reviewer",IF(AND(L269="Exclude",M269=""),"Missing TA exclusion reason",IF(AND(R269="Exclude",S269=""),"Missing FT exclusion reason","Decision recorded"))))</x:f>
        <x:v>Pending screening</x:v>
      </x:c>
    </x:row>
    <x:row r="270" ht="40" customHeight="1">
      <x:c r="A270" s="5" t="str">
        <x:v>C0260</x:v>
      </x:c>
      <x:c r="B270" s="5" t="str">
        <x:v>RGB Ensemble Strategies for Unsupervised Industrial Anomaly Detection on the AutoVI Dataset</x:v>
      </x:c>
      <x:c r="C270" s="5" t="str">
        <x:v>10.2139/ssrn.6301399</x:v>
      </x:c>
      <x:c r="D270" s="5" t="str"/>
      <x:c r="E270" s="5" t="str">
        <x:v>posted-content</x:v>
      </x:c>
      <x:c r="F270" s="5" t="str">
        <x:v>S15</x:v>
      </x:c>
      <x:c r="G270" s="5" t="str">
        <x:v>Title-scope candidate</x:v>
      </x:c>
      <x:c r="H270" s="5" t="str">
        <x:v>Not assigned</x:v>
      </x:c>
      <x:c r="I270" s="5" t="str">
        <x:v>Not started</x:v>
      </x:c>
      <x:c r="J270" s="5" t="str">
        <x:v>Not assigned</x:v>
      </x:c>
      <x:c r="K270" s="5" t="str">
        <x:v>Not started</x:v>
      </x:c>
      <x:c r="L270" s="5" t="str">
        <x:v>Pending</x:v>
      </x:c>
      <x:c r="M270" s="5" t="str"/>
      <x:c r="N270" s="5" t="str">
        <x:v>Not started</x:v>
      </x:c>
      <x:c r="O270" s="5" t="str">
        <x:v>Not started</x:v>
      </x:c>
      <x:c r="P270" s="5" t="str">
        <x:v>Not started</x:v>
      </x:c>
      <x:c r="Q270" s="5" t="str">
        <x:v>Not started</x:v>
      </x:c>
      <x:c r="R270" s="5" t="str">
        <x:v>Pending</x:v>
      </x:c>
      <x:c r="S270" s="5" t="str"/>
      <x:c r="T270" s="5" t="str"/>
      <x:c r="U270" s="5" t="str"/>
      <x:c r="V270" s="5" t="str"/>
      <x:c r="W270" s="5" t="str">
        <x:v>Not linked</x:v>
      </x:c>
      <x:c r="X270" s="5" t="str">
        <x:v>Pending</x:v>
      </x:c>
      <x:c r="Y270" s="5" t="str">
        <x:f>IF(AND(L270="Pending",R270="Pending"),"Pending screening",IF(H270="Not assigned","Assign reviewer",IF(AND(L270="Exclude",M270=""),"Missing TA exclusion reason",IF(AND(R270="Exclude",S270=""),"Missing FT exclusion reason","Decision recorded"))))</x:f>
        <x:v>Pending screening</x:v>
      </x:c>
    </x:row>
    <x:row r="271" ht="40" customHeight="1">
      <x:c r="A271" s="5" t="str">
        <x:v>C0261</x:v>
      </x:c>
      <x:c r="B271" s="5" t="str">
        <x:v>Who Watches the Watchers: A Multi-Task Benchmark for Anomaly Detection</x:v>
      </x:c>
      <x:c r="C271" s="5" t="str">
        <x:v>10.5220/0010915000003120</x:v>
      </x:c>
      <x:c r="D271" s="5" t="str"/>
      <x:c r="E271" s="5" t="str">
        <x:v>proceedings-article</x:v>
      </x:c>
      <x:c r="F271" s="5" t="str">
        <x:v>S15</x:v>
      </x:c>
      <x:c r="G271" s="5" t="str">
        <x:v>Lower-priority; inspect scope</x:v>
      </x:c>
      <x:c r="H271" s="5" t="str">
        <x:v>Not assigned</x:v>
      </x:c>
      <x:c r="I271" s="5" t="str">
        <x:v>Not started</x:v>
      </x:c>
      <x:c r="J271" s="5" t="str">
        <x:v>Not assigned</x:v>
      </x:c>
      <x:c r="K271" s="5" t="str">
        <x:v>Not started</x:v>
      </x:c>
      <x:c r="L271" s="5" t="str">
        <x:v>Pending</x:v>
      </x:c>
      <x:c r="M271" s="5" t="str"/>
      <x:c r="N271" s="5" t="str">
        <x:v>Not started</x:v>
      </x:c>
      <x:c r="O271" s="5" t="str">
        <x:v>Not started</x:v>
      </x:c>
      <x:c r="P271" s="5" t="str">
        <x:v>Not started</x:v>
      </x:c>
      <x:c r="Q271" s="5" t="str">
        <x:v>Not started</x:v>
      </x:c>
      <x:c r="R271" s="5" t="str">
        <x:v>Pending</x:v>
      </x:c>
      <x:c r="S271" s="5" t="str"/>
      <x:c r="T271" s="5" t="str"/>
      <x:c r="U271" s="5" t="str"/>
      <x:c r="V271" s="5" t="str"/>
      <x:c r="W271" s="5" t="str">
        <x:v>Not linked</x:v>
      </x:c>
      <x:c r="X271" s="5" t="str">
        <x:v>Pending</x:v>
      </x:c>
      <x:c r="Y271" s="5" t="str">
        <x:f>IF(AND(L271="Pending",R271="Pending"),"Pending screening",IF(H271="Not assigned","Assign reviewer",IF(AND(L271="Exclude",M271=""),"Missing TA exclusion reason",IF(AND(R271="Exclude",S271=""),"Missing FT exclusion reason","Decision recorded"))))</x:f>
        <x:v>Pending screening</x:v>
      </x:c>
    </x:row>
    <x:row r="272" ht="40" customHeight="1">
      <x:c r="A272" s="5" t="str">
        <x:v>C0262</x:v>
      </x:c>
      <x:c r="B272" s="5" t="str">
        <x:v>PAD: A Dataset and Benchmark for Pose-agnostic Anomaly Detection</x:v>
      </x:c>
      <x:c r="C272" s="5" t="str">
        <x:v>10.52202/075280-1930</x:v>
      </x:c>
      <x:c r="D272" s="5" t="str"/>
      <x:c r="E272" s="5" t="str">
        <x:v>proceedings-article</x:v>
      </x:c>
      <x:c r="F272" s="5" t="str">
        <x:v>S15</x:v>
      </x:c>
      <x:c r="G272" s="5" t="str">
        <x:v>Lower-priority; inspect scope</x:v>
      </x:c>
      <x:c r="H272" s="5" t="str">
        <x:v>Not assigned</x:v>
      </x:c>
      <x:c r="I272" s="5" t="str">
        <x:v>Not started</x:v>
      </x:c>
      <x:c r="J272" s="5" t="str">
        <x:v>Not assigned</x:v>
      </x:c>
      <x:c r="K272" s="5" t="str">
        <x:v>Not started</x:v>
      </x:c>
      <x:c r="L272" s="5" t="str">
        <x:v>Pending</x:v>
      </x:c>
      <x:c r="M272" s="5" t="str"/>
      <x:c r="N272" s="5" t="str">
        <x:v>Not started</x:v>
      </x:c>
      <x:c r="O272" s="5" t="str">
        <x:v>Not started</x:v>
      </x:c>
      <x:c r="P272" s="5" t="str">
        <x:v>Not started</x:v>
      </x:c>
      <x:c r="Q272" s="5" t="str">
        <x:v>Not started</x:v>
      </x:c>
      <x:c r="R272" s="5" t="str">
        <x:v>Pending</x:v>
      </x:c>
      <x:c r="S272" s="5" t="str"/>
      <x:c r="T272" s="5" t="str"/>
      <x:c r="U272" s="5" t="str"/>
      <x:c r="V272" s="5" t="str"/>
      <x:c r="W272" s="5" t="str">
        <x:v>Not linked</x:v>
      </x:c>
      <x:c r="X272" s="5" t="str">
        <x:v>Pending</x:v>
      </x:c>
      <x:c r="Y272" s="5" t="str">
        <x:f>IF(AND(L272="Pending",R272="Pending"),"Pending screening",IF(H272="Not assigned","Assign reviewer",IF(AND(L272="Exclude",M272=""),"Missing TA exclusion reason",IF(AND(R272="Exclude",S272=""),"Missing FT exclusion reason","Decision recorded"))))</x:f>
        <x:v>Pending screening</x:v>
      </x:c>
    </x:row>
    <x:row r="273" ht="40" customHeight="1">
      <x:c r="A273" s="5" t="str">
        <x:v>C0263</x:v>
      </x:c>
      <x:c r="B273" s="5" t="str">
        <x:v>ADBench: Anomaly Detection Benchmark</x:v>
      </x:c>
      <x:c r="C273" s="5" t="str">
        <x:v>10.2139/ssrn.4266498</x:v>
      </x:c>
      <x:c r="D273" s="5" t="str"/>
      <x:c r="E273" s="5" t="str">
        <x:v>posted-content</x:v>
      </x:c>
      <x:c r="F273" s="5" t="str">
        <x:v>S15</x:v>
      </x:c>
      <x:c r="G273" s="5" t="str">
        <x:v>Lower-priority; inspect scope</x:v>
      </x:c>
      <x:c r="H273" s="5" t="str">
        <x:v>Not assigned</x:v>
      </x:c>
      <x:c r="I273" s="5" t="str">
        <x:v>Not started</x:v>
      </x:c>
      <x:c r="J273" s="5" t="str">
        <x:v>Not assigned</x:v>
      </x:c>
      <x:c r="K273" s="5" t="str">
        <x:v>Not started</x:v>
      </x:c>
      <x:c r="L273" s="5" t="str">
        <x:v>Pending</x:v>
      </x:c>
      <x:c r="M273" s="5" t="str"/>
      <x:c r="N273" s="5" t="str">
        <x:v>Not started</x:v>
      </x:c>
      <x:c r="O273" s="5" t="str">
        <x:v>Not started</x:v>
      </x:c>
      <x:c r="P273" s="5" t="str">
        <x:v>Not started</x:v>
      </x:c>
      <x:c r="Q273" s="5" t="str">
        <x:v>Not started</x:v>
      </x:c>
      <x:c r="R273" s="5" t="str">
        <x:v>Pending</x:v>
      </x:c>
      <x:c r="S273" s="5" t="str"/>
      <x:c r="T273" s="5" t="str"/>
      <x:c r="U273" s="5" t="str"/>
      <x:c r="V273" s="5" t="str"/>
      <x:c r="W273" s="5" t="str">
        <x:v>Not linked</x:v>
      </x:c>
      <x:c r="X273" s="5" t="str">
        <x:v>Pending</x:v>
      </x:c>
      <x:c r="Y273" s="5" t="str">
        <x:f>IF(AND(L273="Pending",R273="Pending"),"Pending screening",IF(H273="Not assigned","Assign reviewer",IF(AND(L273="Exclude",M273=""),"Missing TA exclusion reason",IF(AND(R273="Exclude",S273=""),"Missing FT exclusion reason","Decision recorded"))))</x:f>
        <x:v>Pending screening</x:v>
      </x:c>
    </x:row>
    <x:row r="274" ht="40" customHeight="1">
      <x:c r="A274" s="5" t="str">
        <x:v>C0264</x:v>
      </x:c>
      <x:c r="B274" s="5" t="str">
        <x:v>RGB Ensemble Strategies for Unsupervised Industrial Anomaly Detection on the AutoVI Dataset</x:v>
      </x:c>
      <x:c r="C274" s="5" t="str">
        <x:v>10.20944/preprints202604.1743.v1</x:v>
      </x:c>
      <x:c r="D274" s="5" t="str"/>
      <x:c r="E274" s="5" t="str">
        <x:v>posted-content</x:v>
      </x:c>
      <x:c r="F274" s="5" t="str">
        <x:v>S15</x:v>
      </x:c>
      <x:c r="G274" s="5" t="str">
        <x:v>Title-scope candidate</x:v>
      </x:c>
      <x:c r="H274" s="5" t="str">
        <x:v>Not assigned</x:v>
      </x:c>
      <x:c r="I274" s="5" t="str">
        <x:v>Not started</x:v>
      </x:c>
      <x:c r="J274" s="5" t="str">
        <x:v>Not assigned</x:v>
      </x:c>
      <x:c r="K274" s="5" t="str">
        <x:v>Not started</x:v>
      </x:c>
      <x:c r="L274" s="5" t="str">
        <x:v>Pending</x:v>
      </x:c>
      <x:c r="M274" s="5" t="str"/>
      <x:c r="N274" s="5" t="str">
        <x:v>Not started</x:v>
      </x:c>
      <x:c r="O274" s="5" t="str">
        <x:v>Not started</x:v>
      </x:c>
      <x:c r="P274" s="5" t="str">
        <x:v>Not started</x:v>
      </x:c>
      <x:c r="Q274" s="5" t="str">
        <x:v>Not started</x:v>
      </x:c>
      <x:c r="R274" s="5" t="str">
        <x:v>Pending</x:v>
      </x:c>
      <x:c r="S274" s="5" t="str"/>
      <x:c r="T274" s="5" t="str"/>
      <x:c r="U274" s="5" t="str"/>
      <x:c r="V274" s="5" t="str"/>
      <x:c r="W274" s="5" t="str">
        <x:v>Not linked</x:v>
      </x:c>
      <x:c r="X274" s="5" t="str">
        <x:v>Pending</x:v>
      </x:c>
      <x:c r="Y274" s="5" t="str">
        <x:f>IF(AND(L274="Pending",R274="Pending"),"Pending screening",IF(H274="Not assigned","Assign reviewer",IF(AND(L274="Exclude",M274=""),"Missing TA exclusion reason",IF(AND(R274="Exclude",S274=""),"Missing FT exclusion reason","Decision recorded"))))</x:f>
        <x:v>Pending screening</x:v>
      </x:c>
    </x:row>
    <x:row r="275" ht="40" customHeight="1">
      <x:c r="A275" s="5" t="str">
        <x:v>C0265</x:v>
      </x:c>
      <x:c r="B275" s="5" t="str">
        <x:v>Revisiting Streaming Anomaly Detection: Benchmark and Evaluation</x:v>
      </x:c>
      <x:c r="C275" s="5" t="str">
        <x:v>10.36227/techrxiv.170768490.03836281/v1</x:v>
      </x:c>
      <x:c r="D275" s="5" t="str"/>
      <x:c r="E275" s="5" t="str">
        <x:v>posted-content</x:v>
      </x:c>
      <x:c r="F275" s="5" t="str">
        <x:v>S15</x:v>
      </x:c>
      <x:c r="G275" s="5" t="str">
        <x:v>Lower-priority; inspect scope</x:v>
      </x:c>
      <x:c r="H275" s="5" t="str">
        <x:v>Not assigned</x:v>
      </x:c>
      <x:c r="I275" s="5" t="str">
        <x:v>Not started</x:v>
      </x:c>
      <x:c r="J275" s="5" t="str">
        <x:v>Not assigned</x:v>
      </x:c>
      <x:c r="K275" s="5" t="str">
        <x:v>Not started</x:v>
      </x:c>
      <x:c r="L275" s="5" t="str">
        <x:v>Pending</x:v>
      </x:c>
      <x:c r="M275" s="5" t="str"/>
      <x:c r="N275" s="5" t="str">
        <x:v>Not started</x:v>
      </x:c>
      <x:c r="O275" s="5" t="str">
        <x:v>Not started</x:v>
      </x:c>
      <x:c r="P275" s="5" t="str">
        <x:v>Not started</x:v>
      </x:c>
      <x:c r="Q275" s="5" t="str">
        <x:v>Not started</x:v>
      </x:c>
      <x:c r="R275" s="5" t="str">
        <x:v>Pending</x:v>
      </x:c>
      <x:c r="S275" s="5" t="str"/>
      <x:c r="T275" s="5" t="str"/>
      <x:c r="U275" s="5" t="str"/>
      <x:c r="V275" s="5" t="str"/>
      <x:c r="W275" s="5" t="str">
        <x:v>Not linked</x:v>
      </x:c>
      <x:c r="X275" s="5" t="str">
        <x:v>Pending</x:v>
      </x:c>
      <x:c r="Y275" s="5" t="str">
        <x:f>IF(AND(L275="Pending",R275="Pending"),"Pending screening",IF(H275="Not assigned","Assign reviewer",IF(AND(L275="Exclude",M275=""),"Missing TA exclusion reason",IF(AND(R275="Exclude",S275=""),"Missing FT exclusion reason","Decision recorded"))))</x:f>
        <x:v>Pending screening</x:v>
      </x:c>
    </x:row>
    <x:row r="276" ht="53" customHeight="1">
      <x:c r="A276" s="5" t="str">
        <x:v>C0266</x:v>
      </x:c>
      <x:c r="B276" s="5" t="str">
        <x:v>Lightweight Adaptive Multi-Scale Industrial Anomaly Detection under View and Illumination Distribution Shifts: A Study on the AeBAD-S Dataset</x:v>
      </x:c>
      <x:c r="C276" s="5" t="str">
        <x:v>10.2139/ssrn.7536676</x:v>
      </x:c>
      <x:c r="D276" s="5" t="str"/>
      <x:c r="E276" s="5" t="str">
        <x:v>posted-content</x:v>
      </x:c>
      <x:c r="F276" s="5" t="str">
        <x:v>S15</x:v>
      </x:c>
      <x:c r="G276" s="5" t="str">
        <x:v>Title-scope candidate</x:v>
      </x:c>
      <x:c r="H276" s="5" t="str">
        <x:v>Not assigned</x:v>
      </x:c>
      <x:c r="I276" s="5" t="str">
        <x:v>Not started</x:v>
      </x:c>
      <x:c r="J276" s="5" t="str">
        <x:v>Not assigned</x:v>
      </x:c>
      <x:c r="K276" s="5" t="str">
        <x:v>Not started</x:v>
      </x:c>
      <x:c r="L276" s="5" t="str">
        <x:v>Pending</x:v>
      </x:c>
      <x:c r="M276" s="5" t="str"/>
      <x:c r="N276" s="5" t="str">
        <x:v>Not started</x:v>
      </x:c>
      <x:c r="O276" s="5" t="str">
        <x:v>Not started</x:v>
      </x:c>
      <x:c r="P276" s="5" t="str">
        <x:v>Not started</x:v>
      </x:c>
      <x:c r="Q276" s="5" t="str">
        <x:v>Not started</x:v>
      </x:c>
      <x:c r="R276" s="5" t="str">
        <x:v>Pending</x:v>
      </x:c>
      <x:c r="S276" s="5" t="str"/>
      <x:c r="T276" s="5" t="str"/>
      <x:c r="U276" s="5" t="str"/>
      <x:c r="V276" s="5" t="str"/>
      <x:c r="W276" s="5" t="str">
        <x:v>Not linked</x:v>
      </x:c>
      <x:c r="X276" s="5" t="str">
        <x:v>Pending</x:v>
      </x:c>
      <x:c r="Y276" s="5" t="str">
        <x:f>IF(AND(L276="Pending",R276="Pending"),"Pending screening",IF(H276="Not assigned","Assign reviewer",IF(AND(L276="Exclude",M276=""),"Missing TA exclusion reason",IF(AND(R276="Exclude",S276=""),"Missing FT exclusion reason","Decision recorded"))))</x:f>
        <x:v>Pending screening</x:v>
      </x:c>
    </x:row>
    <x:row r="277" ht="40" customHeight="1">
      <x:c r="A277" s="5" t="str">
        <x:v>C0267</x:v>
      </x:c>
      <x:c r="B277" s="5" t="str">
        <x:v>Generative AI-Driven Robustness Enhancement for Industrial Anomaly Detection in Complex Lighting Scenarios</x:v>
      </x:c>
      <x:c r="C277" s="5" t="str">
        <x:v>10.1145/3813723.3813742</x:v>
      </x:c>
      <x:c r="D277" s="5" t="str"/>
      <x:c r="E277" s="5" t="str">
        <x:v>proceedings-article</x:v>
      </x:c>
      <x:c r="F277" s="5" t="str">
        <x:v>S15</x:v>
      </x:c>
      <x:c r="G277" s="5" t="str">
        <x:v>Title-scope candidate</x:v>
      </x:c>
      <x:c r="H277" s="5" t="str">
        <x:v>Not assigned</x:v>
      </x:c>
      <x:c r="I277" s="5" t="str">
        <x:v>Not started</x:v>
      </x:c>
      <x:c r="J277" s="5" t="str">
        <x:v>Not assigned</x:v>
      </x:c>
      <x:c r="K277" s="5" t="str">
        <x:v>Not started</x:v>
      </x:c>
      <x:c r="L277" s="5" t="str">
        <x:v>Pending</x:v>
      </x:c>
      <x:c r="M277" s="5" t="str"/>
      <x:c r="N277" s="5" t="str">
        <x:v>Not started</x:v>
      </x:c>
      <x:c r="O277" s="5" t="str">
        <x:v>Not started</x:v>
      </x:c>
      <x:c r="P277" s="5" t="str">
        <x:v>Not started</x:v>
      </x:c>
      <x:c r="Q277" s="5" t="str">
        <x:v>Not started</x:v>
      </x:c>
      <x:c r="R277" s="5" t="str">
        <x:v>Pending</x:v>
      </x:c>
      <x:c r="S277" s="5" t="str"/>
      <x:c r="T277" s="5" t="str"/>
      <x:c r="U277" s="5" t="str"/>
      <x:c r="V277" s="5" t="str"/>
      <x:c r="W277" s="5" t="str">
        <x:v>Not linked</x:v>
      </x:c>
      <x:c r="X277" s="5" t="str">
        <x:v>Pending</x:v>
      </x:c>
      <x:c r="Y277" s="5" t="str">
        <x:f>IF(AND(L277="Pending",R277="Pending"),"Pending screening",IF(H277="Not assigned","Assign reviewer",IF(AND(L277="Exclude",M277=""),"Missing TA exclusion reason",IF(AND(R277="Exclude",S277=""),"Missing FT exclusion reason","Decision recorded"))))</x:f>
        <x:v>Pending screening</x:v>
      </x:c>
    </x:row>
    <x:row r="278" ht="40" customHeight="1">
      <x:c r="A278" s="5" t="str">
        <x:v>C0268</x:v>
      </x:c>
      <x:c r="B278" s="5" t="str">
        <x:v>Anomaly Detection Dataset for Industrial Control Systems</x:v>
      </x:c>
      <x:c r="C278" s="5" t="str">
        <x:v>10.1109/access.2023.3320928</x:v>
      </x:c>
      <x:c r="D278" s="5" t="str"/>
      <x:c r="E278" s="5" t="str">
        <x:v>journal-article</x:v>
      </x:c>
      <x:c r="F278" s="5" t="str">
        <x:v>S15</x:v>
      </x:c>
      <x:c r="G278" s="5" t="str">
        <x:v>Title-scope candidate</x:v>
      </x:c>
      <x:c r="H278" s="5" t="str">
        <x:v>Not assigned</x:v>
      </x:c>
      <x:c r="I278" s="5" t="str">
        <x:v>Not started</x:v>
      </x:c>
      <x:c r="J278" s="5" t="str">
        <x:v>Not assigned</x:v>
      </x:c>
      <x:c r="K278" s="5" t="str">
        <x:v>Not started</x:v>
      </x:c>
      <x:c r="L278" s="5" t="str">
        <x:v>Pending</x:v>
      </x:c>
      <x:c r="M278" s="5" t="str"/>
      <x:c r="N278" s="5" t="str">
        <x:v>Not started</x:v>
      </x:c>
      <x:c r="O278" s="5" t="str">
        <x:v>Not started</x:v>
      </x:c>
      <x:c r="P278" s="5" t="str">
        <x:v>Not started</x:v>
      </x:c>
      <x:c r="Q278" s="5" t="str">
        <x:v>Not started</x:v>
      </x:c>
      <x:c r="R278" s="5" t="str">
        <x:v>Pending</x:v>
      </x:c>
      <x:c r="S278" s="5" t="str"/>
      <x:c r="T278" s="5" t="str"/>
      <x:c r="U278" s="5" t="str"/>
      <x:c r="V278" s="5" t="str"/>
      <x:c r="W278" s="5" t="str">
        <x:v>Not linked</x:v>
      </x:c>
      <x:c r="X278" s="5" t="str">
        <x:v>Pending</x:v>
      </x:c>
      <x:c r="Y278" s="5" t="str">
        <x:f>IF(AND(L278="Pending",R278="Pending"),"Pending screening",IF(H278="Not assigned","Assign reviewer",IF(AND(L278="Exclude",M278=""),"Missing TA exclusion reason",IF(AND(R278="Exclude",S278=""),"Missing FT exclusion reason","Decision recorded"))))</x:f>
        <x:v>Pending screening</x:v>
      </x:c>
    </x:row>
    <x:row r="279" ht="40" customHeight="1">
      <x:c r="A279" s="5" t="str">
        <x:v>C0269</x:v>
      </x:c>
      <x:c r="B279" s="5" t="str">
        <x:v>Anomaly Detection in Generic Satellite Acquisition Data Using TadGAN</x:v>
      </x:c>
      <x:c r="C279" s="5" t="str">
        <x:v>10.12792/icisip2024.024</x:v>
      </x:c>
      <x:c r="D279" s="5" t="str"/>
      <x:c r="E279" s="5" t="str">
        <x:v>proceedings-article</x:v>
      </x:c>
      <x:c r="F279" s="5" t="str">
        <x:v>S15</x:v>
      </x:c>
      <x:c r="G279" s="5" t="str">
        <x:v>Lower-priority; inspect scope</x:v>
      </x:c>
      <x:c r="H279" s="5" t="str">
        <x:v>Not assigned</x:v>
      </x:c>
      <x:c r="I279" s="5" t="str">
        <x:v>Not started</x:v>
      </x:c>
      <x:c r="J279" s="5" t="str">
        <x:v>Not assigned</x:v>
      </x:c>
      <x:c r="K279" s="5" t="str">
        <x:v>Not started</x:v>
      </x:c>
      <x:c r="L279" s="5" t="str">
        <x:v>Pending</x:v>
      </x:c>
      <x:c r="M279" s="5" t="str"/>
      <x:c r="N279" s="5" t="str">
        <x:v>Not started</x:v>
      </x:c>
      <x:c r="O279" s="5" t="str">
        <x:v>Not started</x:v>
      </x:c>
      <x:c r="P279" s="5" t="str">
        <x:v>Not started</x:v>
      </x:c>
      <x:c r="Q279" s="5" t="str">
        <x:v>Not started</x:v>
      </x:c>
      <x:c r="R279" s="5" t="str">
        <x:v>Pending</x:v>
      </x:c>
      <x:c r="S279" s="5" t="str"/>
      <x:c r="T279" s="5" t="str"/>
      <x:c r="U279" s="5" t="str"/>
      <x:c r="V279" s="5" t="str"/>
      <x:c r="W279" s="5" t="str">
        <x:v>Not linked</x:v>
      </x:c>
      <x:c r="X279" s="5" t="str">
        <x:v>Pending</x:v>
      </x:c>
      <x:c r="Y279" s="5" t="str">
        <x:f>IF(AND(L279="Pending",R279="Pending"),"Pending screening",IF(H279="Not assigned","Assign reviewer",IF(AND(L279="Exclude",M279=""),"Missing TA exclusion reason",IF(AND(R279="Exclude",S279=""),"Missing FT exclusion reason","Decision recorded"))))</x:f>
        <x:v>Pending screening</x:v>
      </x:c>
    </x:row>
    <x:row r="280" ht="40" customHeight="1">
      <x:c r="A280" s="5" t="str">
        <x:v>C0270</x:v>
      </x:c>
      <x:c r="B280" s="5" t="str">
        <x:v>Anomaly Detection in Urban Lighting Systems Using Autoencoder and Transformer Algorithms</x:v>
      </x:c>
      <x:c r="C280" s="5" t="str">
        <x:v>10.21203/rs.3.rs-4827894/v1</x:v>
      </x:c>
      <x:c r="D280" s="5" t="str"/>
      <x:c r="E280" s="5" t="str">
        <x:v>posted-content</x:v>
      </x:c>
      <x:c r="F280" s="5" t="str">
        <x:v>S15</x:v>
      </x:c>
      <x:c r="G280" s="5" t="str">
        <x:v>Lower-priority; inspect scope</x:v>
      </x:c>
      <x:c r="H280" s="5" t="str">
        <x:v>Not assigned</x:v>
      </x:c>
      <x:c r="I280" s="5" t="str">
        <x:v>Not started</x:v>
      </x:c>
      <x:c r="J280" s="5" t="str">
        <x:v>Not assigned</x:v>
      </x:c>
      <x:c r="K280" s="5" t="str">
        <x:v>Not started</x:v>
      </x:c>
      <x:c r="L280" s="5" t="str">
        <x:v>Pending</x:v>
      </x:c>
      <x:c r="M280" s="5" t="str"/>
      <x:c r="N280" s="5" t="str">
        <x:v>Not started</x:v>
      </x:c>
      <x:c r="O280" s="5" t="str">
        <x:v>Not started</x:v>
      </x:c>
      <x:c r="P280" s="5" t="str">
        <x:v>Not started</x:v>
      </x:c>
      <x:c r="Q280" s="5" t="str">
        <x:v>Not started</x:v>
      </x:c>
      <x:c r="R280" s="5" t="str">
        <x:v>Pending</x:v>
      </x:c>
      <x:c r="S280" s="5" t="str"/>
      <x:c r="T280" s="5" t="str"/>
      <x:c r="U280" s="5" t="str"/>
      <x:c r="V280" s="5" t="str"/>
      <x:c r="W280" s="5" t="str">
        <x:v>Not linked</x:v>
      </x:c>
      <x:c r="X280" s="5" t="str">
        <x:v>Pending</x:v>
      </x:c>
      <x:c r="Y280" s="5" t="str">
        <x:f>IF(AND(L280="Pending",R280="Pending"),"Pending screening",IF(H280="Not assigned","Assign reviewer",IF(AND(L280="Exclude",M280=""),"Missing TA exclusion reason",IF(AND(R280="Exclude",S280=""),"Missing FT exclusion reason","Decision recorded"))))</x:f>
        <x:v>Pending screening</x:v>
      </x:c>
    </x:row>
    <x:row r="281" ht="40" customHeight="1">
      <x:c r="A281" s="5" t="str">
        <x:v>C0271</x:v>
      </x:c>
      <x:c r="B281" s="5" t="str">
        <x:v>The BRE-IDMP dataset: a new benchmark for the validation of illuminance prediction techniques</x:v>
      </x:c>
      <x:c r="C281" s="5" t="str">
        <x:v>10.1177/136578280103300209</x:v>
      </x:c>
      <x:c r="D281" s="5" t="str"/>
      <x:c r="E281" s="5" t="str">
        <x:v>journal-article</x:v>
      </x:c>
      <x:c r="F281" s="5" t="str">
        <x:v>S15</x:v>
      </x:c>
      <x:c r="G281" s="5" t="str">
        <x:v>Lower-priority; inspect scope</x:v>
      </x:c>
      <x:c r="H281" s="5" t="str">
        <x:v>Not assigned</x:v>
      </x:c>
      <x:c r="I281" s="5" t="str">
        <x:v>Not started</x:v>
      </x:c>
      <x:c r="J281" s="5" t="str">
        <x:v>Not assigned</x:v>
      </x:c>
      <x:c r="K281" s="5" t="str">
        <x:v>Not started</x:v>
      </x:c>
      <x:c r="L281" s="5" t="str">
        <x:v>Pending</x:v>
      </x:c>
      <x:c r="M281" s="5" t="str"/>
      <x:c r="N281" s="5" t="str">
        <x:v>Not started</x:v>
      </x:c>
      <x:c r="O281" s="5" t="str">
        <x:v>Not started</x:v>
      </x:c>
      <x:c r="P281" s="5" t="str">
        <x:v>Not started</x:v>
      </x:c>
      <x:c r="Q281" s="5" t="str">
        <x:v>Not started</x:v>
      </x:c>
      <x:c r="R281" s="5" t="str">
        <x:v>Pending</x:v>
      </x:c>
      <x:c r="S281" s="5" t="str"/>
      <x:c r="T281" s="5" t="str"/>
      <x:c r="U281" s="5" t="str"/>
      <x:c r="V281" s="5" t="str"/>
      <x:c r="W281" s="5" t="str">
        <x:v>Not linked</x:v>
      </x:c>
      <x:c r="X281" s="5" t="str">
        <x:v>Pending</x:v>
      </x:c>
      <x:c r="Y281" s="5" t="str">
        <x:f>IF(AND(L281="Pending",R281="Pending"),"Pending screening",IF(H281="Not assigned","Assign reviewer",IF(AND(L281="Exclude",M281=""),"Missing TA exclusion reason",IF(AND(R281="Exclude",S281=""),"Missing FT exclusion reason","Decision recorded"))))</x:f>
        <x:v>Pending screening</x:v>
      </x:c>
    </x:row>
    <x:row r="282" ht="40" customHeight="1">
      <x:c r="A282" s="5" t="str">
        <x:v>C0272</x:v>
      </x:c>
      <x:c r="B282" s="5" t="str">
        <x:v>A Large-Scale Benchmark Dataset for Anomaly Detection and Rare Event Classification for Audio Forensics</x:v>
      </x:c>
      <x:c r="C282" s="5" t="str">
        <x:v>10.1109/access.2022.3166602</x:v>
      </x:c>
      <x:c r="D282" s="5" t="str"/>
      <x:c r="E282" s="5" t="str">
        <x:v>journal-article</x:v>
      </x:c>
      <x:c r="F282" s="5" t="str">
        <x:v>S15</x:v>
      </x:c>
      <x:c r="G282" s="5" t="str">
        <x:v>Lower-priority; inspect scope</x:v>
      </x:c>
      <x:c r="H282" s="5" t="str">
        <x:v>Not assigned</x:v>
      </x:c>
      <x:c r="I282" s="5" t="str">
        <x:v>Not started</x:v>
      </x:c>
      <x:c r="J282" s="5" t="str">
        <x:v>Not assigned</x:v>
      </x:c>
      <x:c r="K282" s="5" t="str">
        <x:v>Not started</x:v>
      </x:c>
      <x:c r="L282" s="5" t="str">
        <x:v>Pending</x:v>
      </x:c>
      <x:c r="M282" s="5" t="str"/>
      <x:c r="N282" s="5" t="str">
        <x:v>Not started</x:v>
      </x:c>
      <x:c r="O282" s="5" t="str">
        <x:v>Not started</x:v>
      </x:c>
      <x:c r="P282" s="5" t="str">
        <x:v>Not started</x:v>
      </x:c>
      <x:c r="Q282" s="5" t="str">
        <x:v>Not started</x:v>
      </x:c>
      <x:c r="R282" s="5" t="str">
        <x:v>Pending</x:v>
      </x:c>
      <x:c r="S282" s="5" t="str"/>
      <x:c r="T282" s="5" t="str"/>
      <x:c r="U282" s="5" t="str"/>
      <x:c r="V282" s="5" t="str"/>
      <x:c r="W282" s="5" t="str">
        <x:v>Not linked</x:v>
      </x:c>
      <x:c r="X282" s="5" t="str">
        <x:v>Pending</x:v>
      </x:c>
      <x:c r="Y282" s="5" t="str">
        <x:f>IF(AND(L282="Pending",R282="Pending"),"Pending screening",IF(H282="Not assigned","Assign reviewer",IF(AND(L282="Exclude",M282=""),"Missing TA exclusion reason",IF(AND(R282="Exclude",S282=""),"Missing FT exclusion reason","Decision recorded"))))</x:f>
        <x:v>Pending screening</x:v>
      </x:c>
    </x:row>
    <x:row r="283" ht="53" customHeight="1">
      <x:c r="A283" s="5" t="str">
        <x:v>C0273</x:v>
      </x:c>
      <x:c r="B283" s="5" t="str">
        <x:v>A High-Fidelity Multi-Model Benchmark Dataset for General Aviation Anomaly Detection Generated via Physics-Based Fault Injection</x:v>
      </x:c>
      <x:c r="C283" s="5" t="str">
        <x:v>10.1038/s41597-026-07733-y</x:v>
      </x:c>
      <x:c r="D283" s="5" t="str"/>
      <x:c r="E283" s="5" t="str">
        <x:v>journal-article</x:v>
      </x:c>
      <x:c r="F283" s="5" t="str">
        <x:v>S15</x:v>
      </x:c>
      <x:c r="G283" s="5" t="str">
        <x:v>Lower-priority; inspect scope</x:v>
      </x:c>
      <x:c r="H283" s="5" t="str">
        <x:v>Not assigned</x:v>
      </x:c>
      <x:c r="I283" s="5" t="str">
        <x:v>Not started</x:v>
      </x:c>
      <x:c r="J283" s="5" t="str">
        <x:v>Not assigned</x:v>
      </x:c>
      <x:c r="K283" s="5" t="str">
        <x:v>Not started</x:v>
      </x:c>
      <x:c r="L283" s="5" t="str">
        <x:v>Pending</x:v>
      </x:c>
      <x:c r="M283" s="5" t="str"/>
      <x:c r="N283" s="5" t="str">
        <x:v>Not started</x:v>
      </x:c>
      <x:c r="O283" s="5" t="str">
        <x:v>Not started</x:v>
      </x:c>
      <x:c r="P283" s="5" t="str">
        <x:v>Not started</x:v>
      </x:c>
      <x:c r="Q283" s="5" t="str">
        <x:v>Not started</x:v>
      </x:c>
      <x:c r="R283" s="5" t="str">
        <x:v>Pending</x:v>
      </x:c>
      <x:c r="S283" s="5" t="str"/>
      <x:c r="T283" s="5" t="str"/>
      <x:c r="U283" s="5" t="str"/>
      <x:c r="V283" s="5" t="str"/>
      <x:c r="W283" s="5" t="str">
        <x:v>Not linked</x:v>
      </x:c>
      <x:c r="X283" s="5" t="str">
        <x:v>Pending</x:v>
      </x:c>
      <x:c r="Y283" s="5" t="str">
        <x:f>IF(AND(L283="Pending",R283="Pending"),"Pending screening",IF(H283="Not assigned","Assign reviewer",IF(AND(L283="Exclude",M283=""),"Missing TA exclusion reason",IF(AND(R283="Exclude",S283=""),"Missing FT exclusion reason","Decision recorded"))))</x:f>
        <x:v>Pending screening</x:v>
      </x:c>
    </x:row>
    <x:row r="284" ht="40" customHeight="1">
      <x:c r="A284" s="5" t="str">
        <x:v>C0274</x:v>
      </x:c>
      <x:c r="B284" s="5" t="str">
        <x:v>On Cyberphysical Systems And Anomaly-Detection In Title Insurance Coverage.</x:v>
      </x:c>
      <x:c r="C284" s="5" t="str">
        <x:v>10.2139/ssrn.4267606</x:v>
      </x:c>
      <x:c r="D284" s="5" t="str"/>
      <x:c r="E284" s="5" t="str">
        <x:v>posted-content</x:v>
      </x:c>
      <x:c r="F284" s="5" t="str">
        <x:v>S16</x:v>
      </x:c>
      <x:c r="G284" s="5" t="str">
        <x:v>Lower-priority; inspect scope</x:v>
      </x:c>
      <x:c r="H284" s="5" t="str">
        <x:v>Not assigned</x:v>
      </x:c>
      <x:c r="I284" s="5" t="str">
        <x:v>Not started</x:v>
      </x:c>
      <x:c r="J284" s="5" t="str">
        <x:v>Not assigned</x:v>
      </x:c>
      <x:c r="K284" s="5" t="str">
        <x:v>Not started</x:v>
      </x:c>
      <x:c r="L284" s="5" t="str">
        <x:v>Pending</x:v>
      </x:c>
      <x:c r="M284" s="5" t="str"/>
      <x:c r="N284" s="5" t="str">
        <x:v>Not started</x:v>
      </x:c>
      <x:c r="O284" s="5" t="str">
        <x:v>Not started</x:v>
      </x:c>
      <x:c r="P284" s="5" t="str">
        <x:v>Not started</x:v>
      </x:c>
      <x:c r="Q284" s="5" t="str">
        <x:v>Not started</x:v>
      </x:c>
      <x:c r="R284" s="5" t="str">
        <x:v>Pending</x:v>
      </x:c>
      <x:c r="S284" s="5" t="str"/>
      <x:c r="T284" s="5" t="str"/>
      <x:c r="U284" s="5" t="str"/>
      <x:c r="V284" s="5" t="str"/>
      <x:c r="W284" s="5" t="str">
        <x:v>Not linked</x:v>
      </x:c>
      <x:c r="X284" s="5" t="str">
        <x:v>Pending</x:v>
      </x:c>
      <x:c r="Y284" s="5" t="str">
        <x:f>IF(AND(L284="Pending",R284="Pending"),"Pending screening",IF(H284="Not assigned","Assign reviewer",IF(AND(L284="Exclude",M284=""),"Missing TA exclusion reason",IF(AND(R284="Exclude",S284=""),"Missing FT exclusion reason","Decision recorded"))))</x:f>
        <x:v>Pending screening</x:v>
      </x:c>
    </x:row>
    <x:row r="285" ht="53" customHeight="1">
      <x:c r="A285" s="5" t="str">
        <x:v>C0275</x:v>
      </x:c>
      <x:c r="B285" s="5" t="str">
        <x:v>Data Science–Enabled Anomaly Detection in Financial Transactions Using Autoencoders and Risk Evaluation Mechanisms</x:v>
      </x:c>
      <x:c r="C285" s="5" t="str">
        <x:v>10.52783/jisem.v9i2.44</x:v>
      </x:c>
      <x:c r="D285" s="5" t="str"/>
      <x:c r="E285" s="5" t="str">
        <x:v>journal-article</x:v>
      </x:c>
      <x:c r="F285" s="5" t="str">
        <x:v>S16</x:v>
      </x:c>
      <x:c r="G285" s="5" t="str">
        <x:v>Lower-priority; inspect scope</x:v>
      </x:c>
      <x:c r="H285" s="5" t="str">
        <x:v>Not assigned</x:v>
      </x:c>
      <x:c r="I285" s="5" t="str">
        <x:v>Not started</x:v>
      </x:c>
      <x:c r="J285" s="5" t="str">
        <x:v>Not assigned</x:v>
      </x:c>
      <x:c r="K285" s="5" t="str">
        <x:v>Not started</x:v>
      </x:c>
      <x:c r="L285" s="5" t="str">
        <x:v>Pending</x:v>
      </x:c>
      <x:c r="M285" s="5" t="str"/>
      <x:c r="N285" s="5" t="str">
        <x:v>Not started</x:v>
      </x:c>
      <x:c r="O285" s="5" t="str">
        <x:v>Not started</x:v>
      </x:c>
      <x:c r="P285" s="5" t="str">
        <x:v>Not started</x:v>
      </x:c>
      <x:c r="Q285" s="5" t="str">
        <x:v>Not started</x:v>
      </x:c>
      <x:c r="R285" s="5" t="str">
        <x:v>Pending</x:v>
      </x:c>
      <x:c r="S285" s="5" t="str"/>
      <x:c r="T285" s="5" t="str"/>
      <x:c r="U285" s="5" t="str"/>
      <x:c r="V285" s="5" t="str"/>
      <x:c r="W285" s="5" t="str">
        <x:v>Not linked</x:v>
      </x:c>
      <x:c r="X285" s="5" t="str">
        <x:v>Pending</x:v>
      </x:c>
      <x:c r="Y285" s="5" t="str">
        <x:f>IF(AND(L285="Pending",R285="Pending"),"Pending screening",IF(H285="Not assigned","Assign reviewer",IF(AND(L285="Exclude",M285=""),"Missing TA exclusion reason",IF(AND(R285="Exclude",S285=""),"Missing FT exclusion reason","Decision recorded"))))</x:f>
        <x:v>Pending screening</x:v>
      </x:c>
    </x:row>
    <x:row r="286" ht="40" customHeight="1">
      <x:c r="A286" s="5" t="str">
        <x:v>C0276</x:v>
      </x:c>
      <x:c r="B286" s="5" t="str">
        <x:v>A Survey on Anomaly Detection, Life Prediction and Maintenance Decision for Industrial Processes</x:v>
      </x:c>
      <x:c r="C286" s="5" t="str">
        <x:v>10.3724/sp.j.1004.2013.00711</x:v>
      </x:c>
      <x:c r="D286" s="5" t="str"/>
      <x:c r="E286" s="5" t="str">
        <x:v>journal-article</x:v>
      </x:c>
      <x:c r="F286" s="5" t="str">
        <x:v>S02</x:v>
      </x:c>
      <x:c r="G286" s="5" t="str">
        <x:v>Title-scope candidate</x:v>
      </x:c>
      <x:c r="H286" s="5" t="str">
        <x:v>Not assigned</x:v>
      </x:c>
      <x:c r="I286" s="5" t="str">
        <x:v>Not started</x:v>
      </x:c>
      <x:c r="J286" s="5" t="str">
        <x:v>Not assigned</x:v>
      </x:c>
      <x:c r="K286" s="5" t="str">
        <x:v>Not started</x:v>
      </x:c>
      <x:c r="L286" s="5" t="str">
        <x:v>Pending</x:v>
      </x:c>
      <x:c r="M286" s="5" t="str"/>
      <x:c r="N286" s="5" t="str">
        <x:v>Not started</x:v>
      </x:c>
      <x:c r="O286" s="5" t="str">
        <x:v>Not started</x:v>
      </x:c>
      <x:c r="P286" s="5" t="str">
        <x:v>Not started</x:v>
      </x:c>
      <x:c r="Q286" s="5" t="str">
        <x:v>Not started</x:v>
      </x:c>
      <x:c r="R286" s="5" t="str">
        <x:v>Pending</x:v>
      </x:c>
      <x:c r="S286" s="5" t="str"/>
      <x:c r="T286" s="5" t="str"/>
      <x:c r="U286" s="5" t="str"/>
      <x:c r="V286" s="5" t="str"/>
      <x:c r="W286" s="5" t="str">
        <x:v>Not linked</x:v>
      </x:c>
      <x:c r="X286" s="5" t="str">
        <x:v>Pending</x:v>
      </x:c>
      <x:c r="Y286" s="5" t="str">
        <x:f>IF(AND(L286="Pending",R286="Pending"),"Pending screening",IF(H286="Not assigned","Assign reviewer",IF(AND(L286="Exclude",M286=""),"Missing TA exclusion reason",IF(AND(R286="Exclude",S286=""),"Missing FT exclusion reason","Decision recorded"))))</x:f>
        <x:v>Pending screening</x:v>
      </x:c>
    </x:row>
    <x:row r="287" ht="53" customHeight="1">
      <x:c r="A287" s="5" t="str">
        <x:v>C0277</x:v>
      </x:c>
      <x:c r="B287" s="5" t="str">
        <x:v>Review for "Deep Variational Canonical Correlation Analysis for Intelligent Industrial Process Monitoring and Anomaly Detection"</x:v>
      </x:c>
      <x:c r="C287" s="5" t="str">
        <x:v>10.1002/cjce.70391/v1/review1</x:v>
      </x:c>
      <x:c r="D287" s="5" t="str"/>
      <x:c r="E287" s="5" t="str">
        <x:v>peer-review</x:v>
      </x:c>
      <x:c r="F287" s="5" t="str">
        <x:v>S02</x:v>
      </x:c>
      <x:c r="G287" s="5" t="str">
        <x:v>Title-scope candidate</x:v>
      </x:c>
      <x:c r="H287" s="5" t="str">
        <x:v>Not assigned</x:v>
      </x:c>
      <x:c r="I287" s="5" t="str">
        <x:v>Not started</x:v>
      </x:c>
      <x:c r="J287" s="5" t="str">
        <x:v>Not assigned</x:v>
      </x:c>
      <x:c r="K287" s="5" t="str">
        <x:v>Not started</x:v>
      </x:c>
      <x:c r="L287" s="5" t="str">
        <x:v>Pending</x:v>
      </x:c>
      <x:c r="M287" s="5" t="str"/>
      <x:c r="N287" s="5" t="str">
        <x:v>Not started</x:v>
      </x:c>
      <x:c r="O287" s="5" t="str">
        <x:v>Not started</x:v>
      </x:c>
      <x:c r="P287" s="5" t="str">
        <x:v>Not started</x:v>
      </x:c>
      <x:c r="Q287" s="5" t="str">
        <x:v>Not started</x:v>
      </x:c>
      <x:c r="R287" s="5" t="str">
        <x:v>Pending</x:v>
      </x:c>
      <x:c r="S287" s="5" t="str"/>
      <x:c r="T287" s="5" t="str"/>
      <x:c r="U287" s="5" t="str"/>
      <x:c r="V287" s="5" t="str"/>
      <x:c r="W287" s="5" t="str">
        <x:v>Not linked</x:v>
      </x:c>
      <x:c r="X287" s="5" t="str">
        <x:v>Pending</x:v>
      </x:c>
      <x:c r="Y287" s="5" t="str">
        <x:f>IF(AND(L287="Pending",R287="Pending"),"Pending screening",IF(H287="Not assigned","Assign reviewer",IF(AND(L287="Exclude",M287=""),"Missing TA exclusion reason",IF(AND(R287="Exclude",S287=""),"Missing FT exclusion reason","Decision recorded"))))</x:f>
        <x:v>Pending screening</x:v>
      </x:c>
    </x:row>
    <x:row r="288" ht="53" customHeight="1">
      <x:c r="A288" s="5" t="str">
        <x:v>C0278</x:v>
      </x:c>
      <x:c r="B288" s="5" t="str">
        <x:v>Review for "Deep Variational Canonical Correlation Analysis for Intelligent Industrial Process Monitoring and Anomaly Detection"</x:v>
      </x:c>
      <x:c r="C288" s="5" t="str">
        <x:v>10.1002/cjce.70391/v1/review2</x:v>
      </x:c>
      <x:c r="D288" s="5" t="str"/>
      <x:c r="E288" s="5" t="str">
        <x:v>peer-review</x:v>
      </x:c>
      <x:c r="F288" s="5" t="str">
        <x:v>S02</x:v>
      </x:c>
      <x:c r="G288" s="5" t="str">
        <x:v>Title-scope candidate</x:v>
      </x:c>
      <x:c r="H288" s="5" t="str">
        <x:v>Not assigned</x:v>
      </x:c>
      <x:c r="I288" s="5" t="str">
        <x:v>Not started</x:v>
      </x:c>
      <x:c r="J288" s="5" t="str">
        <x:v>Not assigned</x:v>
      </x:c>
      <x:c r="K288" s="5" t="str">
        <x:v>Not started</x:v>
      </x:c>
      <x:c r="L288" s="5" t="str">
        <x:v>Pending</x:v>
      </x:c>
      <x:c r="M288" s="5" t="str"/>
      <x:c r="N288" s="5" t="str">
        <x:v>Not started</x:v>
      </x:c>
      <x:c r="O288" s="5" t="str">
        <x:v>Not started</x:v>
      </x:c>
      <x:c r="P288" s="5" t="str">
        <x:v>Not started</x:v>
      </x:c>
      <x:c r="Q288" s="5" t="str">
        <x:v>Not started</x:v>
      </x:c>
      <x:c r="R288" s="5" t="str">
        <x:v>Pending</x:v>
      </x:c>
      <x:c r="S288" s="5" t="str"/>
      <x:c r="T288" s="5" t="str"/>
      <x:c r="U288" s="5" t="str"/>
      <x:c r="V288" s="5" t="str"/>
      <x:c r="W288" s="5" t="str">
        <x:v>Not linked</x:v>
      </x:c>
      <x:c r="X288" s="5" t="str">
        <x:v>Pending</x:v>
      </x:c>
      <x:c r="Y288" s="5" t="str">
        <x:f>IF(AND(L288="Pending",R288="Pending"),"Pending screening",IF(H288="Not assigned","Assign reviewer",IF(AND(L288="Exclude",M288=""),"Missing TA exclusion reason",IF(AND(R288="Exclude",S288=""),"Missing FT exclusion reason","Decision recorded"))))</x:f>
        <x:v>Pending screening</x:v>
      </x:c>
    </x:row>
    <x:row r="289" ht="40" customHeight="1">
      <x:c r="A289" s="5" t="str">
        <x:v>C0279</x:v>
      </x:c>
      <x:c r="B289" s="5" t="str">
        <x:v>Industrial Visual Anomaly Synthesis: A Deployment-Oriented Survey</x:v>
      </x:c>
      <x:c r="C289" s="5" t="str">
        <x:v>10.1109/access.2026.3706950</x:v>
      </x:c>
      <x:c r="D289" s="5" t="str"/>
      <x:c r="E289" s="5" t="str">
        <x:v>journal-article</x:v>
      </x:c>
      <x:c r="F289" s="5" t="str">
        <x:v>S02</x:v>
      </x:c>
      <x:c r="G289" s="5" t="str">
        <x:v>Title-scope candidate</x:v>
      </x:c>
      <x:c r="H289" s="5" t="str">
        <x:v>Not assigned</x:v>
      </x:c>
      <x:c r="I289" s="5" t="str">
        <x:v>Not started</x:v>
      </x:c>
      <x:c r="J289" s="5" t="str">
        <x:v>Not assigned</x:v>
      </x:c>
      <x:c r="K289" s="5" t="str">
        <x:v>Not started</x:v>
      </x:c>
      <x:c r="L289" s="5" t="str">
        <x:v>Pending</x:v>
      </x:c>
      <x:c r="M289" s="5" t="str"/>
      <x:c r="N289" s="5" t="str">
        <x:v>Not started</x:v>
      </x:c>
      <x:c r="O289" s="5" t="str">
        <x:v>Not started</x:v>
      </x:c>
      <x:c r="P289" s="5" t="str">
        <x:v>Not started</x:v>
      </x:c>
      <x:c r="Q289" s="5" t="str">
        <x:v>Not started</x:v>
      </x:c>
      <x:c r="R289" s="5" t="str">
        <x:v>Pending</x:v>
      </x:c>
      <x:c r="S289" s="5" t="str"/>
      <x:c r="T289" s="5" t="str"/>
      <x:c r="U289" s="5" t="str"/>
      <x:c r="V289" s="5" t="str"/>
      <x:c r="W289" s="5" t="str">
        <x:v>Not linked</x:v>
      </x:c>
      <x:c r="X289" s="5" t="str">
        <x:v>Pending</x:v>
      </x:c>
      <x:c r="Y289" s="5" t="str">
        <x:f>IF(AND(L289="Pending",R289="Pending"),"Pending screening",IF(H289="Not assigned","Assign reviewer",IF(AND(L289="Exclude",M289=""),"Missing TA exclusion reason",IF(AND(R289="Exclude",S289=""),"Missing FT exclusion reason","Decision recorded"))))</x:f>
        <x:v>Pending screening</x:v>
      </x:c>
    </x:row>
    <x:row r="290" ht="53" customHeight="1">
      <x:c r="A290" s="5" t="str">
        <x:v>C0280</x:v>
      </x:c>
      <x:c r="B290" s="5" t="str">
        <x:v>Review for "Deep Variational Canonical Correlation Analysis for Intelligent Industrial Process Monitoring and Anomaly Detection"</x:v>
      </x:c>
      <x:c r="C290" s="5" t="str">
        <x:v>10.1002/cjce.70391/v1/review3</x:v>
      </x:c>
      <x:c r="D290" s="5" t="str"/>
      <x:c r="E290" s="5" t="str">
        <x:v>peer-review</x:v>
      </x:c>
      <x:c r="F290" s="5" t="str">
        <x:v>S02</x:v>
      </x:c>
      <x:c r="G290" s="5" t="str">
        <x:v>Title-scope candidate</x:v>
      </x:c>
      <x:c r="H290" s="5" t="str">
        <x:v>Not assigned</x:v>
      </x:c>
      <x:c r="I290" s="5" t="str">
        <x:v>Not started</x:v>
      </x:c>
      <x:c r="J290" s="5" t="str">
        <x:v>Not assigned</x:v>
      </x:c>
      <x:c r="K290" s="5" t="str">
        <x:v>Not started</x:v>
      </x:c>
      <x:c r="L290" s="5" t="str">
        <x:v>Pending</x:v>
      </x:c>
      <x:c r="M290" s="5" t="str"/>
      <x:c r="N290" s="5" t="str">
        <x:v>Not started</x:v>
      </x:c>
      <x:c r="O290" s="5" t="str">
        <x:v>Not started</x:v>
      </x:c>
      <x:c r="P290" s="5" t="str">
        <x:v>Not started</x:v>
      </x:c>
      <x:c r="Q290" s="5" t="str">
        <x:v>Not started</x:v>
      </x:c>
      <x:c r="R290" s="5" t="str">
        <x:v>Pending</x:v>
      </x:c>
      <x:c r="S290" s="5" t="str"/>
      <x:c r="T290" s="5" t="str"/>
      <x:c r="U290" s="5" t="str"/>
      <x:c r="V290" s="5" t="str"/>
      <x:c r="W290" s="5" t="str">
        <x:v>Not linked</x:v>
      </x:c>
      <x:c r="X290" s="5" t="str">
        <x:v>Pending</x:v>
      </x:c>
      <x:c r="Y290" s="5" t="str">
        <x:f>IF(AND(L290="Pending",R290="Pending"),"Pending screening",IF(H290="Not assigned","Assign reviewer",IF(AND(L290="Exclude",M290=""),"Missing TA exclusion reason",IF(AND(R290="Exclude",S290=""),"Missing FT exclusion reason","Decision recorded"))))</x:f>
        <x:v>Pending screening</x:v>
      </x:c>
    </x:row>
    <x:row r="291" ht="40" customHeight="1">
      <x:c r="A291" s="5" t="str">
        <x:v>C0281</x:v>
      </x:c>
      <x:c r="B291" s="5" t="str">
        <x:v>Survey of Anomaly Detection Methods</x:v>
      </x:c>
      <x:c r="C291" s="5" t="str">
        <x:v>10.2172/900157</x:v>
      </x:c>
      <x:c r="D291" s="5" t="str"/>
      <x:c r="E291" s="5" t="str">
        <x:v>report</x:v>
      </x:c>
      <x:c r="F291" s="5" t="str">
        <x:v>S02</x:v>
      </x:c>
      <x:c r="G291" s="5" t="str">
        <x:v>Lower-priority; inspect scope</x:v>
      </x:c>
      <x:c r="H291" s="5" t="str">
        <x:v>Not assigned</x:v>
      </x:c>
      <x:c r="I291" s="5" t="str">
        <x:v>Not started</x:v>
      </x:c>
      <x:c r="J291" s="5" t="str">
        <x:v>Not assigned</x:v>
      </x:c>
      <x:c r="K291" s="5" t="str">
        <x:v>Not started</x:v>
      </x:c>
      <x:c r="L291" s="5" t="str">
        <x:v>Pending</x:v>
      </x:c>
      <x:c r="M291" s="5" t="str"/>
      <x:c r="N291" s="5" t="str">
        <x:v>Not started</x:v>
      </x:c>
      <x:c r="O291" s="5" t="str">
        <x:v>Not started</x:v>
      </x:c>
      <x:c r="P291" s="5" t="str">
        <x:v>Not started</x:v>
      </x:c>
      <x:c r="Q291" s="5" t="str">
        <x:v>Not started</x:v>
      </x:c>
      <x:c r="R291" s="5" t="str">
        <x:v>Pending</x:v>
      </x:c>
      <x:c r="S291" s="5" t="str"/>
      <x:c r="T291" s="5" t="str"/>
      <x:c r="U291" s="5" t="str"/>
      <x:c r="V291" s="5" t="str"/>
      <x:c r="W291" s="5" t="str">
        <x:v>Not linked</x:v>
      </x:c>
      <x:c r="X291" s="5" t="str">
        <x:v>Pending</x:v>
      </x:c>
      <x:c r="Y291" s="5" t="str">
        <x:f>IF(AND(L291="Pending",R291="Pending"),"Pending screening",IF(H291="Not assigned","Assign reviewer",IF(AND(L291="Exclude",M291=""),"Missing TA exclusion reason",IF(AND(R291="Exclude",S291=""),"Missing FT exclusion reason","Decision recorded"))))</x:f>
        <x:v>Pending screening</x:v>
      </x:c>
    </x:row>
    <x:row r="292" ht="40" customHeight="1">
      <x:c r="A292" s="5" t="str">
        <x:v>C0282</x:v>
      </x:c>
      <x:c r="B292" s="5" t="str">
        <x:v>A Survey on Unsupervised Anomaly Detection Algorithms for Industrial Images</x:v>
      </x:c>
      <x:c r="C292" s="5" t="str">
        <x:v>10.1109/access.2023.3282993</x:v>
      </x:c>
      <x:c r="D292" s="5" t="str"/>
      <x:c r="E292" s="5" t="str">
        <x:v>journal-article</x:v>
      </x:c>
      <x:c r="F292" s="5" t="str">
        <x:v>S02</x:v>
      </x:c>
      <x:c r="G292" s="5" t="str">
        <x:v>Title-scope candidate</x:v>
      </x:c>
      <x:c r="H292" s="5" t="str">
        <x:v>Not assigned</x:v>
      </x:c>
      <x:c r="I292" s="5" t="str">
        <x:v>Not started</x:v>
      </x:c>
      <x:c r="J292" s="5" t="str">
        <x:v>Not assigned</x:v>
      </x:c>
      <x:c r="K292" s="5" t="str">
        <x:v>Not started</x:v>
      </x:c>
      <x:c r="L292" s="5" t="str">
        <x:v>Pending</x:v>
      </x:c>
      <x:c r="M292" s="5" t="str"/>
      <x:c r="N292" s="5" t="str">
        <x:v>Not started</x:v>
      </x:c>
      <x:c r="O292" s="5" t="str">
        <x:v>Not started</x:v>
      </x:c>
      <x:c r="P292" s="5" t="str">
        <x:v>Not started</x:v>
      </x:c>
      <x:c r="Q292" s="5" t="str">
        <x:v>Not started</x:v>
      </x:c>
      <x:c r="R292" s="5" t="str">
        <x:v>Pending</x:v>
      </x:c>
      <x:c r="S292" s="5" t="str"/>
      <x:c r="T292" s="5" t="str"/>
      <x:c r="U292" s="5" t="str"/>
      <x:c r="V292" s="5" t="str"/>
      <x:c r="W292" s="5" t="str">
        <x:v>Not linked</x:v>
      </x:c>
      <x:c r="X292" s="5" t="str">
        <x:v>Pending</x:v>
      </x:c>
      <x:c r="Y292" s="5" t="str">
        <x:f>IF(AND(L292="Pending",R292="Pending"),"Pending screening",IF(H292="Not assigned","Assign reviewer",IF(AND(L292="Exclude",M292=""),"Missing TA exclusion reason",IF(AND(R292="Exclude",S292=""),"Missing FT exclusion reason","Decision recorded"))))</x:f>
        <x:v>Pending screening</x:v>
      </x:c>
    </x:row>
    <x:row r="293" ht="40" customHeight="1">
      <x:c r="A293" s="5" t="str">
        <x:v>C0283</x:v>
      </x:c>
      <x:c r="B293" s="5" t="str">
        <x:v>Negative selection in anomaly detection—A survey</x:v>
      </x:c>
      <x:c r="C293" s="5" t="str">
        <x:v>10.1016/j.cosrev.2023.100557</x:v>
      </x:c>
      <x:c r="D293" s="5" t="str"/>
      <x:c r="E293" s="5" t="str">
        <x:v>journal-article</x:v>
      </x:c>
      <x:c r="F293" s="5" t="str">
        <x:v>S02</x:v>
      </x:c>
      <x:c r="G293" s="5" t="str">
        <x:v>Lower-priority; inspect scope</x:v>
      </x:c>
      <x:c r="H293" s="5" t="str">
        <x:v>Not assigned</x:v>
      </x:c>
      <x:c r="I293" s="5" t="str">
        <x:v>Not started</x:v>
      </x:c>
      <x:c r="J293" s="5" t="str">
        <x:v>Not assigned</x:v>
      </x:c>
      <x:c r="K293" s="5" t="str">
        <x:v>Not started</x:v>
      </x:c>
      <x:c r="L293" s="5" t="str">
        <x:v>Pending</x:v>
      </x:c>
      <x:c r="M293" s="5" t="str"/>
      <x:c r="N293" s="5" t="str">
        <x:v>Not started</x:v>
      </x:c>
      <x:c r="O293" s="5" t="str">
        <x:v>Not started</x:v>
      </x:c>
      <x:c r="P293" s="5" t="str">
        <x:v>Not started</x:v>
      </x:c>
      <x:c r="Q293" s="5" t="str">
        <x:v>Not started</x:v>
      </x:c>
      <x:c r="R293" s="5" t="str">
        <x:v>Pending</x:v>
      </x:c>
      <x:c r="S293" s="5" t="str"/>
      <x:c r="T293" s="5" t="str"/>
      <x:c r="U293" s="5" t="str"/>
      <x:c r="V293" s="5" t="str"/>
      <x:c r="W293" s="5" t="str">
        <x:v>Not linked</x:v>
      </x:c>
      <x:c r="X293" s="5" t="str">
        <x:v>Pending</x:v>
      </x:c>
      <x:c r="Y293" s="5" t="str">
        <x:f>IF(AND(L293="Pending",R293="Pending"),"Pending screening",IF(H293="Not assigned","Assign reviewer",IF(AND(L293="Exclude",M293=""),"Missing TA exclusion reason",IF(AND(R293="Exclude",S293=""),"Missing FT exclusion reason","Decision recorded"))))</x:f>
        <x:v>Pending screening</x:v>
      </x:c>
    </x:row>
    <x:row r="294" ht="40" customHeight="1">
      <x:c r="A294" s="5" t="str">
        <x:v>C0284</x:v>
      </x:c>
      <x:c r="B294" s="5" t="str">
        <x:v>Anomaly Detection under Class Imbalance: A Survey of Methods, Evaluation Pitfalls, and Open Challenges</x:v>
      </x:c>
      <x:c r="C294" s="5" t="str">
        <x:v>10.21203/rs.3.rs-11087383/v1</x:v>
      </x:c>
      <x:c r="D294" s="5" t="str"/>
      <x:c r="E294" s="5" t="str">
        <x:v>posted-content</x:v>
      </x:c>
      <x:c r="F294" s="5" t="str">
        <x:v>S02</x:v>
      </x:c>
      <x:c r="G294" s="5" t="str">
        <x:v>Lower-priority; inspect scope</x:v>
      </x:c>
      <x:c r="H294" s="5" t="str">
        <x:v>Not assigned</x:v>
      </x:c>
      <x:c r="I294" s="5" t="str">
        <x:v>Not started</x:v>
      </x:c>
      <x:c r="J294" s="5" t="str">
        <x:v>Not assigned</x:v>
      </x:c>
      <x:c r="K294" s="5" t="str">
        <x:v>Not started</x:v>
      </x:c>
      <x:c r="L294" s="5" t="str">
        <x:v>Pending</x:v>
      </x:c>
      <x:c r="M294" s="5" t="str"/>
      <x:c r="N294" s="5" t="str">
        <x:v>Not started</x:v>
      </x:c>
      <x:c r="O294" s="5" t="str">
        <x:v>Not started</x:v>
      </x:c>
      <x:c r="P294" s="5" t="str">
        <x:v>Not started</x:v>
      </x:c>
      <x:c r="Q294" s="5" t="str">
        <x:v>Not started</x:v>
      </x:c>
      <x:c r="R294" s="5" t="str">
        <x:v>Pending</x:v>
      </x:c>
      <x:c r="S294" s="5" t="str"/>
      <x:c r="T294" s="5" t="str"/>
      <x:c r="U294" s="5" t="str"/>
      <x:c r="V294" s="5" t="str"/>
      <x:c r="W294" s="5" t="str">
        <x:v>Not linked</x:v>
      </x:c>
      <x:c r="X294" s="5" t="str">
        <x:v>Pending</x:v>
      </x:c>
      <x:c r="Y294" s="5" t="str">
        <x:f>IF(AND(L294="Pending",R294="Pending"),"Pending screening",IF(H294="Not assigned","Assign reviewer",IF(AND(L294="Exclude",M294=""),"Missing TA exclusion reason",IF(AND(R294="Exclude",S294=""),"Missing FT exclusion reason","Decision recorded"))))</x:f>
        <x:v>Pending screening</x:v>
      </x:c>
    </x:row>
    <x:row r="295" ht="40" customHeight="1">
      <x:c r="A295" s="5" t="str">
        <x:v>C0285</x:v>
      </x:c>
      <x:c r="B295" s="5" t="str">
        <x:v>Semantic-Guided Multi-Scale Dual-Teacher Distillation Network for Medical and Industrial Anomaly Detection</x:v>
      </x:c>
      <x:c r="C295" s="5" t="str">
        <x:v>10.21203/rs.3.rs-10226513/v1</x:v>
      </x:c>
      <x:c r="D295" s="5" t="str"/>
      <x:c r="E295" s="5" t="str">
        <x:v>posted-content</x:v>
      </x:c>
      <x:c r="F295" s="5" t="str">
        <x:v>S02</x:v>
      </x:c>
      <x:c r="G295" s="5" t="str">
        <x:v>Lower-priority; inspect scope</x:v>
      </x:c>
      <x:c r="H295" s="5" t="str">
        <x:v>Not assigned</x:v>
      </x:c>
      <x:c r="I295" s="5" t="str">
        <x:v>Not started</x:v>
      </x:c>
      <x:c r="J295" s="5" t="str">
        <x:v>Not assigned</x:v>
      </x:c>
      <x:c r="K295" s="5" t="str">
        <x:v>Not started</x:v>
      </x:c>
      <x:c r="L295" s="5" t="str">
        <x:v>Pending</x:v>
      </x:c>
      <x:c r="M295" s="5" t="str"/>
      <x:c r="N295" s="5" t="str">
        <x:v>Not started</x:v>
      </x:c>
      <x:c r="O295" s="5" t="str">
        <x:v>Not started</x:v>
      </x:c>
      <x:c r="P295" s="5" t="str">
        <x:v>Not started</x:v>
      </x:c>
      <x:c r="Q295" s="5" t="str">
        <x:v>Not started</x:v>
      </x:c>
      <x:c r="R295" s="5" t="str">
        <x:v>Pending</x:v>
      </x:c>
      <x:c r="S295" s="5" t="str"/>
      <x:c r="T295" s="5" t="str"/>
      <x:c r="U295" s="5" t="str"/>
      <x:c r="V295" s="5" t="str"/>
      <x:c r="W295" s="5" t="str">
        <x:v>Not linked</x:v>
      </x:c>
      <x:c r="X295" s="5" t="str">
        <x:v>Pending</x:v>
      </x:c>
      <x:c r="Y295" s="5" t="str">
        <x:f>IF(AND(L295="Pending",R295="Pending"),"Pending screening",IF(H295="Not assigned","Assign reviewer",IF(AND(L295="Exclude",M295=""),"Missing TA exclusion reason",IF(AND(R295="Exclude",S295=""),"Missing FT exclusion reason","Decision recorded"))))</x:f>
        <x:v>Pending screening</x:v>
      </x:c>
    </x:row>
    <x:row r="296" ht="40" customHeight="1">
      <x:c r="A296" s="5" t="str">
        <x:v>C0286</x:v>
      </x:c>
      <x:c r="B296" s="5" t="str">
        <x:v>TrustDTI: Trustworthy Drug–Target Interaction Prediction via Evidential Deep Learning and Selective Abstention</x:v>
      </x:c>
      <x:c r="C296" s="5" t="str">
        <x:v>10.1109/access.2026.3707193</x:v>
      </x:c>
      <x:c r="D296" s="5" t="str"/>
      <x:c r="E296" s="5" t="str">
        <x:v>journal-article</x:v>
      </x:c>
      <x:c r="F296" s="5" t="str">
        <x:v>S06</x:v>
      </x:c>
      <x:c r="G296" s="5" t="str">
        <x:v>Lower-priority; inspect scope</x:v>
      </x:c>
      <x:c r="H296" s="5" t="str">
        <x:v>Not assigned</x:v>
      </x:c>
      <x:c r="I296" s="5" t="str">
        <x:v>Not started</x:v>
      </x:c>
      <x:c r="J296" s="5" t="str">
        <x:v>Not assigned</x:v>
      </x:c>
      <x:c r="K296" s="5" t="str">
        <x:v>Not started</x:v>
      </x:c>
      <x:c r="L296" s="5" t="str">
        <x:v>Pending</x:v>
      </x:c>
      <x:c r="M296" s="5" t="str"/>
      <x:c r="N296" s="5" t="str">
        <x:v>Not started</x:v>
      </x:c>
      <x:c r="O296" s="5" t="str">
        <x:v>Not started</x:v>
      </x:c>
      <x:c r="P296" s="5" t="str">
        <x:v>Not started</x:v>
      </x:c>
      <x:c r="Q296" s="5" t="str">
        <x:v>Not started</x:v>
      </x:c>
      <x:c r="R296" s="5" t="str">
        <x:v>Pending</x:v>
      </x:c>
      <x:c r="S296" s="5" t="str"/>
      <x:c r="T296" s="5" t="str"/>
      <x:c r="U296" s="5" t="str"/>
      <x:c r="V296" s="5" t="str"/>
      <x:c r="W296" s="5" t="str">
        <x:v>Not linked</x:v>
      </x:c>
      <x:c r="X296" s="5" t="str">
        <x:v>Pending</x:v>
      </x:c>
      <x:c r="Y296" s="5" t="str">
        <x:f>IF(AND(L296="Pending",R296="Pending"),"Pending screening",IF(H296="Not assigned","Assign reviewer",IF(AND(L296="Exclude",M296=""),"Missing TA exclusion reason",IF(AND(R296="Exclude",S296=""),"Missing FT exclusion reason","Decision recorded"))))</x:f>
        <x:v>Pending screening</x:v>
      </x:c>
    </x:row>
    <x:row r="297" ht="40" customHeight="1">
      <x:c r="A297" s="5" t="str">
        <x:v>C0287</x:v>
      </x:c>
      <x:c r="B297" s="5" t="str">
        <x:v>Selective “Selective Prediction”: Reducing Unnecessary Abstention in Vision-Language Reasoning</x:v>
      </x:c>
      <x:c r="C297" s="5" t="str">
        <x:v>10.18653/v1/2024.findings-acl.767</x:v>
      </x:c>
      <x:c r="D297" s="5" t="str"/>
      <x:c r="E297" s="5" t="str">
        <x:v>proceedings-article</x:v>
      </x:c>
      <x:c r="F297" s="5" t="str">
        <x:v>S06</x:v>
      </x:c>
      <x:c r="G297" s="5" t="str">
        <x:v>Lower-priority; inspect scope</x:v>
      </x:c>
      <x:c r="H297" s="5" t="str">
        <x:v>Not assigned</x:v>
      </x:c>
      <x:c r="I297" s="5" t="str">
        <x:v>Not started</x:v>
      </x:c>
      <x:c r="J297" s="5" t="str">
        <x:v>Not assigned</x:v>
      </x:c>
      <x:c r="K297" s="5" t="str">
        <x:v>Not started</x:v>
      </x:c>
      <x:c r="L297" s="5" t="str">
        <x:v>Pending</x:v>
      </x:c>
      <x:c r="M297" s="5" t="str"/>
      <x:c r="N297" s="5" t="str">
        <x:v>Not started</x:v>
      </x:c>
      <x:c r="O297" s="5" t="str">
        <x:v>Not started</x:v>
      </x:c>
      <x:c r="P297" s="5" t="str">
        <x:v>Not started</x:v>
      </x:c>
      <x:c r="Q297" s="5" t="str">
        <x:v>Not started</x:v>
      </x:c>
      <x:c r="R297" s="5" t="str">
        <x:v>Pending</x:v>
      </x:c>
      <x:c r="S297" s="5" t="str"/>
      <x:c r="T297" s="5" t="str"/>
      <x:c r="U297" s="5" t="str"/>
      <x:c r="V297" s="5" t="str"/>
      <x:c r="W297" s="5" t="str">
        <x:v>Not linked</x:v>
      </x:c>
      <x:c r="X297" s="5" t="str">
        <x:v>Pending</x:v>
      </x:c>
      <x:c r="Y297" s="5" t="str">
        <x:f>IF(AND(L297="Pending",R297="Pending"),"Pending screening",IF(H297="Not assigned","Assign reviewer",IF(AND(L297="Exclude",M297=""),"Missing TA exclusion reason",IF(AND(R297="Exclude",S297=""),"Missing FT exclusion reason","Decision recorded"))))</x:f>
        <x:v>Pending screening</x:v>
      </x:c>
    </x:row>
    <x:row r="298" ht="40" customHeight="1">
      <x:c r="A298" s="5" t="str">
        <x:v>C0288</x:v>
      </x:c>
      <x:c r="B298" s="5" t="str">
        <x:v>Visual search and industrial inspection</x:v>
      </x:c>
      <x:c r="C298" s="5" t="str">
        <x:v>10.1037/e573682012-011</x:v>
      </x:c>
      <x:c r="D298" s="5" t="str"/>
      <x:c r="E298" s="5" t="str">
        <x:v>dataset</x:v>
      </x:c>
      <x:c r="F298" s="5" t="str">
        <x:v>S06</x:v>
      </x:c>
      <x:c r="G298" s="5" t="str">
        <x:v>Title-scope candidate</x:v>
      </x:c>
      <x:c r="H298" s="5" t="str">
        <x:v>Not assigned</x:v>
      </x:c>
      <x:c r="I298" s="5" t="str">
        <x:v>Not started</x:v>
      </x:c>
      <x:c r="J298" s="5" t="str">
        <x:v>Not assigned</x:v>
      </x:c>
      <x:c r="K298" s="5" t="str">
        <x:v>Not started</x:v>
      </x:c>
      <x:c r="L298" s="5" t="str">
        <x:v>Pending</x:v>
      </x:c>
      <x:c r="M298" s="5" t="str"/>
      <x:c r="N298" s="5" t="str">
        <x:v>Not started</x:v>
      </x:c>
      <x:c r="O298" s="5" t="str">
        <x:v>Not started</x:v>
      </x:c>
      <x:c r="P298" s="5" t="str">
        <x:v>Not started</x:v>
      </x:c>
      <x:c r="Q298" s="5" t="str">
        <x:v>Not started</x:v>
      </x:c>
      <x:c r="R298" s="5" t="str">
        <x:v>Pending</x:v>
      </x:c>
      <x:c r="S298" s="5" t="str"/>
      <x:c r="T298" s="5" t="str"/>
      <x:c r="U298" s="5" t="str"/>
      <x:c r="V298" s="5" t="str"/>
      <x:c r="W298" s="5" t="str">
        <x:v>Not linked</x:v>
      </x:c>
      <x:c r="X298" s="5" t="str">
        <x:v>Pending</x:v>
      </x:c>
      <x:c r="Y298" s="5" t="str">
        <x:f>IF(AND(L298="Pending",R298="Pending"),"Pending screening",IF(H298="Not assigned","Assign reviewer",IF(AND(L298="Exclude",M298=""),"Missing TA exclusion reason",IF(AND(R298="Exclude",S298=""),"Missing FT exclusion reason","Decision recorded"))))</x:f>
        <x:v>Pending screening</x:v>
      </x:c>
    </x:row>
    <x:row r="299" ht="40" customHeight="1">
      <x:c r="A299" s="5" t="str">
        <x:v>C0289</x:v>
      </x:c>
      <x:c r="B299" s="5" t="str">
        <x:v>Visual search in industrial inspection</x:v>
      </x:c>
      <x:c r="C299" s="5" t="str">
        <x:v>10.1016/0003-6870(91)90172-e</x:v>
      </x:c>
      <x:c r="D299" s="5" t="str"/>
      <x:c r="E299" s="5" t="str">
        <x:v>journal-article</x:v>
      </x:c>
      <x:c r="F299" s="5" t="str">
        <x:v>S06</x:v>
      </x:c>
      <x:c r="G299" s="5" t="str">
        <x:v>Title-scope candidate</x:v>
      </x:c>
      <x:c r="H299" s="5" t="str">
        <x:v>Not assigned</x:v>
      </x:c>
      <x:c r="I299" s="5" t="str">
        <x:v>Not started</x:v>
      </x:c>
      <x:c r="J299" s="5" t="str">
        <x:v>Not assigned</x:v>
      </x:c>
      <x:c r="K299" s="5" t="str">
        <x:v>Not started</x:v>
      </x:c>
      <x:c r="L299" s="5" t="str">
        <x:v>Pending</x:v>
      </x:c>
      <x:c r="M299" s="5" t="str"/>
      <x:c r="N299" s="5" t="str">
        <x:v>Not started</x:v>
      </x:c>
      <x:c r="O299" s="5" t="str">
        <x:v>Not started</x:v>
      </x:c>
      <x:c r="P299" s="5" t="str">
        <x:v>Not started</x:v>
      </x:c>
      <x:c r="Q299" s="5" t="str">
        <x:v>Not started</x:v>
      </x:c>
      <x:c r="R299" s="5" t="str">
        <x:v>Pending</x:v>
      </x:c>
      <x:c r="S299" s="5" t="str"/>
      <x:c r="T299" s="5" t="str"/>
      <x:c r="U299" s="5" t="str"/>
      <x:c r="V299" s="5" t="str"/>
      <x:c r="W299" s="5" t="str">
        <x:v>Not linked</x:v>
      </x:c>
      <x:c r="X299" s="5" t="str">
        <x:v>Pending</x:v>
      </x:c>
      <x:c r="Y299" s="5" t="str">
        <x:f>IF(AND(L299="Pending",R299="Pending"),"Pending screening",IF(H299="Not assigned","Assign reviewer",IF(AND(L299="Exclude",M299=""),"Missing TA exclusion reason",IF(AND(R299="Exclude",S299=""),"Missing FT exclusion reason","Decision recorded"))))</x:f>
        <x:v>Pending screening</x:v>
      </x:c>
    </x:row>
    <x:row r="300" ht="40" customHeight="1">
      <x:c r="A300" s="5" t="str">
        <x:v>C0290</x:v>
      </x:c>
      <x:c r="B300" s="5" t="str">
        <x:v>Visual search and industrial inspection</x:v>
      </x:c>
      <x:c r="C300" s="5" t="str">
        <x:v>10.1016/0003-6870(77)90014-x</x:v>
      </x:c>
      <x:c r="D300" s="5" t="str"/>
      <x:c r="E300" s="5" t="str">
        <x:v>journal-article</x:v>
      </x:c>
      <x:c r="F300" s="5" t="str">
        <x:v>S06</x:v>
      </x:c>
      <x:c r="G300" s="5" t="str">
        <x:v>Title-scope candidate</x:v>
      </x:c>
      <x:c r="H300" s="5" t="str">
        <x:v>Not assigned</x:v>
      </x:c>
      <x:c r="I300" s="5" t="str">
        <x:v>Not started</x:v>
      </x:c>
      <x:c r="J300" s="5" t="str">
        <x:v>Not assigned</x:v>
      </x:c>
      <x:c r="K300" s="5" t="str">
        <x:v>Not started</x:v>
      </x:c>
      <x:c r="L300" s="5" t="str">
        <x:v>Pending</x:v>
      </x:c>
      <x:c r="M300" s="5" t="str"/>
      <x:c r="N300" s="5" t="str">
        <x:v>Not started</x:v>
      </x:c>
      <x:c r="O300" s="5" t="str">
        <x:v>Not started</x:v>
      </x:c>
      <x:c r="P300" s="5" t="str">
        <x:v>Not started</x:v>
      </x:c>
      <x:c r="Q300" s="5" t="str">
        <x:v>Not started</x:v>
      </x:c>
      <x:c r="R300" s="5" t="str">
        <x:v>Pending</x:v>
      </x:c>
      <x:c r="S300" s="5" t="str"/>
      <x:c r="T300" s="5" t="str"/>
      <x:c r="U300" s="5" t="str"/>
      <x:c r="V300" s="5" t="str"/>
      <x:c r="W300" s="5" t="str">
        <x:v>Not linked</x:v>
      </x:c>
      <x:c r="X300" s="5" t="str">
        <x:v>Pending</x:v>
      </x:c>
      <x:c r="Y300" s="5" t="str">
        <x:f>IF(AND(L300="Pending",R300="Pending"),"Pending screening",IF(H300="Not assigned","Assign reviewer",IF(AND(L300="Exclude",M300=""),"Missing TA exclusion reason",IF(AND(R300="Exclude",S300=""),"Missing FT exclusion reason","Decision recorded"))))</x:f>
        <x:v>Pending screening</x:v>
      </x:c>
    </x:row>
    <x:row r="301" ht="40" customHeight="1">
      <x:c r="A301" s="5" t="str">
        <x:v>C0291</x:v>
      </x:c>
      <x:c r="B301" s="5" t="str">
        <x:v>AUTOMATION OF VISUAL INSPECTION USING IMAGE PROCESSING</x:v>
      </x:c>
      <x:c r="C301" s="5" t="str">
        <x:v>10.26488/iej.11.2.1039</x:v>
      </x:c>
      <x:c r="D301" s="5" t="str"/>
      <x:c r="E301" s="5" t="str">
        <x:v>journal-article</x:v>
      </x:c>
      <x:c r="F301" s="5" t="str">
        <x:v>S06</x:v>
      </x:c>
      <x:c r="G301" s="5" t="str">
        <x:v>Title-scope candidate</x:v>
      </x:c>
      <x:c r="H301" s="5" t="str">
        <x:v>Not assigned</x:v>
      </x:c>
      <x:c r="I301" s="5" t="str">
        <x:v>Not started</x:v>
      </x:c>
      <x:c r="J301" s="5" t="str">
        <x:v>Not assigned</x:v>
      </x:c>
      <x:c r="K301" s="5" t="str">
        <x:v>Not started</x:v>
      </x:c>
      <x:c r="L301" s="5" t="str">
        <x:v>Pending</x:v>
      </x:c>
      <x:c r="M301" s="5" t="str"/>
      <x:c r="N301" s="5" t="str">
        <x:v>Not started</x:v>
      </x:c>
      <x:c r="O301" s="5" t="str">
        <x:v>Not started</x:v>
      </x:c>
      <x:c r="P301" s="5" t="str">
        <x:v>Not started</x:v>
      </x:c>
      <x:c r="Q301" s="5" t="str">
        <x:v>Not started</x:v>
      </x:c>
      <x:c r="R301" s="5" t="str">
        <x:v>Pending</x:v>
      </x:c>
      <x:c r="S301" s="5" t="str"/>
      <x:c r="T301" s="5" t="str"/>
      <x:c r="U301" s="5" t="str"/>
      <x:c r="V301" s="5" t="str"/>
      <x:c r="W301" s="5" t="str">
        <x:v>Not linked</x:v>
      </x:c>
      <x:c r="X301" s="5" t="str">
        <x:v>Pending</x:v>
      </x:c>
      <x:c r="Y301" s="5" t="str">
        <x:f>IF(AND(L301="Pending",R301="Pending"),"Pending screening",IF(H301="Not assigned","Assign reviewer",IF(AND(L301="Exclude",M301=""),"Missing TA exclusion reason",IF(AND(R301="Exclude",S301=""),"Missing FT exclusion reason","Decision recorded"))))</x:f>
        <x:v>Pending screening</x:v>
      </x:c>
    </x:row>
    <x:row r="302" ht="53" customHeight="1">
      <x:c r="A302" s="5" t="str">
        <x:v>C0292</x:v>
      </x:c>
      <x:c r="B302" s="5" t="str">
        <x:v>Evaluating Evidence Verification and Selective Abstention for Reliable Retrieval-Augmented Biomedical Question Answering</x:v>
      </x:c>
      <x:c r="C302" s="5" t="str">
        <x:v>10.2139/ssrn.7391678</x:v>
      </x:c>
      <x:c r="D302" s="5" t="str"/>
      <x:c r="E302" s="5" t="str">
        <x:v>posted-content</x:v>
      </x:c>
      <x:c r="F302" s="5" t="str">
        <x:v>S06</x:v>
      </x:c>
      <x:c r="G302" s="5" t="str">
        <x:v>Lower-priority; inspect scope</x:v>
      </x:c>
      <x:c r="H302" s="5" t="str">
        <x:v>Not assigned</x:v>
      </x:c>
      <x:c r="I302" s="5" t="str">
        <x:v>Not started</x:v>
      </x:c>
      <x:c r="J302" s="5" t="str">
        <x:v>Not assigned</x:v>
      </x:c>
      <x:c r="K302" s="5" t="str">
        <x:v>Not started</x:v>
      </x:c>
      <x:c r="L302" s="5" t="str">
        <x:v>Pending</x:v>
      </x:c>
      <x:c r="M302" s="5" t="str"/>
      <x:c r="N302" s="5" t="str">
        <x:v>Not started</x:v>
      </x:c>
      <x:c r="O302" s="5" t="str">
        <x:v>Not started</x:v>
      </x:c>
      <x:c r="P302" s="5" t="str">
        <x:v>Not started</x:v>
      </x:c>
      <x:c r="Q302" s="5" t="str">
        <x:v>Not started</x:v>
      </x:c>
      <x:c r="R302" s="5" t="str">
        <x:v>Pending</x:v>
      </x:c>
      <x:c r="S302" s="5" t="str"/>
      <x:c r="T302" s="5" t="str"/>
      <x:c r="U302" s="5" t="str"/>
      <x:c r="V302" s="5" t="str"/>
      <x:c r="W302" s="5" t="str">
        <x:v>Not linked</x:v>
      </x:c>
      <x:c r="X302" s="5" t="str">
        <x:v>Pending</x:v>
      </x:c>
      <x:c r="Y302" s="5" t="str">
        <x:f>IF(AND(L302="Pending",R302="Pending"),"Pending screening",IF(H302="Not assigned","Assign reviewer",IF(AND(L302="Exclude",M302=""),"Missing TA exclusion reason",IF(AND(R302="Exclude",S302=""),"Missing FT exclusion reason","Decision recorded"))))</x:f>
        <x:v>Pending screening</x:v>
      </x:c>
    </x:row>
    <x:row r="303" ht="40" customHeight="1">
      <x:c r="A303" s="5" t="str">
        <x:v>C0293</x:v>
      </x:c>
      <x:c r="B303" s="5" t="str">
        <x:v>Automated Visual Inspection Algorithms</x:v>
      </x:c>
      <x:c r="C303" s="5" t="str">
        <x:v>10.1007/978-3-642-48675-3_10</x:v>
      </x:c>
      <x:c r="D303" s="5" t="str"/>
      <x:c r="E303" s="5" t="str">
        <x:v>book-chapter</x:v>
      </x:c>
      <x:c r="F303" s="5" t="str">
        <x:v>S06</x:v>
      </x:c>
      <x:c r="G303" s="5" t="str">
        <x:v>Title-scope candidate</x:v>
      </x:c>
      <x:c r="H303" s="5" t="str">
        <x:v>Not assigned</x:v>
      </x:c>
      <x:c r="I303" s="5" t="str">
        <x:v>Not started</x:v>
      </x:c>
      <x:c r="J303" s="5" t="str">
        <x:v>Not assigned</x:v>
      </x:c>
      <x:c r="K303" s="5" t="str">
        <x:v>Not started</x:v>
      </x:c>
      <x:c r="L303" s="5" t="str">
        <x:v>Pending</x:v>
      </x:c>
      <x:c r="M303" s="5" t="str"/>
      <x:c r="N303" s="5" t="str">
        <x:v>Not started</x:v>
      </x:c>
      <x:c r="O303" s="5" t="str">
        <x:v>Not started</x:v>
      </x:c>
      <x:c r="P303" s="5" t="str">
        <x:v>Not started</x:v>
      </x:c>
      <x:c r="Q303" s="5" t="str">
        <x:v>Not started</x:v>
      </x:c>
      <x:c r="R303" s="5" t="str">
        <x:v>Pending</x:v>
      </x:c>
      <x:c r="S303" s="5" t="str"/>
      <x:c r="T303" s="5" t="str"/>
      <x:c r="U303" s="5" t="str"/>
      <x:c r="V303" s="5" t="str"/>
      <x:c r="W303" s="5" t="str">
        <x:v>Not linked</x:v>
      </x:c>
      <x:c r="X303" s="5" t="str">
        <x:v>Pending</x:v>
      </x:c>
      <x:c r="Y303" s="5" t="str">
        <x:f>IF(AND(L303="Pending",R303="Pending"),"Pending screening",IF(H303="Not assigned","Assign reviewer",IF(AND(L303="Exclude",M303=""),"Missing TA exclusion reason",IF(AND(R303="Exclude",S303=""),"Missing FT exclusion reason","Decision recorded"))))</x:f>
        <x:v>Pending screening</x:v>
      </x:c>
    </x:row>
    <x:row r="304" ht="40" customHeight="1">
      <x:c r="A304" s="5" t="str">
        <x:v>C0294</x:v>
      </x:c>
      <x:c r="B304" s="5" t="str">
        <x:v>Automatic visual inspection in industry</x:v>
      </x:c>
      <x:c r="C304" s="5" t="str">
        <x:v>10.1108/eb004740</x:v>
      </x:c>
      <x:c r="D304" s="5" t="str"/>
      <x:c r="E304" s="5" t="str">
        <x:v>journal-article</x:v>
      </x:c>
      <x:c r="F304" s="5" t="str">
        <x:v>S06</x:v>
      </x:c>
      <x:c r="G304" s="5" t="str">
        <x:v>Title-scope candidate</x:v>
      </x:c>
      <x:c r="H304" s="5" t="str">
        <x:v>Not assigned</x:v>
      </x:c>
      <x:c r="I304" s="5" t="str">
        <x:v>Not started</x:v>
      </x:c>
      <x:c r="J304" s="5" t="str">
        <x:v>Not assigned</x:v>
      </x:c>
      <x:c r="K304" s="5" t="str">
        <x:v>Not started</x:v>
      </x:c>
      <x:c r="L304" s="5" t="str">
        <x:v>Pending</x:v>
      </x:c>
      <x:c r="M304" s="5" t="str"/>
      <x:c r="N304" s="5" t="str">
        <x:v>Not started</x:v>
      </x:c>
      <x:c r="O304" s="5" t="str">
        <x:v>Not started</x:v>
      </x:c>
      <x:c r="P304" s="5" t="str">
        <x:v>Not started</x:v>
      </x:c>
      <x:c r="Q304" s="5" t="str">
        <x:v>Not started</x:v>
      </x:c>
      <x:c r="R304" s="5" t="str">
        <x:v>Pending</x:v>
      </x:c>
      <x:c r="S304" s="5" t="str"/>
      <x:c r="T304" s="5" t="str"/>
      <x:c r="U304" s="5" t="str"/>
      <x:c r="V304" s="5" t="str"/>
      <x:c r="W304" s="5" t="str">
        <x:v>Not linked</x:v>
      </x:c>
      <x:c r="X304" s="5" t="str">
        <x:v>Pending</x:v>
      </x:c>
      <x:c r="Y304" s="5" t="str">
        <x:f>IF(AND(L304="Pending",R304="Pending"),"Pending screening",IF(H304="Not assigned","Assign reviewer",IF(AND(L304="Exclude",M304=""),"Missing TA exclusion reason",IF(AND(R304="Exclude",S304=""),"Missing FT exclusion reason","Decision recorded"))))</x:f>
        <x:v>Pending screening</x:v>
      </x:c>
    </x:row>
    <x:row r="305" ht="40" customHeight="1">
      <x:c r="A305" s="5" t="str">
        <x:v>C0295</x:v>
      </x:c>
      <x:c r="B305" s="5" t="str">
        <x:v>Outlook: Visual Inspection Projects</x:v>
      </x:c>
      <x:c r="C305" s="5" t="str">
        <x:v>10.1007/978-3-642-58550-0_11</x:v>
      </x:c>
      <x:c r="D305" s="5" t="str"/>
      <x:c r="E305" s="5" t="str">
        <x:v>book-chapter</x:v>
      </x:c>
      <x:c r="F305" s="5" t="str">
        <x:v>S06</x:v>
      </x:c>
      <x:c r="G305" s="5" t="str">
        <x:v>Title-scope candidate</x:v>
      </x:c>
      <x:c r="H305" s="5" t="str">
        <x:v>Not assigned</x:v>
      </x:c>
      <x:c r="I305" s="5" t="str">
        <x:v>Not started</x:v>
      </x:c>
      <x:c r="J305" s="5" t="str">
        <x:v>Not assigned</x:v>
      </x:c>
      <x:c r="K305" s="5" t="str">
        <x:v>Not started</x:v>
      </x:c>
      <x:c r="L305" s="5" t="str">
        <x:v>Pending</x:v>
      </x:c>
      <x:c r="M305" s="5" t="str"/>
      <x:c r="N305" s="5" t="str">
        <x:v>Not started</x:v>
      </x:c>
      <x:c r="O305" s="5" t="str">
        <x:v>Not started</x:v>
      </x:c>
      <x:c r="P305" s="5" t="str">
        <x:v>Not started</x:v>
      </x:c>
      <x:c r="Q305" s="5" t="str">
        <x:v>Not started</x:v>
      </x:c>
      <x:c r="R305" s="5" t="str">
        <x:v>Pending</x:v>
      </x:c>
      <x:c r="S305" s="5" t="str"/>
      <x:c r="T305" s="5" t="str"/>
      <x:c r="U305" s="5" t="str"/>
      <x:c r="V305" s="5" t="str"/>
      <x:c r="W305" s="5" t="str">
        <x:v>Not linked</x:v>
      </x:c>
      <x:c r="X305" s="5" t="str">
        <x:v>Pending</x:v>
      </x:c>
      <x:c r="Y305" s="5" t="str">
        <x:f>IF(AND(L305="Pending",R305="Pending"),"Pending screening",IF(H305="Not assigned","Assign reviewer",IF(AND(L305="Exclude",M305=""),"Missing TA exclusion reason",IF(AND(R305="Exclude",S305=""),"Missing FT exclusion reason","Decision recorded"))))</x:f>
        <x:v>Pending screening</x:v>
      </x:c>
    </x:row>
    <x:row r="306" ht="40" customHeight="1">
      <x:c r="A306" s="5" t="str">
        <x:v>C0296</x:v>
      </x:c>
      <x:c r="B306" s="5" t="str">
        <x:v>Industrial Visual Defect Inspection of Electronic Components with Siamese Neural Network</x:v>
      </x:c>
      <x:c r="C306" s="5" t="str">
        <x:v>10.5220/0011696400003417</x:v>
      </x:c>
      <x:c r="D306" s="5" t="str"/>
      <x:c r="E306" s="5" t="str">
        <x:v>proceedings-article</x:v>
      </x:c>
      <x:c r="F306" s="5" t="str">
        <x:v>S06; S11</x:v>
      </x:c>
      <x:c r="G306" s="5" t="str">
        <x:v>Title-scope candidate</x:v>
      </x:c>
      <x:c r="H306" s="5" t="str">
        <x:v>Not assigned</x:v>
      </x:c>
      <x:c r="I306" s="5" t="str">
        <x:v>Not started</x:v>
      </x:c>
      <x:c r="J306" s="5" t="str">
        <x:v>Not assigned</x:v>
      </x:c>
      <x:c r="K306" s="5" t="str">
        <x:v>Not started</x:v>
      </x:c>
      <x:c r="L306" s="5" t="str">
        <x:v>Pending</x:v>
      </x:c>
      <x:c r="M306" s="5" t="str"/>
      <x:c r="N306" s="5" t="str">
        <x:v>Not started</x:v>
      </x:c>
      <x:c r="O306" s="5" t="str">
        <x:v>Not started</x:v>
      </x:c>
      <x:c r="P306" s="5" t="str">
        <x:v>Not started</x:v>
      </x:c>
      <x:c r="Q306" s="5" t="str">
        <x:v>Not started</x:v>
      </x:c>
      <x:c r="R306" s="5" t="str">
        <x:v>Pending</x:v>
      </x:c>
      <x:c r="S306" s="5" t="str"/>
      <x:c r="T306" s="5" t="str"/>
      <x:c r="U306" s="5" t="str"/>
      <x:c r="V306" s="5" t="str"/>
      <x:c r="W306" s="5" t="str">
        <x:v>Not linked</x:v>
      </x:c>
      <x:c r="X306" s="5" t="str">
        <x:v>Pending</x:v>
      </x:c>
      <x:c r="Y306" s="5" t="str">
        <x:f>IF(AND(L306="Pending",R306="Pending"),"Pending screening",IF(H306="Not assigned","Assign reviewer",IF(AND(L306="Exclude",M306=""),"Missing TA exclusion reason",IF(AND(R306="Exclude",S306=""),"Missing FT exclusion reason","Decision recorded"))))</x:f>
        <x:v>Pending screening</x:v>
      </x:c>
    </x:row>
    <x:row r="307" ht="53" customHeight="1">
      <x:c r="A307" s="5" t="str">
        <x:v>C0297</x:v>
      </x:c>
      <x:c r="B307" s="5" t="str">
        <x:v>Uncertainty-Aware Brain-Tumor Type Classification From MRI: Segmentation-Guided ROI, Conformal Prediction, and Selective Abstention Under Distribution Shift</x:v>
      </x:c>
      <x:c r="C307" s="5" t="str">
        <x:v>10.1109/access.2026.3729887</x:v>
      </x:c>
      <x:c r="D307" s="5" t="str"/>
      <x:c r="E307" s="5" t="str">
        <x:v>journal-article</x:v>
      </x:c>
      <x:c r="F307" s="5" t="str">
        <x:v>S06</x:v>
      </x:c>
      <x:c r="G307" s="5" t="str">
        <x:v>Lower-priority; inspect scope</x:v>
      </x:c>
      <x:c r="H307" s="5" t="str">
        <x:v>Not assigned</x:v>
      </x:c>
      <x:c r="I307" s="5" t="str">
        <x:v>Not started</x:v>
      </x:c>
      <x:c r="J307" s="5" t="str">
        <x:v>Not assigned</x:v>
      </x:c>
      <x:c r="K307" s="5" t="str">
        <x:v>Not started</x:v>
      </x:c>
      <x:c r="L307" s="5" t="str">
        <x:v>Pending</x:v>
      </x:c>
      <x:c r="M307" s="5" t="str"/>
      <x:c r="N307" s="5" t="str">
        <x:v>Not started</x:v>
      </x:c>
      <x:c r="O307" s="5" t="str">
        <x:v>Not started</x:v>
      </x:c>
      <x:c r="P307" s="5" t="str">
        <x:v>Not started</x:v>
      </x:c>
      <x:c r="Q307" s="5" t="str">
        <x:v>Not started</x:v>
      </x:c>
      <x:c r="R307" s="5" t="str">
        <x:v>Pending</x:v>
      </x:c>
      <x:c r="S307" s="5" t="str"/>
      <x:c r="T307" s="5" t="str"/>
      <x:c r="U307" s="5" t="str"/>
      <x:c r="V307" s="5" t="str"/>
      <x:c r="W307" s="5" t="str">
        <x:v>Not linked</x:v>
      </x:c>
      <x:c r="X307" s="5" t="str">
        <x:v>Pending</x:v>
      </x:c>
      <x:c r="Y307" s="5" t="str">
        <x:f>IF(AND(L307="Pending",R307="Pending"),"Pending screening",IF(H307="Not assigned","Assign reviewer",IF(AND(L307="Exclude",M307=""),"Missing TA exclusion reason",IF(AND(R307="Exclude",S307=""),"Missing FT exclusion reason","Decision recorded"))))</x:f>
        <x:v>Pending screening</x:v>
      </x:c>
    </x:row>
    <x:row r="308" ht="40" customHeight="1">
      <x:c r="A308" s="5" t="str">
        <x:v>C0298</x:v>
      </x:c>
      <x:c r="B308" s="5" t="str">
        <x:v>Automated visual inspection systems for industrial applications</x:v>
      </x:c>
      <x:c r="C308" s="5" t="str">
        <x:v>10.1016/s0263-2241(83)80012-8</x:v>
      </x:c>
      <x:c r="D308" s="5" t="str"/>
      <x:c r="E308" s="5" t="str">
        <x:v>journal-article</x:v>
      </x:c>
      <x:c r="F308" s="5" t="str">
        <x:v>S06</x:v>
      </x:c>
      <x:c r="G308" s="5" t="str">
        <x:v>Title-scope candidate</x:v>
      </x:c>
      <x:c r="H308" s="5" t="str">
        <x:v>Not assigned</x:v>
      </x:c>
      <x:c r="I308" s="5" t="str">
        <x:v>Not started</x:v>
      </x:c>
      <x:c r="J308" s="5" t="str">
        <x:v>Not assigned</x:v>
      </x:c>
      <x:c r="K308" s="5" t="str">
        <x:v>Not started</x:v>
      </x:c>
      <x:c r="L308" s="5" t="str">
        <x:v>Pending</x:v>
      </x:c>
      <x:c r="M308" s="5" t="str"/>
      <x:c r="N308" s="5" t="str">
        <x:v>Not started</x:v>
      </x:c>
      <x:c r="O308" s="5" t="str">
        <x:v>Not started</x:v>
      </x:c>
      <x:c r="P308" s="5" t="str">
        <x:v>Not started</x:v>
      </x:c>
      <x:c r="Q308" s="5" t="str">
        <x:v>Not started</x:v>
      </x:c>
      <x:c r="R308" s="5" t="str">
        <x:v>Pending</x:v>
      </x:c>
      <x:c r="S308" s="5" t="str"/>
      <x:c r="T308" s="5" t="str"/>
      <x:c r="U308" s="5" t="str"/>
      <x:c r="V308" s="5" t="str"/>
      <x:c r="W308" s="5" t="str">
        <x:v>Not linked</x:v>
      </x:c>
      <x:c r="X308" s="5" t="str">
        <x:v>Pending</x:v>
      </x:c>
      <x:c r="Y308" s="5" t="str">
        <x:f>IF(AND(L308="Pending",R308="Pending"),"Pending screening",IF(H308="Not assigned","Assign reviewer",IF(AND(L308="Exclude",M308=""),"Missing TA exclusion reason",IF(AND(R308="Exclude",S308=""),"Missing FT exclusion reason","Decision recorded"))))</x:f>
        <x:v>Pending screening</x:v>
      </x:c>
    </x:row>
    <x:row r="309" ht="40" customHeight="1">
      <x:c r="A309" s="5" t="str">
        <x:v>C0299</x:v>
      </x:c>
      <x:c r="B309" s="5" t="str">
        <x:v>Selective Abstention in Simultaneous Elections: Understanding the Turnout Gap</x:v>
      </x:c>
      <x:c r="C309" s="5" t="str">
        <x:v>10.33774/apsa-2020-580j6</x:v>
      </x:c>
      <x:c r="D309" s="5" t="str"/>
      <x:c r="E309" s="5" t="str">
        <x:v>posted-content</x:v>
      </x:c>
      <x:c r="F309" s="5" t="str">
        <x:v>S06</x:v>
      </x:c>
      <x:c r="G309" s="5" t="str">
        <x:v>Lower-priority; inspect scope</x:v>
      </x:c>
      <x:c r="H309" s="5" t="str">
        <x:v>Not assigned</x:v>
      </x:c>
      <x:c r="I309" s="5" t="str">
        <x:v>Not started</x:v>
      </x:c>
      <x:c r="J309" s="5" t="str">
        <x:v>Not assigned</x:v>
      </x:c>
      <x:c r="K309" s="5" t="str">
        <x:v>Not started</x:v>
      </x:c>
      <x:c r="L309" s="5" t="str">
        <x:v>Pending</x:v>
      </x:c>
      <x:c r="M309" s="5" t="str"/>
      <x:c r="N309" s="5" t="str">
        <x:v>Not started</x:v>
      </x:c>
      <x:c r="O309" s="5" t="str">
        <x:v>Not started</x:v>
      </x:c>
      <x:c r="P309" s="5" t="str">
        <x:v>Not started</x:v>
      </x:c>
      <x:c r="Q309" s="5" t="str">
        <x:v>Not started</x:v>
      </x:c>
      <x:c r="R309" s="5" t="str">
        <x:v>Pending</x:v>
      </x:c>
      <x:c r="S309" s="5" t="str"/>
      <x:c r="T309" s="5" t="str"/>
      <x:c r="U309" s="5" t="str"/>
      <x:c r="V309" s="5" t="str"/>
      <x:c r="W309" s="5" t="str">
        <x:v>Not linked</x:v>
      </x:c>
      <x:c r="X309" s="5" t="str">
        <x:v>Pending</x:v>
      </x:c>
      <x:c r="Y309" s="5" t="str">
        <x:f>IF(AND(L309="Pending",R309="Pending"),"Pending screening",IF(H309="Not assigned","Assign reviewer",IF(AND(L309="Exclude",M309=""),"Missing TA exclusion reason",IF(AND(R309="Exclude",S309=""),"Missing FT exclusion reason","Decision recorded"))))</x:f>
        <x:v>Pending screening</x:v>
      </x:c>
    </x:row>
    <x:row r="310" ht="40" customHeight="1">
      <x:c r="A310" s="5" t="str">
        <x:v>C0300</x:v>
      </x:c>
      <x:c r="B310" s="5" t="str">
        <x:v>Structure of visual inspection system for IMS</x:v>
      </x:c>
      <x:c r="C310" s="5" t="str">
        <x:v>10.1109/lindi.2011.6031126</x:v>
      </x:c>
      <x:c r="D310" s="5" t="str"/>
      <x:c r="E310" s="5" t="str">
        <x:v>proceedings-article</x:v>
      </x:c>
      <x:c r="F310" s="5" t="str">
        <x:v>S06</x:v>
      </x:c>
      <x:c r="G310" s="5" t="str">
        <x:v>Title-scope candidate</x:v>
      </x:c>
      <x:c r="H310" s="5" t="str">
        <x:v>Not assigned</x:v>
      </x:c>
      <x:c r="I310" s="5" t="str">
        <x:v>Not started</x:v>
      </x:c>
      <x:c r="J310" s="5" t="str">
        <x:v>Not assigned</x:v>
      </x:c>
      <x:c r="K310" s="5" t="str">
        <x:v>Not started</x:v>
      </x:c>
      <x:c r="L310" s="5" t="str">
        <x:v>Pending</x:v>
      </x:c>
      <x:c r="M310" s="5" t="str"/>
      <x:c r="N310" s="5" t="str">
        <x:v>Not started</x:v>
      </x:c>
      <x:c r="O310" s="5" t="str">
        <x:v>Not started</x:v>
      </x:c>
      <x:c r="P310" s="5" t="str">
        <x:v>Not started</x:v>
      </x:c>
      <x:c r="Q310" s="5" t="str">
        <x:v>Not started</x:v>
      </x:c>
      <x:c r="R310" s="5" t="str">
        <x:v>Pending</x:v>
      </x:c>
      <x:c r="S310" s="5" t="str"/>
      <x:c r="T310" s="5" t="str"/>
      <x:c r="U310" s="5" t="str"/>
      <x:c r="V310" s="5" t="str"/>
      <x:c r="W310" s="5" t="str">
        <x:v>Not linked</x:v>
      </x:c>
      <x:c r="X310" s="5" t="str">
        <x:v>Pending</x:v>
      </x:c>
      <x:c r="Y310" s="5" t="str">
        <x:f>IF(AND(L310="Pending",R310="Pending"),"Pending screening",IF(H310="Not assigned","Assign reviewer",IF(AND(L310="Exclude",M310=""),"Missing TA exclusion reason",IF(AND(R310="Exclude",S310=""),"Missing FT exclusion reason","Decision recorded"))))</x:f>
        <x:v>Pending screening</x:v>
      </x:c>
    </x:row>
    <x:row r="311" ht="40" customHeight="1">
      <x:c r="A311" s="5" t="str">
        <x:v>C0301</x:v>
      </x:c>
      <x:c r="B311" s="5" t="str">
        <x:v>Intelligent visual inspection</x:v>
      </x:c>
      <x:c r="C311" s="5" t="str">
        <x:v>10.1007/978-1-4613-1201-7_2</x:v>
      </x:c>
      <x:c r="D311" s="5" t="str"/>
      <x:c r="E311" s="5" t="str">
        <x:v>book-chapter</x:v>
      </x:c>
      <x:c r="F311" s="5" t="str">
        <x:v>S06</x:v>
      </x:c>
      <x:c r="G311" s="5" t="str">
        <x:v>Title-scope candidate</x:v>
      </x:c>
      <x:c r="H311" s="5" t="str">
        <x:v>Not assigned</x:v>
      </x:c>
      <x:c r="I311" s="5" t="str">
        <x:v>Not started</x:v>
      </x:c>
      <x:c r="J311" s="5" t="str">
        <x:v>Not assigned</x:v>
      </x:c>
      <x:c r="K311" s="5" t="str">
        <x:v>Not started</x:v>
      </x:c>
      <x:c r="L311" s="5" t="str">
        <x:v>Pending</x:v>
      </x:c>
      <x:c r="M311" s="5" t="str"/>
      <x:c r="N311" s="5" t="str">
        <x:v>Not started</x:v>
      </x:c>
      <x:c r="O311" s="5" t="str">
        <x:v>Not started</x:v>
      </x:c>
      <x:c r="P311" s="5" t="str">
        <x:v>Not started</x:v>
      </x:c>
      <x:c r="Q311" s="5" t="str">
        <x:v>Not started</x:v>
      </x:c>
      <x:c r="R311" s="5" t="str">
        <x:v>Pending</x:v>
      </x:c>
      <x:c r="S311" s="5" t="str"/>
      <x:c r="T311" s="5" t="str"/>
      <x:c r="U311" s="5" t="str"/>
      <x:c r="V311" s="5" t="str"/>
      <x:c r="W311" s="5" t="str">
        <x:v>Not linked</x:v>
      </x:c>
      <x:c r="X311" s="5" t="str">
        <x:v>Pending</x:v>
      </x:c>
      <x:c r="Y311" s="5" t="str">
        <x:f>IF(AND(L311="Pending",R311="Pending"),"Pending screening",IF(H311="Not assigned","Assign reviewer",IF(AND(L311="Exclude",M311=""),"Missing TA exclusion reason",IF(AND(R311="Exclude",S311=""),"Missing FT exclusion reason","Decision recorded"))))</x:f>
        <x:v>Pending screening</x:v>
      </x:c>
    </x:row>
    <x:row r="312" ht="40" customHeight="1">
      <x:c r="A312" s="5" t="str">
        <x:v>C0302</x:v>
      </x:c>
      <x:c r="B312" s="5" t="str">
        <x:v>Selective Abstention in Simultaneous Elections: Understanding the Turnout Gap</x:v>
      </x:c>
      <x:c r="C312" s="5" t="str">
        <x:v>10.33774/apsa-2020-580j6-v2</x:v>
      </x:c>
      <x:c r="D312" s="5" t="str"/>
      <x:c r="E312" s="5" t="str">
        <x:v>posted-content</x:v>
      </x:c>
      <x:c r="F312" s="5" t="str">
        <x:v>S06</x:v>
      </x:c>
      <x:c r="G312" s="5" t="str">
        <x:v>Lower-priority; inspect scope</x:v>
      </x:c>
      <x:c r="H312" s="5" t="str">
        <x:v>Not assigned</x:v>
      </x:c>
      <x:c r="I312" s="5" t="str">
        <x:v>Not started</x:v>
      </x:c>
      <x:c r="J312" s="5" t="str">
        <x:v>Not assigned</x:v>
      </x:c>
      <x:c r="K312" s="5" t="str">
        <x:v>Not started</x:v>
      </x:c>
      <x:c r="L312" s="5" t="str">
        <x:v>Pending</x:v>
      </x:c>
      <x:c r="M312" s="5" t="str"/>
      <x:c r="N312" s="5" t="str">
        <x:v>Not started</x:v>
      </x:c>
      <x:c r="O312" s="5" t="str">
        <x:v>Not started</x:v>
      </x:c>
      <x:c r="P312" s="5" t="str">
        <x:v>Not started</x:v>
      </x:c>
      <x:c r="Q312" s="5" t="str">
        <x:v>Not started</x:v>
      </x:c>
      <x:c r="R312" s="5" t="str">
        <x:v>Pending</x:v>
      </x:c>
      <x:c r="S312" s="5" t="str"/>
      <x:c r="T312" s="5" t="str"/>
      <x:c r="U312" s="5" t="str"/>
      <x:c r="V312" s="5" t="str"/>
      <x:c r="W312" s="5" t="str">
        <x:v>Not linked</x:v>
      </x:c>
      <x:c r="X312" s="5" t="str">
        <x:v>Pending</x:v>
      </x:c>
      <x:c r="Y312" s="5" t="str">
        <x:f>IF(AND(L312="Pending",R312="Pending"),"Pending screening",IF(H312="Not assigned","Assign reviewer",IF(AND(L312="Exclude",M312=""),"Missing TA exclusion reason",IF(AND(R312="Exclude",S312=""),"Missing FT exclusion reason","Decision recorded"))))</x:f>
        <x:v>Pending screening</x:v>
      </x:c>
    </x:row>
    <x:row r="313" ht="40" customHeight="1">
      <x:c r="A313" s="5" t="str">
        <x:v>C0303</x:v>
      </x:c>
      <x:c r="B313" s="5" t="str">
        <x:v>Selective Abstention in Simultaneous Elections: Understanding the Turnout Gap</x:v>
      </x:c>
      <x:c r="C313" s="5" t="str">
        <x:v>10.33774/apsa-2020-580j6-v3</x:v>
      </x:c>
      <x:c r="D313" s="5" t="str"/>
      <x:c r="E313" s="5" t="str">
        <x:v>posted-content</x:v>
      </x:c>
      <x:c r="F313" s="5" t="str">
        <x:v>S06</x:v>
      </x:c>
      <x:c r="G313" s="5" t="str">
        <x:v>Lower-priority; inspect scope</x:v>
      </x:c>
      <x:c r="H313" s="5" t="str">
        <x:v>Not assigned</x:v>
      </x:c>
      <x:c r="I313" s="5" t="str">
        <x:v>Not started</x:v>
      </x:c>
      <x:c r="J313" s="5" t="str">
        <x:v>Not assigned</x:v>
      </x:c>
      <x:c r="K313" s="5" t="str">
        <x:v>Not started</x:v>
      </x:c>
      <x:c r="L313" s="5" t="str">
        <x:v>Pending</x:v>
      </x:c>
      <x:c r="M313" s="5" t="str"/>
      <x:c r="N313" s="5" t="str">
        <x:v>Not started</x:v>
      </x:c>
      <x:c r="O313" s="5" t="str">
        <x:v>Not started</x:v>
      </x:c>
      <x:c r="P313" s="5" t="str">
        <x:v>Not started</x:v>
      </x:c>
      <x:c r="Q313" s="5" t="str">
        <x:v>Not started</x:v>
      </x:c>
      <x:c r="R313" s="5" t="str">
        <x:v>Pending</x:v>
      </x:c>
      <x:c r="S313" s="5" t="str"/>
      <x:c r="T313" s="5" t="str"/>
      <x:c r="U313" s="5" t="str"/>
      <x:c r="V313" s="5" t="str"/>
      <x:c r="W313" s="5" t="str">
        <x:v>Not linked</x:v>
      </x:c>
      <x:c r="X313" s="5" t="str">
        <x:v>Pending</x:v>
      </x:c>
      <x:c r="Y313" s="5" t="str">
        <x:f>IF(AND(L313="Pending",R313="Pending"),"Pending screening",IF(H313="Not assigned","Assign reviewer",IF(AND(L313="Exclude",M313=""),"Missing TA exclusion reason",IF(AND(R313="Exclude",S313=""),"Missing FT exclusion reason","Decision recorded"))))</x:f>
        <x:v>Pending screening</x:v>
      </x:c>
    </x:row>
    <x:row r="314" ht="40" customHeight="1">
      <x:c r="A314" s="5" t="str">
        <x:v>C0304</x:v>
      </x:c>
      <x:c r="B314" s="5" t="str">
        <x:v>Selective Omniprediction and Fair Abstention</x:v>
      </x:c>
      <x:c r="C314" s="5" t="str">
        <x:v>10.52202/085713-1316</x:v>
      </x:c>
      <x:c r="D314" s="5" t="str"/>
      <x:c r="E314" s="5" t="str">
        <x:v>proceedings-article</x:v>
      </x:c>
      <x:c r="F314" s="5" t="str">
        <x:v>S06</x:v>
      </x:c>
      <x:c r="G314" s="5" t="str">
        <x:v>Lower-priority; inspect scope</x:v>
      </x:c>
      <x:c r="H314" s="5" t="str">
        <x:v>Not assigned</x:v>
      </x:c>
      <x:c r="I314" s="5" t="str">
        <x:v>Not started</x:v>
      </x:c>
      <x:c r="J314" s="5" t="str">
        <x:v>Not assigned</x:v>
      </x:c>
      <x:c r="K314" s="5" t="str">
        <x:v>Not started</x:v>
      </x:c>
      <x:c r="L314" s="5" t="str">
        <x:v>Pending</x:v>
      </x:c>
      <x:c r="M314" s="5" t="str"/>
      <x:c r="N314" s="5" t="str">
        <x:v>Not started</x:v>
      </x:c>
      <x:c r="O314" s="5" t="str">
        <x:v>Not started</x:v>
      </x:c>
      <x:c r="P314" s="5" t="str">
        <x:v>Not started</x:v>
      </x:c>
      <x:c r="Q314" s="5" t="str">
        <x:v>Not started</x:v>
      </x:c>
      <x:c r="R314" s="5" t="str">
        <x:v>Pending</x:v>
      </x:c>
      <x:c r="S314" s="5" t="str"/>
      <x:c r="T314" s="5" t="str"/>
      <x:c r="U314" s="5" t="str"/>
      <x:c r="V314" s="5" t="str"/>
      <x:c r="W314" s="5" t="str">
        <x:v>Not linked</x:v>
      </x:c>
      <x:c r="X314" s="5" t="str">
        <x:v>Pending</x:v>
      </x:c>
      <x:c r="Y314" s="5" t="str">
        <x:f>IF(AND(L314="Pending",R314="Pending"),"Pending screening",IF(H314="Not assigned","Assign reviewer",IF(AND(L314="Exclude",M314=""),"Missing TA exclusion reason",IF(AND(R314="Exclude",S314=""),"Missing FT exclusion reason","Decision recorded"))))</x:f>
        <x:v>Pending screening</x:v>
      </x:c>
    </x:row>
    <x:row r="315" ht="40" customHeight="1">
      <x:c r="A315" s="5" t="str">
        <x:v>C0305</x:v>
      </x:c>
      <x:c r="B315" s="5" t="str">
        <x:v>Automated visual inspection systems</x:v>
      </x:c>
      <x:c r="C315" s="5" t="str">
        <x:v>10.1007/978-1-4613-1201-7_11</x:v>
      </x:c>
      <x:c r="D315" s="5" t="str"/>
      <x:c r="E315" s="5" t="str">
        <x:v>book-chapter</x:v>
      </x:c>
      <x:c r="F315" s="5" t="str">
        <x:v>S06</x:v>
      </x:c>
      <x:c r="G315" s="5" t="str">
        <x:v>Title-scope candidate</x:v>
      </x:c>
      <x:c r="H315" s="5" t="str">
        <x:v>Not assigned</x:v>
      </x:c>
      <x:c r="I315" s="5" t="str">
        <x:v>Not started</x:v>
      </x:c>
      <x:c r="J315" s="5" t="str">
        <x:v>Not assigned</x:v>
      </x:c>
      <x:c r="K315" s="5" t="str">
        <x:v>Not started</x:v>
      </x:c>
      <x:c r="L315" s="5" t="str">
        <x:v>Pending</x:v>
      </x:c>
      <x:c r="M315" s="5" t="str"/>
      <x:c r="N315" s="5" t="str">
        <x:v>Not started</x:v>
      </x:c>
      <x:c r="O315" s="5" t="str">
        <x:v>Not started</x:v>
      </x:c>
      <x:c r="P315" s="5" t="str">
        <x:v>Not started</x:v>
      </x:c>
      <x:c r="Q315" s="5" t="str">
        <x:v>Not started</x:v>
      </x:c>
      <x:c r="R315" s="5" t="str">
        <x:v>Pending</x:v>
      </x:c>
      <x:c r="S315" s="5" t="str"/>
      <x:c r="T315" s="5" t="str"/>
      <x:c r="U315" s="5" t="str"/>
      <x:c r="V315" s="5" t="str"/>
      <x:c r="W315" s="5" t="str">
        <x:v>Not linked</x:v>
      </x:c>
      <x:c r="X315" s="5" t="str">
        <x:v>Pending</x:v>
      </x:c>
      <x:c r="Y315" s="5" t="str">
        <x:f>IF(AND(L315="Pending",R315="Pending"),"Pending screening",IF(H315="Not assigned","Assign reviewer",IF(AND(L315="Exclude",M315=""),"Missing TA exclusion reason",IF(AND(R315="Exclude",S315=""),"Missing FT exclusion reason","Decision recorded"))))</x:f>
        <x:v>Pending screening</x:v>
      </x:c>
    </x:row>
    <x:row r="316" ht="40" customHeight="1">
      <x:c r="A316" s="5" t="str">
        <x:v>C0306</x:v>
      </x:c>
      <x:c r="B316" s="5" t="str">
        <x:v>COMPUTER VISION FOR AUTONOMOUS VISUAL INSPECTION IN INDUSTRIAL PRODUCTION LINES</x:v>
      </x:c>
      <x:c r="C316" s="5" t="str">
        <x:v>10.47820/recima21.v6i3.6177</x:v>
      </x:c>
      <x:c r="D316" s="5" t="str"/>
      <x:c r="E316" s="5" t="str">
        <x:v>journal-article</x:v>
      </x:c>
      <x:c r="F316" s="5" t="str">
        <x:v>S06</x:v>
      </x:c>
      <x:c r="G316" s="5" t="str">
        <x:v>Title-scope candidate</x:v>
      </x:c>
      <x:c r="H316" s="5" t="str">
        <x:v>Not assigned</x:v>
      </x:c>
      <x:c r="I316" s="5" t="str">
        <x:v>Not started</x:v>
      </x:c>
      <x:c r="J316" s="5" t="str">
        <x:v>Not assigned</x:v>
      </x:c>
      <x:c r="K316" s="5" t="str">
        <x:v>Not started</x:v>
      </x:c>
      <x:c r="L316" s="5" t="str">
        <x:v>Pending</x:v>
      </x:c>
      <x:c r="M316" s="5" t="str"/>
      <x:c r="N316" s="5" t="str">
        <x:v>Not started</x:v>
      </x:c>
      <x:c r="O316" s="5" t="str">
        <x:v>Not started</x:v>
      </x:c>
      <x:c r="P316" s="5" t="str">
        <x:v>Not started</x:v>
      </x:c>
      <x:c r="Q316" s="5" t="str">
        <x:v>Not started</x:v>
      </x:c>
      <x:c r="R316" s="5" t="str">
        <x:v>Pending</x:v>
      </x:c>
      <x:c r="S316" s="5" t="str"/>
      <x:c r="T316" s="5" t="str"/>
      <x:c r="U316" s="5" t="str"/>
      <x:c r="V316" s="5" t="str"/>
      <x:c r="W316" s="5" t="str">
        <x:v>Not linked</x:v>
      </x:c>
      <x:c r="X316" s="5" t="str">
        <x:v>Pending</x:v>
      </x:c>
      <x:c r="Y316" s="5" t="str">
        <x:f>IF(AND(L316="Pending",R316="Pending"),"Pending screening",IF(H316="Not assigned","Assign reviewer",IF(AND(L316="Exclude",M316=""),"Missing TA exclusion reason",IF(AND(R316="Exclude",S316=""),"Missing FT exclusion reason","Decision recorded"))))</x:f>
        <x:v>Pending screening</x:v>
      </x:c>
    </x:row>
    <x:row r="317" ht="40" customHeight="1">
      <x:c r="A317" s="5" t="str">
        <x:v>C0307</x:v>
      </x:c>
      <x:c r="B317" s="5" t="str">
        <x:v>Comparison of multimodal RGB-thermal fusion techniques for exterior wall multi-defect detection</x:v>
      </x:c>
      <x:c r="C317" s="5" t="str">
        <x:v>10.1016/j.iintel.2023.100029</x:v>
      </x:c>
      <x:c r="D317" s="5" t="str"/>
      <x:c r="E317" s="5" t="str">
        <x:v>journal-article</x:v>
      </x:c>
      <x:c r="F317" s="5" t="str">
        <x:v>S11</x:v>
      </x:c>
      <x:c r="G317" s="5" t="str">
        <x:v>Title-scope candidate</x:v>
      </x:c>
      <x:c r="H317" s="5" t="str">
        <x:v>Not assigned</x:v>
      </x:c>
      <x:c r="I317" s="5" t="str">
        <x:v>Not started</x:v>
      </x:c>
      <x:c r="J317" s="5" t="str">
        <x:v>Not assigned</x:v>
      </x:c>
      <x:c r="K317" s="5" t="str">
        <x:v>Not started</x:v>
      </x:c>
      <x:c r="L317" s="5" t="str">
        <x:v>Pending</x:v>
      </x:c>
      <x:c r="M317" s="5" t="str"/>
      <x:c r="N317" s="5" t="str">
        <x:v>Not started</x:v>
      </x:c>
      <x:c r="O317" s="5" t="str">
        <x:v>Not started</x:v>
      </x:c>
      <x:c r="P317" s="5" t="str">
        <x:v>Not started</x:v>
      </x:c>
      <x:c r="Q317" s="5" t="str">
        <x:v>Not started</x:v>
      </x:c>
      <x:c r="R317" s="5" t="str">
        <x:v>Pending</x:v>
      </x:c>
      <x:c r="S317" s="5" t="str"/>
      <x:c r="T317" s="5" t="str"/>
      <x:c r="U317" s="5" t="str"/>
      <x:c r="V317" s="5" t="str"/>
      <x:c r="W317" s="5" t="str">
        <x:v>Not linked</x:v>
      </x:c>
      <x:c r="X317" s="5" t="str">
        <x:v>Pending</x:v>
      </x:c>
      <x:c r="Y317" s="5" t="str">
        <x:f>IF(AND(L317="Pending",R317="Pending"),"Pending screening",IF(H317="Not assigned","Assign reviewer",IF(AND(L317="Exclude",M317=""),"Missing TA exclusion reason",IF(AND(R317="Exclude",S317=""),"Missing FT exclusion reason","Decision recorded"))))</x:f>
        <x:v>Pending screening</x:v>
      </x:c>
    </x:row>
    <x:row r="318" ht="40" customHeight="1">
      <x:c r="A318" s="5" t="str">
        <x:v>C0308</x:v>
      </x:c>
      <x:c r="B318" s="5" t="str">
        <x:v>Multimodal RGB-D-T-scanning for interactive robot teaching</x:v>
      </x:c>
      <x:c r="C318" s="5" t="str">
        <x:v>10.1117/12.2673406</x:v>
      </x:c>
      <x:c r="D318" s="5" t="str"/>
      <x:c r="E318" s="5" t="str">
        <x:v>proceedings-article</x:v>
      </x:c>
      <x:c r="F318" s="5" t="str">
        <x:v>S11</x:v>
      </x:c>
      <x:c r="G318" s="5" t="str">
        <x:v>Lower-priority; inspect scope</x:v>
      </x:c>
      <x:c r="H318" s="5" t="str">
        <x:v>Not assigned</x:v>
      </x:c>
      <x:c r="I318" s="5" t="str">
        <x:v>Not started</x:v>
      </x:c>
      <x:c r="J318" s="5" t="str">
        <x:v>Not assigned</x:v>
      </x:c>
      <x:c r="K318" s="5" t="str">
        <x:v>Not started</x:v>
      </x:c>
      <x:c r="L318" s="5" t="str">
        <x:v>Pending</x:v>
      </x:c>
      <x:c r="M318" s="5" t="str"/>
      <x:c r="N318" s="5" t="str">
        <x:v>Not started</x:v>
      </x:c>
      <x:c r="O318" s="5" t="str">
        <x:v>Not started</x:v>
      </x:c>
      <x:c r="P318" s="5" t="str">
        <x:v>Not started</x:v>
      </x:c>
      <x:c r="Q318" s="5" t="str">
        <x:v>Not started</x:v>
      </x:c>
      <x:c r="R318" s="5" t="str">
        <x:v>Pending</x:v>
      </x:c>
      <x:c r="S318" s="5" t="str"/>
      <x:c r="T318" s="5" t="str"/>
      <x:c r="U318" s="5" t="str"/>
      <x:c r="V318" s="5" t="str"/>
      <x:c r="W318" s="5" t="str">
        <x:v>Not linked</x:v>
      </x:c>
      <x:c r="X318" s="5" t="str">
        <x:v>Pending</x:v>
      </x:c>
      <x:c r="Y318" s="5" t="str">
        <x:f>IF(AND(L318="Pending",R318="Pending"),"Pending screening",IF(H318="Not assigned","Assign reviewer",IF(AND(L318="Exclude",M318=""),"Missing TA exclusion reason",IF(AND(R318="Exclude",S318=""),"Missing FT exclusion reason","Decision recorded"))))</x:f>
        <x:v>Pending screening</x:v>
      </x:c>
    </x:row>
    <x:row r="319" ht="68" customHeight="1">
      <x:c r="A319" s="5" t="str">
        <x:v>C0309</x:v>
      </x:c>
      <x:c r="B319" s="5" t="str">
        <x:v>Multimodal Controllable Defect Synthesis via Diffusion-Based Generation for Industrial Surface Inspection: Bridging Data Scarcity Through Material-Aware Synthetic Data Generation</x:v>
      </x:c>
      <x:c r="C319" s="5" t="str">
        <x:v>10.1109/access.2026.3721567</x:v>
      </x:c>
      <x:c r="D319" s="5" t="str"/>
      <x:c r="E319" s="5" t="str">
        <x:v>journal-article</x:v>
      </x:c>
      <x:c r="F319" s="5" t="str">
        <x:v>S11</x:v>
      </x:c>
      <x:c r="G319" s="5" t="str">
        <x:v>Title-scope candidate</x:v>
      </x:c>
      <x:c r="H319" s="5" t="str">
        <x:v>Not assigned</x:v>
      </x:c>
      <x:c r="I319" s="5" t="str">
        <x:v>Not started</x:v>
      </x:c>
      <x:c r="J319" s="5" t="str">
        <x:v>Not assigned</x:v>
      </x:c>
      <x:c r="K319" s="5" t="str">
        <x:v>Not started</x:v>
      </x:c>
      <x:c r="L319" s="5" t="str">
        <x:v>Pending</x:v>
      </x:c>
      <x:c r="M319" s="5" t="str"/>
      <x:c r="N319" s="5" t="str">
        <x:v>Not started</x:v>
      </x:c>
      <x:c r="O319" s="5" t="str">
        <x:v>Not started</x:v>
      </x:c>
      <x:c r="P319" s="5" t="str">
        <x:v>Not started</x:v>
      </x:c>
      <x:c r="Q319" s="5" t="str">
        <x:v>Not started</x:v>
      </x:c>
      <x:c r="R319" s="5" t="str">
        <x:v>Pending</x:v>
      </x:c>
      <x:c r="S319" s="5" t="str"/>
      <x:c r="T319" s="5" t="str"/>
      <x:c r="U319" s="5" t="str"/>
      <x:c r="V319" s="5" t="str"/>
      <x:c r="W319" s="5" t="str">
        <x:v>Not linked</x:v>
      </x:c>
      <x:c r="X319" s="5" t="str">
        <x:v>Pending</x:v>
      </x:c>
      <x:c r="Y319" s="5" t="str">
        <x:f>IF(AND(L319="Pending",R319="Pending"),"Pending screening",IF(H319="Not assigned","Assign reviewer",IF(AND(L319="Exclude",M319=""),"Missing TA exclusion reason",IF(AND(R319="Exclude",S319=""),"Missing FT exclusion reason","Decision recorded"))))</x:f>
        <x:v>Pending screening</x:v>
      </x:c>
    </x:row>
    <x:row r="320" ht="40" customHeight="1">
      <x:c r="A320" s="5" t="str">
        <x:v>C0310</x:v>
      </x:c>
      <x:c r="B320" s="5" t="str">
        <x:v>Thermal Inspection and Quality Assessment for AFP Processes via Automatic Defect Detection and Segmentation</x:v>
      </x:c>
      <x:c r="C320" s="5" t="str">
        <x:v>10.1109/iecon55916.2024.10905789</x:v>
      </x:c>
      <x:c r="D320" s="5" t="str"/>
      <x:c r="E320" s="5" t="str">
        <x:v>proceedings-article</x:v>
      </x:c>
      <x:c r="F320" s="5" t="str">
        <x:v>S11</x:v>
      </x:c>
      <x:c r="G320" s="5" t="str">
        <x:v>Title-scope candidate</x:v>
      </x:c>
      <x:c r="H320" s="5" t="str">
        <x:v>Not assigned</x:v>
      </x:c>
      <x:c r="I320" s="5" t="str">
        <x:v>Not started</x:v>
      </x:c>
      <x:c r="J320" s="5" t="str">
        <x:v>Not assigned</x:v>
      </x:c>
      <x:c r="K320" s="5" t="str">
        <x:v>Not started</x:v>
      </x:c>
      <x:c r="L320" s="5" t="str">
        <x:v>Pending</x:v>
      </x:c>
      <x:c r="M320" s="5" t="str"/>
      <x:c r="N320" s="5" t="str">
        <x:v>Not started</x:v>
      </x:c>
      <x:c r="O320" s="5" t="str">
        <x:v>Not started</x:v>
      </x:c>
      <x:c r="P320" s="5" t="str">
        <x:v>Not started</x:v>
      </x:c>
      <x:c r="Q320" s="5" t="str">
        <x:v>Not started</x:v>
      </x:c>
      <x:c r="R320" s="5" t="str">
        <x:v>Pending</x:v>
      </x:c>
      <x:c r="S320" s="5" t="str"/>
      <x:c r="T320" s="5" t="str"/>
      <x:c r="U320" s="5" t="str"/>
      <x:c r="V320" s="5" t="str"/>
      <x:c r="W320" s="5" t="str">
        <x:v>Not linked</x:v>
      </x:c>
      <x:c r="X320" s="5" t="str">
        <x:v>Pending</x:v>
      </x:c>
      <x:c r="Y320" s="5" t="str">
        <x:f>IF(AND(L320="Pending",R320="Pending"),"Pending screening",IF(H320="Not assigned","Assign reviewer",IF(AND(L320="Exclude",M320=""),"Missing TA exclusion reason",IF(AND(R320="Exclude",S320=""),"Missing FT exclusion reason","Decision recorded"))))</x:f>
        <x:v>Pending screening</x:v>
      </x:c>
    </x:row>
    <x:row r="321" ht="40" customHeight="1">
      <x:c r="A321" s="5" t="str">
        <x:v>C0311</x:v>
      </x:c>
      <x:c r="B321" s="5" t="str">
        <x:v>A multimodal method for defect characterization of large-aperture optics</x:v>
      </x:c>
      <x:c r="C321" s="5" t="str">
        <x:v>10.1117/12.2603703</x:v>
      </x:c>
      <x:c r="D321" s="5" t="str"/>
      <x:c r="E321" s="5" t="str">
        <x:v>proceedings-article</x:v>
      </x:c>
      <x:c r="F321" s="5" t="str">
        <x:v>S11</x:v>
      </x:c>
      <x:c r="G321" s="5" t="str">
        <x:v>Title-scope candidate</x:v>
      </x:c>
      <x:c r="H321" s="5" t="str">
        <x:v>Not assigned</x:v>
      </x:c>
      <x:c r="I321" s="5" t="str">
        <x:v>Not started</x:v>
      </x:c>
      <x:c r="J321" s="5" t="str">
        <x:v>Not assigned</x:v>
      </x:c>
      <x:c r="K321" s="5" t="str">
        <x:v>Not started</x:v>
      </x:c>
      <x:c r="L321" s="5" t="str">
        <x:v>Pending</x:v>
      </x:c>
      <x:c r="M321" s="5" t="str"/>
      <x:c r="N321" s="5" t="str">
        <x:v>Not started</x:v>
      </x:c>
      <x:c r="O321" s="5" t="str">
        <x:v>Not started</x:v>
      </x:c>
      <x:c r="P321" s="5" t="str">
        <x:v>Not started</x:v>
      </x:c>
      <x:c r="Q321" s="5" t="str">
        <x:v>Not started</x:v>
      </x:c>
      <x:c r="R321" s="5" t="str">
        <x:v>Pending</x:v>
      </x:c>
      <x:c r="S321" s="5" t="str"/>
      <x:c r="T321" s="5" t="str"/>
      <x:c r="U321" s="5" t="str"/>
      <x:c r="V321" s="5" t="str"/>
      <x:c r="W321" s="5" t="str">
        <x:v>Not linked</x:v>
      </x:c>
      <x:c r="X321" s="5" t="str">
        <x:v>Pending</x:v>
      </x:c>
      <x:c r="Y321" s="5" t="str">
        <x:f>IF(AND(L321="Pending",R321="Pending"),"Pending screening",IF(H321="Not assigned","Assign reviewer",IF(AND(L321="Exclude",M321=""),"Missing TA exclusion reason",IF(AND(R321="Exclude",S321=""),"Missing FT exclusion reason","Decision recorded"))))</x:f>
        <x:v>Pending screening</x:v>
      </x:c>
    </x:row>
    <x:row r="322" ht="40" customHeight="1">
      <x:c r="A322" s="5" t="str">
        <x:v>C0312</x:v>
      </x:c>
      <x:c r="B322" s="5" t="str">
        <x:v>360 LiDAR + 360 RGB + 360 Thermal: Multimodal Targetless Calibration</x:v>
      </x:c>
      <x:c r="C322" s="5" t="str">
        <x:v>10.1109/iv55156.2024.10588438</x:v>
      </x:c>
      <x:c r="D322" s="5" t="str"/>
      <x:c r="E322" s="5" t="str">
        <x:v>proceedings-article</x:v>
      </x:c>
      <x:c r="F322" s="5" t="str">
        <x:v>S11</x:v>
      </x:c>
      <x:c r="G322" s="5" t="str">
        <x:v>Title-scope candidate</x:v>
      </x:c>
      <x:c r="H322" s="5" t="str">
        <x:v>Not assigned</x:v>
      </x:c>
      <x:c r="I322" s="5" t="str">
        <x:v>Not started</x:v>
      </x:c>
      <x:c r="J322" s="5" t="str">
        <x:v>Not assigned</x:v>
      </x:c>
      <x:c r="K322" s="5" t="str">
        <x:v>Not started</x:v>
      </x:c>
      <x:c r="L322" s="5" t="str">
        <x:v>Pending</x:v>
      </x:c>
      <x:c r="M322" s="5" t="str"/>
      <x:c r="N322" s="5" t="str">
        <x:v>Not started</x:v>
      </x:c>
      <x:c r="O322" s="5" t="str">
        <x:v>Not started</x:v>
      </x:c>
      <x:c r="P322" s="5" t="str">
        <x:v>Not started</x:v>
      </x:c>
      <x:c r="Q322" s="5" t="str">
        <x:v>Not started</x:v>
      </x:c>
      <x:c r="R322" s="5" t="str">
        <x:v>Pending</x:v>
      </x:c>
      <x:c r="S322" s="5" t="str"/>
      <x:c r="T322" s="5" t="str"/>
      <x:c r="U322" s="5" t="str"/>
      <x:c r="V322" s="5" t="str"/>
      <x:c r="W322" s="5" t="str">
        <x:v>Not linked</x:v>
      </x:c>
      <x:c r="X322" s="5" t="str">
        <x:v>Pending</x:v>
      </x:c>
      <x:c r="Y322" s="5" t="str">
        <x:f>IF(AND(L322="Pending",R322="Pending"),"Pending screening",IF(H322="Not assigned","Assign reviewer",IF(AND(L322="Exclude",M322=""),"Missing TA exclusion reason",IF(AND(R322="Exclude",S322=""),"Missing FT exclusion reason","Decision recorded"))))</x:f>
        <x:v>Pending screening</x:v>
      </x:c>
    </x:row>
    <x:row r="323" ht="40" customHeight="1">
      <x:c r="A323" s="5" t="str">
        <x:v>C0313</x:v>
      </x:c>
      <x:c r="B323" s="5" t="str">
        <x:v>A new strategy for defect inspection by the virtual inspection in semiconductor wafer fabrication</x:v>
      </x:c>
      <x:c r="C323" s="5" t="str">
        <x:v>10.1016/j.cie.2010.09.008</x:v>
      </x:c>
      <x:c r="D323" s="5" t="str"/>
      <x:c r="E323" s="5" t="str">
        <x:v>journal-article</x:v>
      </x:c>
      <x:c r="F323" s="5" t="str">
        <x:v>S11</x:v>
      </x:c>
      <x:c r="G323" s="5" t="str">
        <x:v>Title-scope candidate</x:v>
      </x:c>
      <x:c r="H323" s="5" t="str">
        <x:v>Not assigned</x:v>
      </x:c>
      <x:c r="I323" s="5" t="str">
        <x:v>Not started</x:v>
      </x:c>
      <x:c r="J323" s="5" t="str">
        <x:v>Not assigned</x:v>
      </x:c>
      <x:c r="K323" s="5" t="str">
        <x:v>Not started</x:v>
      </x:c>
      <x:c r="L323" s="5" t="str">
        <x:v>Pending</x:v>
      </x:c>
      <x:c r="M323" s="5" t="str"/>
      <x:c r="N323" s="5" t="str">
        <x:v>Not started</x:v>
      </x:c>
      <x:c r="O323" s="5" t="str">
        <x:v>Not started</x:v>
      </x:c>
      <x:c r="P323" s="5" t="str">
        <x:v>Not started</x:v>
      </x:c>
      <x:c r="Q323" s="5" t="str">
        <x:v>Not started</x:v>
      </x:c>
      <x:c r="R323" s="5" t="str">
        <x:v>Pending</x:v>
      </x:c>
      <x:c r="S323" s="5" t="str"/>
      <x:c r="T323" s="5" t="str"/>
      <x:c r="U323" s="5" t="str"/>
      <x:c r="V323" s="5" t="str"/>
      <x:c r="W323" s="5" t="str">
        <x:v>Not linked</x:v>
      </x:c>
      <x:c r="X323" s="5" t="str">
        <x:v>Pending</x:v>
      </x:c>
      <x:c r="Y323" s="5" t="str">
        <x:f>IF(AND(L323="Pending",R323="Pending"),"Pending screening",IF(H323="Not assigned","Assign reviewer",IF(AND(L323="Exclude",M323=""),"Missing TA exclusion reason",IF(AND(R323="Exclude",S323=""),"Missing FT exclusion reason","Decision recorded"))))</x:f>
        <x:v>Pending screening</x:v>
      </x:c>
    </x:row>
    <x:row r="324" ht="40" customHeight="1">
      <x:c r="A324" s="5" t="str">
        <x:v>C0314</x:v>
      </x:c>
      <x:c r="B324" s="5" t="str">
        <x:v>Depth Repeated-Enhancement RGB Network for Rail Surface Defect Inspection</x:v>
      </x:c>
      <x:c r="C324" s="5" t="str">
        <x:v>10.1109/lsp.2022.3211199</x:v>
      </x:c>
      <x:c r="D324" s="5" t="str"/>
      <x:c r="E324" s="5" t="str">
        <x:v>journal-article</x:v>
      </x:c>
      <x:c r="F324" s="5" t="str">
        <x:v>S11</x:v>
      </x:c>
      <x:c r="G324" s="5" t="str">
        <x:v>Title-scope candidate</x:v>
      </x:c>
      <x:c r="H324" s="5" t="str">
        <x:v>Not assigned</x:v>
      </x:c>
      <x:c r="I324" s="5" t="str">
        <x:v>Not started</x:v>
      </x:c>
      <x:c r="J324" s="5" t="str">
        <x:v>Not assigned</x:v>
      </x:c>
      <x:c r="K324" s="5" t="str">
        <x:v>Not started</x:v>
      </x:c>
      <x:c r="L324" s="5" t="str">
        <x:v>Pending</x:v>
      </x:c>
      <x:c r="M324" s="5" t="str"/>
      <x:c r="N324" s="5" t="str">
        <x:v>Not started</x:v>
      </x:c>
      <x:c r="O324" s="5" t="str">
        <x:v>Not started</x:v>
      </x:c>
      <x:c r="P324" s="5" t="str">
        <x:v>Not started</x:v>
      </x:c>
      <x:c r="Q324" s="5" t="str">
        <x:v>Not started</x:v>
      </x:c>
      <x:c r="R324" s="5" t="str">
        <x:v>Pending</x:v>
      </x:c>
      <x:c r="S324" s="5" t="str"/>
      <x:c r="T324" s="5" t="str"/>
      <x:c r="U324" s="5" t="str"/>
      <x:c r="V324" s="5" t="str"/>
      <x:c r="W324" s="5" t="str">
        <x:v>Not linked</x:v>
      </x:c>
      <x:c r="X324" s="5" t="str">
        <x:v>Pending</x:v>
      </x:c>
      <x:c r="Y324" s="5" t="str">
        <x:f>IF(AND(L324="Pending",R324="Pending"),"Pending screening",IF(H324="Not assigned","Assign reviewer",IF(AND(L324="Exclude",M324=""),"Missing TA exclusion reason",IF(AND(R324="Exclude",S324=""),"Missing FT exclusion reason","Decision recorded"))))</x:f>
        <x:v>Pending screening</x:v>
      </x:c>
    </x:row>
    <x:row r="325" ht="40" customHeight="1">
      <x:c r="A325" s="5" t="str">
        <x:v>C0315</x:v>
      </x:c>
      <x:c r="B325" s="5" t="str">
        <x:v>The measurements of surface defect area with an RGB-D camera for a BIM-backed bridge inspection</x:v>
      </x:c>
      <x:c r="C325" s="5" t="str">
        <x:v>10.24425/bpasts.2021.137123</x:v>
      </x:c>
      <x:c r="D325" s="5" t="str"/>
      <x:c r="E325" s="5" t="str">
        <x:v>journal-article</x:v>
      </x:c>
      <x:c r="F325" s="5" t="str">
        <x:v>S11</x:v>
      </x:c>
      <x:c r="G325" s="5" t="str">
        <x:v>Title-scope candidate</x:v>
      </x:c>
      <x:c r="H325" s="5" t="str">
        <x:v>Not assigned</x:v>
      </x:c>
      <x:c r="I325" s="5" t="str">
        <x:v>Not started</x:v>
      </x:c>
      <x:c r="J325" s="5" t="str">
        <x:v>Not assigned</x:v>
      </x:c>
      <x:c r="K325" s="5" t="str">
        <x:v>Not started</x:v>
      </x:c>
      <x:c r="L325" s="5" t="str">
        <x:v>Pending</x:v>
      </x:c>
      <x:c r="M325" s="5" t="str"/>
      <x:c r="N325" s="5" t="str">
        <x:v>Not started</x:v>
      </x:c>
      <x:c r="O325" s="5" t="str">
        <x:v>Not started</x:v>
      </x:c>
      <x:c r="P325" s="5" t="str">
        <x:v>Not started</x:v>
      </x:c>
      <x:c r="Q325" s="5" t="str">
        <x:v>Not started</x:v>
      </x:c>
      <x:c r="R325" s="5" t="str">
        <x:v>Pending</x:v>
      </x:c>
      <x:c r="S325" s="5" t="str"/>
      <x:c r="T325" s="5" t="str"/>
      <x:c r="U325" s="5" t="str"/>
      <x:c r="V325" s="5" t="str"/>
      <x:c r="W325" s="5" t="str">
        <x:v>Not linked</x:v>
      </x:c>
      <x:c r="X325" s="5" t="str">
        <x:v>Pending</x:v>
      </x:c>
      <x:c r="Y325" s="5" t="str">
        <x:f>IF(AND(L325="Pending",R325="Pending"),"Pending screening",IF(H325="Not assigned","Assign reviewer",IF(AND(L325="Exclude",M325=""),"Missing TA exclusion reason",IF(AND(R325="Exclude",S325=""),"Missing FT exclusion reason","Decision recorded"))))</x:f>
        <x:v>Pending screening</x:v>
      </x:c>
    </x:row>
    <x:row r="326" ht="40" customHeight="1">
      <x:c r="A326" s="5" t="str">
        <x:v>C0316</x:v>
      </x:c>
      <x:c r="B326" s="5" t="str">
        <x:v>A novel thermal calibration technique for electronic module inspection using an optical image</x:v>
      </x:c>
      <x:c r="C326" s="5" t="str">
        <x:v>10.1049/ic:19970260</x:v>
      </x:c>
      <x:c r="D326" s="5" t="str"/>
      <x:c r="E326" s="5" t="str">
        <x:v>proceedings-article</x:v>
      </x:c>
      <x:c r="F326" s="5" t="str">
        <x:v>S11</x:v>
      </x:c>
      <x:c r="G326" s="5" t="str">
        <x:v>Title-scope candidate</x:v>
      </x:c>
      <x:c r="H326" s="5" t="str">
        <x:v>Not assigned</x:v>
      </x:c>
      <x:c r="I326" s="5" t="str">
        <x:v>Not started</x:v>
      </x:c>
      <x:c r="J326" s="5" t="str">
        <x:v>Not assigned</x:v>
      </x:c>
      <x:c r="K326" s="5" t="str">
        <x:v>Not started</x:v>
      </x:c>
      <x:c r="L326" s="5" t="str">
        <x:v>Pending</x:v>
      </x:c>
      <x:c r="M326" s="5" t="str"/>
      <x:c r="N326" s="5" t="str">
        <x:v>Not started</x:v>
      </x:c>
      <x:c r="O326" s="5" t="str">
        <x:v>Not started</x:v>
      </x:c>
      <x:c r="P326" s="5" t="str">
        <x:v>Not started</x:v>
      </x:c>
      <x:c r="Q326" s="5" t="str">
        <x:v>Not started</x:v>
      </x:c>
      <x:c r="R326" s="5" t="str">
        <x:v>Pending</x:v>
      </x:c>
      <x:c r="S326" s="5" t="str"/>
      <x:c r="T326" s="5" t="str"/>
      <x:c r="U326" s="5" t="str"/>
      <x:c r="V326" s="5" t="str"/>
      <x:c r="W326" s="5" t="str">
        <x:v>Not linked</x:v>
      </x:c>
      <x:c r="X326" s="5" t="str">
        <x:v>Pending</x:v>
      </x:c>
      <x:c r="Y326" s="5" t="str">
        <x:f>IF(AND(L326="Pending",R326="Pending"),"Pending screening",IF(H326="Not assigned","Assign reviewer",IF(AND(L326="Exclude",M326=""),"Missing TA exclusion reason",IF(AND(R326="Exclude",S326=""),"Missing FT exclusion reason","Decision recorded"))))</x:f>
        <x:v>Pending screening</x:v>
      </x:c>
    </x:row>
    <x:row r="327" ht="53" customHeight="1">
      <x:c r="A327" s="5" t="str">
        <x:v>C0317</x:v>
      </x:c>
      <x:c r="B327" s="5" t="str">
        <x:v>Amcf-ResNet: High-Precision 3-D Defect Reconstruction in Magnetic Flux Leakage Inspection via Multimodal Adaptive Learning and Cross-Feedback</x:v>
      </x:c>
      <x:c r="C327" s="5" t="str">
        <x:v>10.1109/tii.2025.3628398</x:v>
      </x:c>
      <x:c r="D327" s="5" t="str"/>
      <x:c r="E327" s="5" t="str">
        <x:v>journal-article</x:v>
      </x:c>
      <x:c r="F327" s="5" t="str">
        <x:v>S11</x:v>
      </x:c>
      <x:c r="G327" s="5" t="str">
        <x:v>Title-scope candidate</x:v>
      </x:c>
      <x:c r="H327" s="5" t="str">
        <x:v>Not assigned</x:v>
      </x:c>
      <x:c r="I327" s="5" t="str">
        <x:v>Not started</x:v>
      </x:c>
      <x:c r="J327" s="5" t="str">
        <x:v>Not assigned</x:v>
      </x:c>
      <x:c r="K327" s="5" t="str">
        <x:v>Not started</x:v>
      </x:c>
      <x:c r="L327" s="5" t="str">
        <x:v>Pending</x:v>
      </x:c>
      <x:c r="M327" s="5" t="str"/>
      <x:c r="N327" s="5" t="str">
        <x:v>Not started</x:v>
      </x:c>
      <x:c r="O327" s="5" t="str">
        <x:v>Not started</x:v>
      </x:c>
      <x:c r="P327" s="5" t="str">
        <x:v>Not started</x:v>
      </x:c>
      <x:c r="Q327" s="5" t="str">
        <x:v>Not started</x:v>
      </x:c>
      <x:c r="R327" s="5" t="str">
        <x:v>Pending</x:v>
      </x:c>
      <x:c r="S327" s="5" t="str"/>
      <x:c r="T327" s="5" t="str"/>
      <x:c r="U327" s="5" t="str"/>
      <x:c r="V327" s="5" t="str"/>
      <x:c r="W327" s="5" t="str">
        <x:v>Not linked</x:v>
      </x:c>
      <x:c r="X327" s="5" t="str">
        <x:v>Pending</x:v>
      </x:c>
      <x:c r="Y327" s="5" t="str">
        <x:f>IF(AND(L327="Pending",R327="Pending"),"Pending screening",IF(H327="Not assigned","Assign reviewer",IF(AND(L327="Exclude",M327=""),"Missing TA exclusion reason",IF(AND(R327="Exclude",S327=""),"Missing FT exclusion reason","Decision recorded"))))</x:f>
        <x:v>Pending screening</x:v>
      </x:c>
    </x:row>
    <x:row r="328" ht="40" customHeight="1">
      <x:c r="A328" s="5" t="str">
        <x:v>C0318</x:v>
      </x:c>
      <x:c r="B328" s="5" t="str">
        <x:v>ThermalCLIP: Hardware-Agnostic Industrial Anomaly Detection via Physics-Informed Thermal Proxies from RGB</x:v>
      </x:c>
      <x:c r="C328" s="5" t="str">
        <x:v>10.21203/rs.3.rs-9385007/v1</x:v>
      </x:c>
      <x:c r="D328" s="5" t="str"/>
      <x:c r="E328" s="5" t="str">
        <x:v>posted-content</x:v>
      </x:c>
      <x:c r="F328" s="5" t="str">
        <x:v>S11</x:v>
      </x:c>
      <x:c r="G328" s="5" t="str">
        <x:v>Title-scope candidate</x:v>
      </x:c>
      <x:c r="H328" s="5" t="str">
        <x:v>Not assigned</x:v>
      </x:c>
      <x:c r="I328" s="5" t="str">
        <x:v>Not started</x:v>
      </x:c>
      <x:c r="J328" s="5" t="str">
        <x:v>Not assigned</x:v>
      </x:c>
      <x:c r="K328" s="5" t="str">
        <x:v>Not started</x:v>
      </x:c>
      <x:c r="L328" s="5" t="str">
        <x:v>Pending</x:v>
      </x:c>
      <x:c r="M328" s="5" t="str"/>
      <x:c r="N328" s="5" t="str">
        <x:v>Not started</x:v>
      </x:c>
      <x:c r="O328" s="5" t="str">
        <x:v>Not started</x:v>
      </x:c>
      <x:c r="P328" s="5" t="str">
        <x:v>Not started</x:v>
      </x:c>
      <x:c r="Q328" s="5" t="str">
        <x:v>Not started</x:v>
      </x:c>
      <x:c r="R328" s="5" t="str">
        <x:v>Pending</x:v>
      </x:c>
      <x:c r="S328" s="5" t="str"/>
      <x:c r="T328" s="5" t="str"/>
      <x:c r="U328" s="5" t="str"/>
      <x:c r="V328" s="5" t="str"/>
      <x:c r="W328" s="5" t="str">
        <x:v>Not linked</x:v>
      </x:c>
      <x:c r="X328" s="5" t="str">
        <x:v>Pending</x:v>
      </x:c>
      <x:c r="Y328" s="5" t="str">
        <x:f>IF(AND(L328="Pending",R328="Pending"),"Pending screening",IF(H328="Not assigned","Assign reviewer",IF(AND(L328="Exclude",M328=""),"Missing TA exclusion reason",IF(AND(R328="Exclude",S328=""),"Missing FT exclusion reason","Decision recorded"))))</x:f>
        <x:v>Pending screening</x:v>
      </x:c>
    </x:row>
    <x:row r="329" ht="40" customHeight="1">
      <x:c r="A329" s="5" t="str">
        <x:v>C0319</x:v>
      </x:c>
      <x:c r="B329" s="5" t="str">
        <x:v>Robust Fall Army Worm detection in maize using multimodal RGB and thermal image fusion</x:v>
      </x:c>
      <x:c r="C329" s="5" t="str">
        <x:v>10.1038/s41598-025-29784-8</x:v>
      </x:c>
      <x:c r="D329" s="5" t="str"/>
      <x:c r="E329" s="5" t="str">
        <x:v>journal-article</x:v>
      </x:c>
      <x:c r="F329" s="5" t="str">
        <x:v>S11</x:v>
      </x:c>
      <x:c r="G329" s="5" t="str">
        <x:v>Title-scope candidate</x:v>
      </x:c>
      <x:c r="H329" s="5" t="str">
        <x:v>Not assigned</x:v>
      </x:c>
      <x:c r="I329" s="5" t="str">
        <x:v>Not started</x:v>
      </x:c>
      <x:c r="J329" s="5" t="str">
        <x:v>Not assigned</x:v>
      </x:c>
      <x:c r="K329" s="5" t="str">
        <x:v>Not started</x:v>
      </x:c>
      <x:c r="L329" s="5" t="str">
        <x:v>Pending</x:v>
      </x:c>
      <x:c r="M329" s="5" t="str"/>
      <x:c r="N329" s="5" t="str">
        <x:v>Not started</x:v>
      </x:c>
      <x:c r="O329" s="5" t="str">
        <x:v>Not started</x:v>
      </x:c>
      <x:c r="P329" s="5" t="str">
        <x:v>Not started</x:v>
      </x:c>
      <x:c r="Q329" s="5" t="str">
        <x:v>Not started</x:v>
      </x:c>
      <x:c r="R329" s="5" t="str">
        <x:v>Pending</x:v>
      </x:c>
      <x:c r="S329" s="5" t="str"/>
      <x:c r="T329" s="5" t="str"/>
      <x:c r="U329" s="5" t="str"/>
      <x:c r="V329" s="5" t="str"/>
      <x:c r="W329" s="5" t="str">
        <x:v>Not linked</x:v>
      </x:c>
      <x:c r="X329" s="5" t="str">
        <x:v>Pending</x:v>
      </x:c>
      <x:c r="Y329" s="5" t="str">
        <x:f>IF(AND(L329="Pending",R329="Pending"),"Pending screening",IF(H329="Not assigned","Assign reviewer",IF(AND(L329="Exclude",M329=""),"Missing TA exclusion reason",IF(AND(R329="Exclude",S329=""),"Missing FT exclusion reason","Decision recorded"))))</x:f>
        <x:v>Pending screening</x:v>
      </x:c>
    </x:row>
    <x:row r="330" ht="40" customHeight="1">
      <x:c r="A330" s="5" t="str">
        <x:v>C0320</x:v>
      </x:c>
      <x:c r="B330" s="5" t="str">
        <x:v>Mm5: Multimodal Image Capture and Dataset Generation for Rgb, Depth, Thermal, Uv, and Nir</x:v>
      </x:c>
      <x:c r="C330" s="5" t="str">
        <x:v>10.2139/ssrn.5227457</x:v>
      </x:c>
      <x:c r="D330" s="5" t="str"/>
      <x:c r="E330" s="5" t="str">
        <x:v>posted-content</x:v>
      </x:c>
      <x:c r="F330" s="5" t="str">
        <x:v>S11</x:v>
      </x:c>
      <x:c r="G330" s="5" t="str">
        <x:v>Title-scope candidate</x:v>
      </x:c>
      <x:c r="H330" s="5" t="str">
        <x:v>Not assigned</x:v>
      </x:c>
      <x:c r="I330" s="5" t="str">
        <x:v>Not started</x:v>
      </x:c>
      <x:c r="J330" s="5" t="str">
        <x:v>Not assigned</x:v>
      </x:c>
      <x:c r="K330" s="5" t="str">
        <x:v>Not started</x:v>
      </x:c>
      <x:c r="L330" s="5" t="str">
        <x:v>Pending</x:v>
      </x:c>
      <x:c r="M330" s="5" t="str"/>
      <x:c r="N330" s="5" t="str">
        <x:v>Not started</x:v>
      </x:c>
      <x:c r="O330" s="5" t="str">
        <x:v>Not started</x:v>
      </x:c>
      <x:c r="P330" s="5" t="str">
        <x:v>Not started</x:v>
      </x:c>
      <x:c r="Q330" s="5" t="str">
        <x:v>Not started</x:v>
      </x:c>
      <x:c r="R330" s="5" t="str">
        <x:v>Pending</x:v>
      </x:c>
      <x:c r="S330" s="5" t="str"/>
      <x:c r="T330" s="5" t="str"/>
      <x:c r="U330" s="5" t="str"/>
      <x:c r="V330" s="5" t="str"/>
      <x:c r="W330" s="5" t="str">
        <x:v>Not linked</x:v>
      </x:c>
      <x:c r="X330" s="5" t="str">
        <x:v>Pending</x:v>
      </x:c>
      <x:c r="Y330" s="5" t="str">
        <x:f>IF(AND(L330="Pending",R330="Pending"),"Pending screening",IF(H330="Not assigned","Assign reviewer",IF(AND(L330="Exclude",M330=""),"Missing TA exclusion reason",IF(AND(R330="Exclude",S330=""),"Missing FT exclusion reason","Decision recorded"))))</x:f>
        <x:v>Pending screening</x:v>
      </x:c>
    </x:row>
    <x:row r="331" ht="40" customHeight="1">
      <x:c r="A331" s="5" t="str">
        <x:v>C0321</x:v>
      </x:c>
      <x:c r="B331" s="5" t="str">
        <x:v>GADE-YOLO: An Efficient Geometry-Adaptive Network for Industrial Wood Surface Defect Inspection</x:v>
      </x:c>
      <x:c r="C331" s="5" t="str">
        <x:v>10.21203/rs.3.rs-10400539/v1</x:v>
      </x:c>
      <x:c r="D331" s="5" t="str"/>
      <x:c r="E331" s="5" t="str">
        <x:v>posted-content</x:v>
      </x:c>
      <x:c r="F331" s="5" t="str">
        <x:v>S11</x:v>
      </x:c>
      <x:c r="G331" s="5" t="str">
        <x:v>Title-scope candidate</x:v>
      </x:c>
      <x:c r="H331" s="5" t="str">
        <x:v>Not assigned</x:v>
      </x:c>
      <x:c r="I331" s="5" t="str">
        <x:v>Not started</x:v>
      </x:c>
      <x:c r="J331" s="5" t="str">
        <x:v>Not assigned</x:v>
      </x:c>
      <x:c r="K331" s="5" t="str">
        <x:v>Not started</x:v>
      </x:c>
      <x:c r="L331" s="5" t="str">
        <x:v>Pending</x:v>
      </x:c>
      <x:c r="M331" s="5" t="str"/>
      <x:c r="N331" s="5" t="str">
        <x:v>Not started</x:v>
      </x:c>
      <x:c r="O331" s="5" t="str">
        <x:v>Not started</x:v>
      </x:c>
      <x:c r="P331" s="5" t="str">
        <x:v>Not started</x:v>
      </x:c>
      <x:c r="Q331" s="5" t="str">
        <x:v>Not started</x:v>
      </x:c>
      <x:c r="R331" s="5" t="str">
        <x:v>Pending</x:v>
      </x:c>
      <x:c r="S331" s="5" t="str"/>
      <x:c r="T331" s="5" t="str"/>
      <x:c r="U331" s="5" t="str"/>
      <x:c r="V331" s="5" t="str"/>
      <x:c r="W331" s="5" t="str">
        <x:v>Not linked</x:v>
      </x:c>
      <x:c r="X331" s="5" t="str">
        <x:v>Pending</x:v>
      </x:c>
      <x:c r="Y331" s="5" t="str">
        <x:f>IF(AND(L331="Pending",R331="Pending"),"Pending screening",IF(H331="Not assigned","Assign reviewer",IF(AND(L331="Exclude",M331=""),"Missing TA exclusion reason",IF(AND(R331="Exclude",S331=""),"Missing FT exclusion reason","Decision recorded"))))</x:f>
        <x:v>Pending screening</x:v>
      </x:c>
    </x:row>
    <x:row r="332" ht="40" customHeight="1">
      <x:c r="A332" s="5" t="str">
        <x:v>C0322</x:v>
      </x:c>
      <x:c r="B332" s="5" t="str">
        <x:v>Blind Industrial Image Restoration with Semantic Prompting and Graph Reasoning for Surface Defect Inspection</x:v>
      </x:c>
      <x:c r="C332" s="5" t="str">
        <x:v>10.2139/ssrn.6232710</x:v>
      </x:c>
      <x:c r="D332" s="5" t="str"/>
      <x:c r="E332" s="5" t="str">
        <x:v>posted-content</x:v>
      </x:c>
      <x:c r="F332" s="5" t="str">
        <x:v>S11</x:v>
      </x:c>
      <x:c r="G332" s="5" t="str">
        <x:v>Title-scope candidate</x:v>
      </x:c>
      <x:c r="H332" s="5" t="str">
        <x:v>Not assigned</x:v>
      </x:c>
      <x:c r="I332" s="5" t="str">
        <x:v>Not started</x:v>
      </x:c>
      <x:c r="J332" s="5" t="str">
        <x:v>Not assigned</x:v>
      </x:c>
      <x:c r="K332" s="5" t="str">
        <x:v>Not started</x:v>
      </x:c>
      <x:c r="L332" s="5" t="str">
        <x:v>Pending</x:v>
      </x:c>
      <x:c r="M332" s="5" t="str"/>
      <x:c r="N332" s="5" t="str">
        <x:v>Not started</x:v>
      </x:c>
      <x:c r="O332" s="5" t="str">
        <x:v>Not started</x:v>
      </x:c>
      <x:c r="P332" s="5" t="str">
        <x:v>Not started</x:v>
      </x:c>
      <x:c r="Q332" s="5" t="str">
        <x:v>Not started</x:v>
      </x:c>
      <x:c r="R332" s="5" t="str">
        <x:v>Pending</x:v>
      </x:c>
      <x:c r="S332" s="5" t="str"/>
      <x:c r="T332" s="5" t="str"/>
      <x:c r="U332" s="5" t="str"/>
      <x:c r="V332" s="5" t="str"/>
      <x:c r="W332" s="5" t="str">
        <x:v>Not linked</x:v>
      </x:c>
      <x:c r="X332" s="5" t="str">
        <x:v>Pending</x:v>
      </x:c>
      <x:c r="Y332" s="5" t="str">
        <x:f>IF(AND(L332="Pending",R332="Pending"),"Pending screening",IF(H332="Not assigned","Assign reviewer",IF(AND(L332="Exclude",M332=""),"Missing TA exclusion reason",IF(AND(R332="Exclude",S332=""),"Missing FT exclusion reason","Decision recorded"))))</x:f>
        <x:v>Pending screening</x:v>
      </x:c>
    </x:row>
    <x:row r="333" ht="40" customHeight="1">
      <x:c r="A333" s="5" t="str">
        <x:v>C0323</x:v>
      </x:c>
      <x:c r="B333" s="5" t="str">
        <x:v>Double pulse LED illumination for phase detection in RGB-interferometry</x:v>
      </x:c>
      <x:c r="C333" s="5" t="str">
        <x:v>10.1117/12.2525331</x:v>
      </x:c>
      <x:c r="D333" s="5" t="str"/>
      <x:c r="E333" s="5" t="str">
        <x:v>proceedings-article</x:v>
      </x:c>
      <x:c r="F333" s="5" t="str">
        <x:v>S11</x:v>
      </x:c>
      <x:c r="G333" s="5" t="str">
        <x:v>Lower-priority; inspect scope</x:v>
      </x:c>
      <x:c r="H333" s="5" t="str">
        <x:v>Not assigned</x:v>
      </x:c>
      <x:c r="I333" s="5" t="str">
        <x:v>Not started</x:v>
      </x:c>
      <x:c r="J333" s="5" t="str">
        <x:v>Not assigned</x:v>
      </x:c>
      <x:c r="K333" s="5" t="str">
        <x:v>Not started</x:v>
      </x:c>
      <x:c r="L333" s="5" t="str">
        <x:v>Pending</x:v>
      </x:c>
      <x:c r="M333" s="5" t="str"/>
      <x:c r="N333" s="5" t="str">
        <x:v>Not started</x:v>
      </x:c>
      <x:c r="O333" s="5" t="str">
        <x:v>Not started</x:v>
      </x:c>
      <x:c r="P333" s="5" t="str">
        <x:v>Not started</x:v>
      </x:c>
      <x:c r="Q333" s="5" t="str">
        <x:v>Not started</x:v>
      </x:c>
      <x:c r="R333" s="5" t="str">
        <x:v>Pending</x:v>
      </x:c>
      <x:c r="S333" s="5" t="str"/>
      <x:c r="T333" s="5" t="str"/>
      <x:c r="U333" s="5" t="str"/>
      <x:c r="V333" s="5" t="str"/>
      <x:c r="W333" s="5" t="str">
        <x:v>Not linked</x:v>
      </x:c>
      <x:c r="X333" s="5" t="str">
        <x:v>Pending</x:v>
      </x:c>
      <x:c r="Y333" s="5" t="str">
        <x:f>IF(AND(L333="Pending",R333="Pending"),"Pending screening",IF(H333="Not assigned","Assign reviewer",IF(AND(L333="Exclude",M333=""),"Missing TA exclusion reason",IF(AND(R333="Exclude",S333=""),"Missing FT exclusion reason","Decision recorded"))))</x:f>
        <x:v>Pending screening</x:v>
      </x:c>
    </x:row>
    <x:row r="334" ht="40" customHeight="1">
      <x:c r="A334" s="5" t="str">
        <x:v>C0324</x:v>
      </x:c>
      <x:c r="B334" s="5" t="str">
        <x:v>RGB-D Rail Surface Defect Inspection Driven by Conditional Diffusion Architecture and Frequency Knowledge</x:v>
      </x:c>
      <x:c r="C334" s="5" t="str">
        <x:v>10.1109/jsen.2025.3554715</x:v>
      </x:c>
      <x:c r="D334" s="5" t="str"/>
      <x:c r="E334" s="5" t="str">
        <x:v>journal-article</x:v>
      </x:c>
      <x:c r="F334" s="5" t="str">
        <x:v>S11</x:v>
      </x:c>
      <x:c r="G334" s="5" t="str">
        <x:v>Title-scope candidate</x:v>
      </x:c>
      <x:c r="H334" s="5" t="str">
        <x:v>Not assigned</x:v>
      </x:c>
      <x:c r="I334" s="5" t="str">
        <x:v>Not started</x:v>
      </x:c>
      <x:c r="J334" s="5" t="str">
        <x:v>Not assigned</x:v>
      </x:c>
      <x:c r="K334" s="5" t="str">
        <x:v>Not started</x:v>
      </x:c>
      <x:c r="L334" s="5" t="str">
        <x:v>Pending</x:v>
      </x:c>
      <x:c r="M334" s="5" t="str"/>
      <x:c r="N334" s="5" t="str">
        <x:v>Not started</x:v>
      </x:c>
      <x:c r="O334" s="5" t="str">
        <x:v>Not started</x:v>
      </x:c>
      <x:c r="P334" s="5" t="str">
        <x:v>Not started</x:v>
      </x:c>
      <x:c r="Q334" s="5" t="str">
        <x:v>Not started</x:v>
      </x:c>
      <x:c r="R334" s="5" t="str">
        <x:v>Pending</x:v>
      </x:c>
      <x:c r="S334" s="5" t="str"/>
      <x:c r="T334" s="5" t="str"/>
      <x:c r="U334" s="5" t="str"/>
      <x:c r="V334" s="5" t="str"/>
      <x:c r="W334" s="5" t="str">
        <x:v>Not linked</x:v>
      </x:c>
      <x:c r="X334" s="5" t="str">
        <x:v>Pending</x:v>
      </x:c>
      <x:c r="Y334" s="5" t="str">
        <x:f>IF(AND(L334="Pending",R334="Pending"),"Pending screening",IF(H334="Not assigned","Assign reviewer",IF(AND(L334="Exclude",M334=""),"Missing TA exclusion reason",IF(AND(R334="Exclude",S334=""),"Missing FT exclusion reason","Decision recorded"))))</x:f>
        <x:v>Pending screening</x:v>
      </x:c>
    </x:row>
    <x:row r="335" ht="40" customHeight="1">
      <x:c r="A335" s="5" t="str">
        <x:v>C0325</x:v>
      </x:c>
      <x:c r="B335" s="5" t="str">
        <x:v>AI-Driven Weld Inspection with Ultrasonic B-Scans</x:v>
      </x:c>
      <x:c r="C335" s="5" t="str">
        <x:v>10.1201/9781003766575-9</x:v>
      </x:c>
      <x:c r="D335" s="5" t="str"/>
      <x:c r="E335" s="5" t="str">
        <x:v>book-chapter</x:v>
      </x:c>
      <x:c r="F335" s="5" t="str">
        <x:v>S11</x:v>
      </x:c>
      <x:c r="G335" s="5" t="str">
        <x:v>Lower-priority; inspect scope</x:v>
      </x:c>
      <x:c r="H335" s="5" t="str">
        <x:v>Not assigned</x:v>
      </x:c>
      <x:c r="I335" s="5" t="str">
        <x:v>Not started</x:v>
      </x:c>
      <x:c r="J335" s="5" t="str">
        <x:v>Not assigned</x:v>
      </x:c>
      <x:c r="K335" s="5" t="str">
        <x:v>Not started</x:v>
      </x:c>
      <x:c r="L335" s="5" t="str">
        <x:v>Pending</x:v>
      </x:c>
      <x:c r="M335" s="5" t="str"/>
      <x:c r="N335" s="5" t="str">
        <x:v>Not started</x:v>
      </x:c>
      <x:c r="O335" s="5" t="str">
        <x:v>Not started</x:v>
      </x:c>
      <x:c r="P335" s="5" t="str">
        <x:v>Not started</x:v>
      </x:c>
      <x:c r="Q335" s="5" t="str">
        <x:v>Not started</x:v>
      </x:c>
      <x:c r="R335" s="5" t="str">
        <x:v>Pending</x:v>
      </x:c>
      <x:c r="S335" s="5" t="str"/>
      <x:c r="T335" s="5" t="str"/>
      <x:c r="U335" s="5" t="str"/>
      <x:c r="V335" s="5" t="str"/>
      <x:c r="W335" s="5" t="str">
        <x:v>Not linked</x:v>
      </x:c>
      <x:c r="X335" s="5" t="str">
        <x:v>Pending</x:v>
      </x:c>
      <x:c r="Y335" s="5" t="str">
        <x:f>IF(AND(L335="Pending",R335="Pending"),"Pending screening",IF(H335="Not assigned","Assign reviewer",IF(AND(L335="Exclude",M335=""),"Missing TA exclusion reason",IF(AND(R335="Exclude",S335=""),"Missing FT exclusion reason","Decision recorded"))))</x:f>
        <x:v>Pending screening</x:v>
      </x:c>
    </x:row>
    <x:row r="336" ht="40" customHeight="1">
      <x:c r="A336" s="5" t="str">
        <x:v>C0326</x:v>
      </x:c>
      <x:c r="B336" s="5" t="str">
        <x:v>Automation in bridge deck inspection using drone based RGB-thermal images</x:v>
      </x:c>
      <x:c r="C336" s="5" t="str">
        <x:v>10.1201/9781003778677-77</x:v>
      </x:c>
      <x:c r="D336" s="5" t="str"/>
      <x:c r="E336" s="5" t="str">
        <x:v>book-chapter</x:v>
      </x:c>
      <x:c r="F336" s="5" t="str">
        <x:v>S11</x:v>
      </x:c>
      <x:c r="G336" s="5" t="str">
        <x:v>Title-scope candidate</x:v>
      </x:c>
      <x:c r="H336" s="5" t="str">
        <x:v>Not assigned</x:v>
      </x:c>
      <x:c r="I336" s="5" t="str">
        <x:v>Not started</x:v>
      </x:c>
      <x:c r="J336" s="5" t="str">
        <x:v>Not assigned</x:v>
      </x:c>
      <x:c r="K336" s="5" t="str">
        <x:v>Not started</x:v>
      </x:c>
      <x:c r="L336" s="5" t="str">
        <x:v>Pending</x:v>
      </x:c>
      <x:c r="M336" s="5" t="str"/>
      <x:c r="N336" s="5" t="str">
        <x:v>Not started</x:v>
      </x:c>
      <x:c r="O336" s="5" t="str">
        <x:v>Not started</x:v>
      </x:c>
      <x:c r="P336" s="5" t="str">
        <x:v>Not started</x:v>
      </x:c>
      <x:c r="Q336" s="5" t="str">
        <x:v>Not started</x:v>
      </x:c>
      <x:c r="R336" s="5" t="str">
        <x:v>Pending</x:v>
      </x:c>
      <x:c r="S336" s="5" t="str"/>
      <x:c r="T336" s="5" t="str"/>
      <x:c r="U336" s="5" t="str"/>
      <x:c r="V336" s="5" t="str"/>
      <x:c r="W336" s="5" t="str">
        <x:v>Not linked</x:v>
      </x:c>
      <x:c r="X336" s="5" t="str">
        <x:v>Pending</x:v>
      </x:c>
      <x:c r="Y336" s="5" t="str">
        <x:f>IF(AND(L336="Pending",R336="Pending"),"Pending screening",IF(H336="Not assigned","Assign reviewer",IF(AND(L336="Exclude",M336=""),"Missing TA exclusion reason",IF(AND(R336="Exclude",S336=""),"Missing FT exclusion reason","Decision recorded"))))</x:f>
        <x:v>Pending screening</x:v>
      </x:c>
    </x:row>
    <x:row r="337" ht="40" customHeight="1">
      <x:c r="A337" s="5" t="str">
        <x:v>C0327</x:v>
      </x:c>
      <x:c r="B337" s="5" t="str">
        <x:v>&lt;title&gt;Neural network for defect classification in industrial inspection&lt;/title&gt;</x:v>
      </x:c>
      <x:c r="C337" s="5" t="str">
        <x:v>10.1117/12.205510</x:v>
      </x:c>
      <x:c r="D337" s="5" t="str"/>
      <x:c r="E337" s="5" t="str">
        <x:v>proceedings-article</x:v>
      </x:c>
      <x:c r="F337" s="5" t="str">
        <x:v>S11</x:v>
      </x:c>
      <x:c r="G337" s="5" t="str">
        <x:v>Title-scope candidate</x:v>
      </x:c>
      <x:c r="H337" s="5" t="str">
        <x:v>Not assigned</x:v>
      </x:c>
      <x:c r="I337" s="5" t="str">
        <x:v>Not started</x:v>
      </x:c>
      <x:c r="J337" s="5" t="str">
        <x:v>Not assigned</x:v>
      </x:c>
      <x:c r="K337" s="5" t="str">
        <x:v>Not started</x:v>
      </x:c>
      <x:c r="L337" s="5" t="str">
        <x:v>Pending</x:v>
      </x:c>
      <x:c r="M337" s="5" t="str"/>
      <x:c r="N337" s="5" t="str">
        <x:v>Not started</x:v>
      </x:c>
      <x:c r="O337" s="5" t="str">
        <x:v>Not started</x:v>
      </x:c>
      <x:c r="P337" s="5" t="str">
        <x:v>Not started</x:v>
      </x:c>
      <x:c r="Q337" s="5" t="str">
        <x:v>Not started</x:v>
      </x:c>
      <x:c r="R337" s="5" t="str">
        <x:v>Pending</x:v>
      </x:c>
      <x:c r="S337" s="5" t="str"/>
      <x:c r="T337" s="5" t="str"/>
      <x:c r="U337" s="5" t="str"/>
      <x:c r="V337" s="5" t="str"/>
      <x:c r="W337" s="5" t="str">
        <x:v>Not linked</x:v>
      </x:c>
      <x:c r="X337" s="5" t="str">
        <x:v>Pending</x:v>
      </x:c>
      <x:c r="Y337" s="5" t="str">
        <x:f>IF(AND(L337="Pending",R337="Pending"),"Pending screening",IF(H337="Not assigned","Assign reviewer",IF(AND(L337="Exclude",M337=""),"Missing TA exclusion reason",IF(AND(R337="Exclude",S337=""),"Missing FT exclusion reason","Decision recorded"))))</x:f>
        <x:v>Pending screening</x:v>
      </x:c>
    </x:row>
    <x:row r="338" ht="40" customHeight="1">
      <x:c r="A338" s="5" t="str">
        <x:v>R01</x:v>
      </x:c>
      <x:c r="B338" s="5" t="str">
        <x:v>Deep Industrial Image Anomaly Detection: A Survey</x:v>
      </x:c>
      <x:c r="C338" s="5" t="str">
        <x:v>10.1007/s11633-023-1459-z</x:v>
      </x:c>
      <x:c r="D338" s="5" t="str"/>
      <x:c r="E338" s="5" t="str">
        <x:v>journal-article</x:v>
      </x:c>
      <x:c r="F338" s="5" t="str">
        <x:v>SEED</x:v>
      </x:c>
      <x:c r="G338" s="5" t="str">
        <x:v>Seed priority</x:v>
      </x:c>
      <x:c r="H338" s="5" t="str">
        <x:v>Not assigned</x:v>
      </x:c>
      <x:c r="I338" s="5" t="str">
        <x:v>Not started</x:v>
      </x:c>
      <x:c r="J338" s="5" t="str">
        <x:v>Not assigned</x:v>
      </x:c>
      <x:c r="K338" s="5" t="str">
        <x:v>Not started</x:v>
      </x:c>
      <x:c r="L338" s="5" t="str">
        <x:v>Pending</x:v>
      </x:c>
      <x:c r="M338" s="5" t="str"/>
      <x:c r="N338" s="5" t="str">
        <x:v>Not started</x:v>
      </x:c>
      <x:c r="O338" s="5" t="str">
        <x:v>Not started</x:v>
      </x:c>
      <x:c r="P338" s="5" t="str">
        <x:v>Not started</x:v>
      </x:c>
      <x:c r="Q338" s="5" t="str">
        <x:v>Not started</x:v>
      </x:c>
      <x:c r="R338" s="5" t="str">
        <x:v>Pending</x:v>
      </x:c>
      <x:c r="S338" s="5" t="str"/>
      <x:c r="T338" s="5" t="str"/>
      <x:c r="U338" s="5" t="str"/>
      <x:c r="V338" s="5" t="str"/>
      <x:c r="W338" s="5" t="str">
        <x:v>Not linked</x:v>
      </x:c>
      <x:c r="X338" s="5" t="str">
        <x:v>Pending</x:v>
      </x:c>
      <x:c r="Y338" s="5" t="str">
        <x:f>IF(AND(L338="Pending",R338="Pending"),"Pending screening",IF(H338="Not assigned","Assign reviewer",IF(AND(L338="Exclude",M338=""),"Missing TA exclusion reason",IF(AND(R338="Exclude",S338=""),"Missing FT exclusion reason","Decision recorded"))))</x:f>
        <x:v>Pending screening</x:v>
      </x:c>
    </x:row>
    <x:row r="339" ht="40" customHeight="1">
      <x:c r="A339" s="5" t="str">
        <x:v>R03</x:v>
      </x:c>
      <x:c r="B339" s="5" t="str">
        <x:v>A Survey on Visual Anomaly Detection: Challenge, Approach, and Prospect</x:v>
      </x:c>
      <x:c r="C339" s="5" t="str"/>
      <x:c r="D339" s="5" t="str">
        <x:v>2401.16402</x:v>
      </x:c>
      <x:c r="E339" s="5" t="str">
        <x:v>arxiv-preprint</x:v>
      </x:c>
      <x:c r="F339" s="5" t="str">
        <x:v>SEED</x:v>
      </x:c>
      <x:c r="G339" s="5" t="str">
        <x:v>Seed priority</x:v>
      </x:c>
      <x:c r="H339" s="5" t="str">
        <x:v>Not assigned</x:v>
      </x:c>
      <x:c r="I339" s="5" t="str">
        <x:v>Not started</x:v>
      </x:c>
      <x:c r="J339" s="5" t="str">
        <x:v>Not assigned</x:v>
      </x:c>
      <x:c r="K339" s="5" t="str">
        <x:v>Not started</x:v>
      </x:c>
      <x:c r="L339" s="5" t="str">
        <x:v>Pending</x:v>
      </x:c>
      <x:c r="M339" s="5" t="str"/>
      <x:c r="N339" s="5" t="str">
        <x:v>Not started</x:v>
      </x:c>
      <x:c r="O339" s="5" t="str">
        <x:v>Not started</x:v>
      </x:c>
      <x:c r="P339" s="5" t="str">
        <x:v>Not started</x:v>
      </x:c>
      <x:c r="Q339" s="5" t="str">
        <x:v>Not started</x:v>
      </x:c>
      <x:c r="R339" s="5" t="str">
        <x:v>Pending</x:v>
      </x:c>
      <x:c r="S339" s="5" t="str"/>
      <x:c r="T339" s="5" t="str"/>
      <x:c r="U339" s="5" t="str"/>
      <x:c r="V339" s="5" t="str"/>
      <x:c r="W339" s="5" t="str">
        <x:v>Not linked</x:v>
      </x:c>
      <x:c r="X339" s="5" t="str">
        <x:v>Pending</x:v>
      </x:c>
      <x:c r="Y339" s="5" t="str">
        <x:f>IF(AND(L339="Pending",R339="Pending"),"Pending screening",IF(H339="Not assigned","Assign reviewer",IF(AND(L339="Exclude",M339=""),"Missing TA exclusion reason",IF(AND(R339="Exclude",S339=""),"Missing FT exclusion reason","Decision recorded"))))</x:f>
        <x:v>Pending screening</x:v>
      </x:c>
    </x:row>
    <x:row r="340" ht="40" customHeight="1">
      <x:c r="A340" s="5" t="str">
        <x:v>R04</x:v>
      </x:c>
      <x:c r="B340" s="5" t="str">
        <x:v>Anomaly Detection for Industrial Applications, Its Challenges, Solutions, and Future Directions: A Review</x:v>
      </x:c>
      <x:c r="C340" s="5" t="str"/>
      <x:c r="D340" s="5" t="str">
        <x:v>2501.11310</x:v>
      </x:c>
      <x:c r="E340" s="5" t="str">
        <x:v>arxiv-preprint</x:v>
      </x:c>
      <x:c r="F340" s="5" t="str">
        <x:v>SEED</x:v>
      </x:c>
      <x:c r="G340" s="5" t="str">
        <x:v>Seed priority</x:v>
      </x:c>
      <x:c r="H340" s="5" t="str">
        <x:v>Not assigned</x:v>
      </x:c>
      <x:c r="I340" s="5" t="str">
        <x:v>Not started</x:v>
      </x:c>
      <x:c r="J340" s="5" t="str">
        <x:v>Not assigned</x:v>
      </x:c>
      <x:c r="K340" s="5" t="str">
        <x:v>Not started</x:v>
      </x:c>
      <x:c r="L340" s="5" t="str">
        <x:v>Pending</x:v>
      </x:c>
      <x:c r="M340" s="5" t="str"/>
      <x:c r="N340" s="5" t="str">
        <x:v>Not started</x:v>
      </x:c>
      <x:c r="O340" s="5" t="str">
        <x:v>Not started</x:v>
      </x:c>
      <x:c r="P340" s="5" t="str">
        <x:v>Not started</x:v>
      </x:c>
      <x:c r="Q340" s="5" t="str">
        <x:v>Not started</x:v>
      </x:c>
      <x:c r="R340" s="5" t="str">
        <x:v>Pending</x:v>
      </x:c>
      <x:c r="S340" s="5" t="str"/>
      <x:c r="T340" s="5" t="str"/>
      <x:c r="U340" s="5" t="str"/>
      <x:c r="V340" s="5" t="str"/>
      <x:c r="W340" s="5" t="str">
        <x:v>Not linked</x:v>
      </x:c>
      <x:c r="X340" s="5" t="str">
        <x:v>Pending</x:v>
      </x:c>
      <x:c r="Y340" s="5" t="str">
        <x:f>IF(AND(L340="Pending",R340="Pending"),"Pending screening",IF(H340="Not assigned","Assign reviewer",IF(AND(L340="Exclude",M340=""),"Missing TA exclusion reason",IF(AND(R340="Exclude",S340=""),"Missing FT exclusion reason","Decision recorded"))))</x:f>
        <x:v>Pending screening</x:v>
      </x:c>
    </x:row>
    <x:row r="341" ht="40" customHeight="1">
      <x:c r="A341" s="5" t="str">
        <x:v>R05</x:v>
      </x:c>
      <x:c r="B341" s="5" t="str">
        <x:v>A survey on industrial image anomaly detection: methods, benchmarks and rethinks</x:v>
      </x:c>
      <x:c r="C341" s="5" t="str">
        <x:v>10.1016/j.measurement.2025.118377</x:v>
      </x:c>
      <x:c r="D341" s="5" t="str"/>
      <x:c r="E341" s="5" t="str">
        <x:v>journal-article</x:v>
      </x:c>
      <x:c r="F341" s="5" t="str">
        <x:v>SEED</x:v>
      </x:c>
      <x:c r="G341" s="5" t="str">
        <x:v>Seed priority</x:v>
      </x:c>
      <x:c r="H341" s="5" t="str">
        <x:v>Not assigned</x:v>
      </x:c>
      <x:c r="I341" s="5" t="str">
        <x:v>Not started</x:v>
      </x:c>
      <x:c r="J341" s="5" t="str">
        <x:v>Not assigned</x:v>
      </x:c>
      <x:c r="K341" s="5" t="str">
        <x:v>Not started</x:v>
      </x:c>
      <x:c r="L341" s="5" t="str">
        <x:v>Pending</x:v>
      </x:c>
      <x:c r="M341" s="5" t="str"/>
      <x:c r="N341" s="5" t="str">
        <x:v>Not started</x:v>
      </x:c>
      <x:c r="O341" s="5" t="str">
        <x:v>Not started</x:v>
      </x:c>
      <x:c r="P341" s="5" t="str">
        <x:v>Not started</x:v>
      </x:c>
      <x:c r="Q341" s="5" t="str">
        <x:v>Not started</x:v>
      </x:c>
      <x:c r="R341" s="5" t="str">
        <x:v>Pending</x:v>
      </x:c>
      <x:c r="S341" s="5" t="str"/>
      <x:c r="T341" s="5" t="str"/>
      <x:c r="U341" s="5" t="str"/>
      <x:c r="V341" s="5" t="str"/>
      <x:c r="W341" s="5" t="str">
        <x:v>Not linked</x:v>
      </x:c>
      <x:c r="X341" s="5" t="str">
        <x:v>Pending</x:v>
      </x:c>
      <x:c r="Y341" s="5" t="str">
        <x:f>IF(AND(L341="Pending",R341="Pending"),"Pending screening",IF(H341="Not assigned","Assign reviewer",IF(AND(L341="Exclude",M341=""),"Missing TA exclusion reason",IF(AND(R341="Exclude",S341=""),"Missing FT exclusion reason","Decision recorded"))))</x:f>
        <x:v>Pending screening</x:v>
      </x:c>
    </x:row>
    <x:row r="342" ht="53" customHeight="1">
      <x:c r="A342" s="5" t="str">
        <x:v>R06</x:v>
      </x:c>
      <x:c r="B342" s="5" t="str">
        <x:v>A comprehensive survey for real-world industrial surface defect detection: Challenges, approaches, and prospects</x:v>
      </x:c>
      <x:c r="C342" s="5" t="str"/>
      <x:c r="D342" s="5" t="str"/>
      <x:c r="E342" s="5" t="str">
        <x:v>unresolved</x:v>
      </x:c>
      <x:c r="F342" s="5" t="str">
        <x:v>SEED</x:v>
      </x:c>
      <x:c r="G342" s="5" t="str">
        <x:v>Seed priority</x:v>
      </x:c>
      <x:c r="H342" s="5" t="str">
        <x:v>Not assigned</x:v>
      </x:c>
      <x:c r="I342" s="5" t="str">
        <x:v>Not started</x:v>
      </x:c>
      <x:c r="J342" s="5" t="str">
        <x:v>Not assigned</x:v>
      </x:c>
      <x:c r="K342" s="5" t="str">
        <x:v>Not started</x:v>
      </x:c>
      <x:c r="L342" s="5" t="str">
        <x:v>Pending</x:v>
      </x:c>
      <x:c r="M342" s="5" t="str"/>
      <x:c r="N342" s="5" t="str">
        <x:v>Not started</x:v>
      </x:c>
      <x:c r="O342" s="5" t="str">
        <x:v>Not started</x:v>
      </x:c>
      <x:c r="P342" s="5" t="str">
        <x:v>Not started</x:v>
      </x:c>
      <x:c r="Q342" s="5" t="str">
        <x:v>Not started</x:v>
      </x:c>
      <x:c r="R342" s="5" t="str">
        <x:v>Pending</x:v>
      </x:c>
      <x:c r="S342" s="5" t="str"/>
      <x:c r="T342" s="5" t="str"/>
      <x:c r="U342" s="5" t="str"/>
      <x:c r="V342" s="5" t="str"/>
      <x:c r="W342" s="5" t="str">
        <x:v>Not linked</x:v>
      </x:c>
      <x:c r="X342" s="5" t="str">
        <x:v>Pending</x:v>
      </x:c>
      <x:c r="Y342" s="5" t="str">
        <x:f>IF(AND(L342="Pending",R342="Pending"),"Pending screening",IF(H342="Not assigned","Assign reviewer",IF(AND(L342="Exclude",M342=""),"Missing TA exclusion reason",IF(AND(R342="Exclude",S342=""),"Missing FT exclusion reason","Decision recorded"))))</x:f>
        <x:v>Pending screening</x:v>
      </x:c>
    </x:row>
    <x:row r="343" ht="40" customHeight="1">
      <x:c r="A343" s="5" t="str">
        <x:v>R07</x:v>
      </x:c>
      <x:c r="B343" s="5" t="str">
        <x:v>Automated visual inspection of linear and areal surface defects: A metrological survey</x:v>
      </x:c>
      <x:c r="C343" s="5" t="str">
        <x:v>10.1016/j.measurement.2026.122522</x:v>
      </x:c>
      <x:c r="D343" s="5" t="str"/>
      <x:c r="E343" s="5" t="str">
        <x:v>journal-article</x:v>
      </x:c>
      <x:c r="F343" s="5" t="str">
        <x:v>SEED</x:v>
      </x:c>
      <x:c r="G343" s="5" t="str">
        <x:v>Seed priority</x:v>
      </x:c>
      <x:c r="H343" s="5" t="str">
        <x:v>Not assigned</x:v>
      </x:c>
      <x:c r="I343" s="5" t="str">
        <x:v>Not started</x:v>
      </x:c>
      <x:c r="J343" s="5" t="str">
        <x:v>Not assigned</x:v>
      </x:c>
      <x:c r="K343" s="5" t="str">
        <x:v>Not started</x:v>
      </x:c>
      <x:c r="L343" s="5" t="str">
        <x:v>Pending</x:v>
      </x:c>
      <x:c r="M343" s="5" t="str"/>
      <x:c r="N343" s="5" t="str">
        <x:v>Not started</x:v>
      </x:c>
      <x:c r="O343" s="5" t="str">
        <x:v>Not started</x:v>
      </x:c>
      <x:c r="P343" s="5" t="str">
        <x:v>Not started</x:v>
      </x:c>
      <x:c r="Q343" s="5" t="str">
        <x:v>Not started</x:v>
      </x:c>
      <x:c r="R343" s="5" t="str">
        <x:v>Pending</x:v>
      </x:c>
      <x:c r="S343" s="5" t="str"/>
      <x:c r="T343" s="5" t="str"/>
      <x:c r="U343" s="5" t="str"/>
      <x:c r="V343" s="5" t="str"/>
      <x:c r="W343" s="5" t="str">
        <x:v>Not linked</x:v>
      </x:c>
      <x:c r="X343" s="5" t="str">
        <x:v>Pending</x:v>
      </x:c>
      <x:c r="Y343" s="5" t="str">
        <x:f>IF(AND(L343="Pending",R343="Pending"),"Pending screening",IF(H343="Not assigned","Assign reviewer",IF(AND(L343="Exclude",M343=""),"Missing TA exclusion reason",IF(AND(R343="Exclude",S343=""),"Missing FT exclusion reason","Decision recorded"))))</x:f>
        <x:v>Pending screening</x:v>
      </x:c>
    </x:row>
    <x:row r="344" ht="40" customHeight="1">
      <x:c r="A344" s="5" t="str">
        <x:v>R08</x:v>
      </x:c>
      <x:c r="B344" s="5" t="str">
        <x:v>Deep Learning Algorithms for Defect Detection on Electronic Assemblies: A Systematic Literature Review</x:v>
      </x:c>
      <x:c r="C344" s="5" t="str"/>
      <x:c r="D344" s="5" t="str"/>
      <x:c r="E344" s="5" t="str">
        <x:v>unresolved</x:v>
      </x:c>
      <x:c r="F344" s="5" t="str">
        <x:v>SEED</x:v>
      </x:c>
      <x:c r="G344" s="5" t="str">
        <x:v>Seed priority</x:v>
      </x:c>
      <x:c r="H344" s="5" t="str">
        <x:v>Not assigned</x:v>
      </x:c>
      <x:c r="I344" s="5" t="str">
        <x:v>Not started</x:v>
      </x:c>
      <x:c r="J344" s="5" t="str">
        <x:v>Not assigned</x:v>
      </x:c>
      <x:c r="K344" s="5" t="str">
        <x:v>Not started</x:v>
      </x:c>
      <x:c r="L344" s="5" t="str">
        <x:v>Pending</x:v>
      </x:c>
      <x:c r="M344" s="5" t="str"/>
      <x:c r="N344" s="5" t="str">
        <x:v>Not started</x:v>
      </x:c>
      <x:c r="O344" s="5" t="str">
        <x:v>Not started</x:v>
      </x:c>
      <x:c r="P344" s="5" t="str">
        <x:v>Not started</x:v>
      </x:c>
      <x:c r="Q344" s="5" t="str">
        <x:v>Not started</x:v>
      </x:c>
      <x:c r="R344" s="5" t="str">
        <x:v>Pending</x:v>
      </x:c>
      <x:c r="S344" s="5" t="str"/>
      <x:c r="T344" s="5" t="str"/>
      <x:c r="U344" s="5" t="str"/>
      <x:c r="V344" s="5" t="str"/>
      <x:c r="W344" s="5" t="str">
        <x:v>Not linked</x:v>
      </x:c>
      <x:c r="X344" s="5" t="str">
        <x:v>Pending</x:v>
      </x:c>
      <x:c r="Y344" s="5" t="str">
        <x:f>IF(AND(L344="Pending",R344="Pending"),"Pending screening",IF(H344="Not assigned","Assign reviewer",IF(AND(L344="Exclude",M344=""),"Missing TA exclusion reason",IF(AND(R344="Exclude",S344=""),"Missing FT exclusion reason","Decision recorded"))))</x:f>
        <x:v>Pending screening</x:v>
      </x:c>
    </x:row>
    <x:row r="345" ht="40" customHeight="1">
      <x:c r="A345" s="5" t="str">
        <x:v>P01</x:v>
      </x:c>
      <x:c r="B345" s="5" t="str">
        <x:v>Deep learning corrosion detection with confidence</x:v>
      </x:c>
      <x:c r="C345" s="5" t="str">
        <x:v>10.1038/s41529-022-00232-6</x:v>
      </x:c>
      <x:c r="D345" s="5" t="str"/>
      <x:c r="E345" s="5" t="str">
        <x:v>journal-article</x:v>
      </x:c>
      <x:c r="F345" s="5" t="str">
        <x:v>SEED</x:v>
      </x:c>
      <x:c r="G345" s="5" t="str">
        <x:v>Seed priority</x:v>
      </x:c>
      <x:c r="H345" s="5" t="str">
        <x:v>Not assigned</x:v>
      </x:c>
      <x:c r="I345" s="5" t="str">
        <x:v>Not started</x:v>
      </x:c>
      <x:c r="J345" s="5" t="str">
        <x:v>Not assigned</x:v>
      </x:c>
      <x:c r="K345" s="5" t="str">
        <x:v>Not started</x:v>
      </x:c>
      <x:c r="L345" s="5" t="str">
        <x:v>Pending</x:v>
      </x:c>
      <x:c r="M345" s="5" t="str"/>
      <x:c r="N345" s="5" t="str">
        <x:v>Not started</x:v>
      </x:c>
      <x:c r="O345" s="5" t="str">
        <x:v>Not started</x:v>
      </x:c>
      <x:c r="P345" s="5" t="str">
        <x:v>Not started</x:v>
      </x:c>
      <x:c r="Q345" s="5" t="str">
        <x:v>Not started</x:v>
      </x:c>
      <x:c r="R345" s="5" t="str">
        <x:v>Pending</x:v>
      </x:c>
      <x:c r="S345" s="5" t="str"/>
      <x:c r="T345" s="5" t="str"/>
      <x:c r="U345" s="5" t="str"/>
      <x:c r="V345" s="5" t="str"/>
      <x:c r="W345" s="5" t="str">
        <x:v>Not linked</x:v>
      </x:c>
      <x:c r="X345" s="5" t="str">
        <x:v>Pending</x:v>
      </x:c>
      <x:c r="Y345" s="5" t="str">
        <x:f>IF(AND(L345="Pending",R345="Pending"),"Pending screening",IF(H345="Not assigned","Assign reviewer",IF(AND(L345="Exclude",M345=""),"Missing TA exclusion reason",IF(AND(R345="Exclude",S345=""),"Missing FT exclusion reason","Decision recorded"))))</x:f>
        <x:v>Pending screening</x:v>
      </x:c>
    </x:row>
    <x:row r="346" ht="40" customHeight="1">
      <x:c r="A346" s="5" t="str">
        <x:v>P02</x:v>
      </x:c>
      <x:c r="B346" s="5" t="str">
        <x:v>Anomaly Detection under Distribution Shift</x:v>
      </x:c>
      <x:c r="C346" s="5" t="str"/>
      <x:c r="D346" s="5" t="str">
        <x:v>2303.13845</x:v>
      </x:c>
      <x:c r="E346" s="5" t="str">
        <x:v>arxiv-preprint</x:v>
      </x:c>
      <x:c r="F346" s="5" t="str">
        <x:v>SEED</x:v>
      </x:c>
      <x:c r="G346" s="5" t="str">
        <x:v>Seed priority</x:v>
      </x:c>
      <x:c r="H346" s="5" t="str">
        <x:v>Not assigned</x:v>
      </x:c>
      <x:c r="I346" s="5" t="str">
        <x:v>Not started</x:v>
      </x:c>
      <x:c r="J346" s="5" t="str">
        <x:v>Not assigned</x:v>
      </x:c>
      <x:c r="K346" s="5" t="str">
        <x:v>Not started</x:v>
      </x:c>
      <x:c r="L346" s="5" t="str">
        <x:v>Pending</x:v>
      </x:c>
      <x:c r="M346" s="5" t="str"/>
      <x:c r="N346" s="5" t="str">
        <x:v>Not started</x:v>
      </x:c>
      <x:c r="O346" s="5" t="str">
        <x:v>Not started</x:v>
      </x:c>
      <x:c r="P346" s="5" t="str">
        <x:v>Not started</x:v>
      </x:c>
      <x:c r="Q346" s="5" t="str">
        <x:v>Not started</x:v>
      </x:c>
      <x:c r="R346" s="5" t="str">
        <x:v>Pending</x:v>
      </x:c>
      <x:c r="S346" s="5" t="str"/>
      <x:c r="T346" s="5" t="str"/>
      <x:c r="U346" s="5" t="str"/>
      <x:c r="V346" s="5" t="str"/>
      <x:c r="W346" s="5" t="str">
        <x:v>Not linked</x:v>
      </x:c>
      <x:c r="X346" s="5" t="str">
        <x:v>Pending</x:v>
      </x:c>
      <x:c r="Y346" s="5" t="str">
        <x:f>IF(AND(L346="Pending",R346="Pending"),"Pending screening",IF(H346="Not assigned","Assign reviewer",IF(AND(L346="Exclude",M346=""),"Missing TA exclusion reason",IF(AND(R346="Exclude",S346=""),"Missing FT exclusion reason","Decision recorded"))))</x:f>
        <x:v>Pending screening</x:v>
      </x:c>
    </x:row>
    <x:row r="347" ht="40" customHeight="1">
      <x:c r="A347" s="5" t="str">
        <x:v>P03</x:v>
      </x:c>
      <x:c r="B347" s="5" t="str">
        <x:v>Risk-Based Thresholding for Reliable Anomaly Detection in Concentrated Solar Power Plants</x:v>
      </x:c>
      <x:c r="C347" s="5" t="str"/>
      <x:c r="D347" s="5" t="str">
        <x:v>2503.19146</x:v>
      </x:c>
      <x:c r="E347" s="5" t="str">
        <x:v>arxiv-preprint</x:v>
      </x:c>
      <x:c r="F347" s="5" t="str">
        <x:v>SEED</x:v>
      </x:c>
      <x:c r="G347" s="5" t="str">
        <x:v>Seed priority</x:v>
      </x:c>
      <x:c r="H347" s="5" t="str">
        <x:v>Not assigned</x:v>
      </x:c>
      <x:c r="I347" s="5" t="str">
        <x:v>Not started</x:v>
      </x:c>
      <x:c r="J347" s="5" t="str">
        <x:v>Not assigned</x:v>
      </x:c>
      <x:c r="K347" s="5" t="str">
        <x:v>Not started</x:v>
      </x:c>
      <x:c r="L347" s="5" t="str">
        <x:v>Pending</x:v>
      </x:c>
      <x:c r="M347" s="5" t="str"/>
      <x:c r="N347" s="5" t="str">
        <x:v>Not started</x:v>
      </x:c>
      <x:c r="O347" s="5" t="str">
        <x:v>Not started</x:v>
      </x:c>
      <x:c r="P347" s="5" t="str">
        <x:v>Not started</x:v>
      </x:c>
      <x:c r="Q347" s="5" t="str">
        <x:v>Not started</x:v>
      </x:c>
      <x:c r="R347" s="5" t="str">
        <x:v>Pending</x:v>
      </x:c>
      <x:c r="S347" s="5" t="str"/>
      <x:c r="T347" s="5" t="str"/>
      <x:c r="U347" s="5" t="str"/>
      <x:c r="V347" s="5" t="str"/>
      <x:c r="W347" s="5" t="str">
        <x:v>Not linked</x:v>
      </x:c>
      <x:c r="X347" s="5" t="str">
        <x:v>Pending</x:v>
      </x:c>
      <x:c r="Y347" s="5" t="str">
        <x:f>IF(AND(L347="Pending",R347="Pending"),"Pending screening",IF(H347="Not assigned","Assign reviewer",IF(AND(L347="Exclude",M347=""),"Missing TA exclusion reason",IF(AND(R347="Exclude",S347=""),"Missing FT exclusion reason","Decision recorded"))))</x:f>
        <x:v>Pending screening</x:v>
      </x:c>
    </x:row>
    <x:row r="348" ht="53" customHeight="1">
      <x:c r="A348" s="5" t="str">
        <x:v>P05</x:v>
      </x:c>
      <x:c r="B348" s="5" t="str">
        <x:v>Class-conditional conformal prediction with discriminant-analysis backbones for reliable open-set fault diagnosis in safety-critical industrial systems</x:v>
      </x:c>
      <x:c r="C348" s="5" t="str"/>
      <x:c r="D348" s="5" t="str"/>
      <x:c r="E348" s="5" t="str">
        <x:v>unresolved</x:v>
      </x:c>
      <x:c r="F348" s="5" t="str">
        <x:v>SEED</x:v>
      </x:c>
      <x:c r="G348" s="5" t="str">
        <x:v>Seed priority</x:v>
      </x:c>
      <x:c r="H348" s="5" t="str">
        <x:v>Not assigned</x:v>
      </x:c>
      <x:c r="I348" s="5" t="str">
        <x:v>Not started</x:v>
      </x:c>
      <x:c r="J348" s="5" t="str">
        <x:v>Not assigned</x:v>
      </x:c>
      <x:c r="K348" s="5" t="str">
        <x:v>Not started</x:v>
      </x:c>
      <x:c r="L348" s="5" t="str">
        <x:v>Pending</x:v>
      </x:c>
      <x:c r="M348" s="5" t="str"/>
      <x:c r="N348" s="5" t="str">
        <x:v>Not started</x:v>
      </x:c>
      <x:c r="O348" s="5" t="str">
        <x:v>Not started</x:v>
      </x:c>
      <x:c r="P348" s="5" t="str">
        <x:v>Not started</x:v>
      </x:c>
      <x:c r="Q348" s="5" t="str">
        <x:v>Not started</x:v>
      </x:c>
      <x:c r="R348" s="5" t="str">
        <x:v>Pending</x:v>
      </x:c>
      <x:c r="S348" s="5" t="str"/>
      <x:c r="T348" s="5" t="str"/>
      <x:c r="U348" s="5" t="str"/>
      <x:c r="V348" s="5" t="str"/>
      <x:c r="W348" s="5" t="str">
        <x:v>Not linked</x:v>
      </x:c>
      <x:c r="X348" s="5" t="str">
        <x:v>Pending</x:v>
      </x:c>
      <x:c r="Y348" s="5" t="str">
        <x:f>IF(AND(L348="Pending",R348="Pending"),"Pending screening",IF(H348="Not assigned","Assign reviewer",IF(AND(L348="Exclude",M348=""),"Missing TA exclusion reason",IF(AND(R348="Exclude",S348=""),"Missing FT exclusion reason","Decision recorded"))))</x:f>
        <x:v>Pending screening</x:v>
      </x:c>
    </x:row>
    <x:row r="349" ht="53" customHeight="1">
      <x:c r="A349" s="5" t="str">
        <x:v>P06</x:v>
      </x:c>
      <x:c r="B349" s="5" t="str">
        <x:v>SPARC: Subspace Position-Aware Robust Few-Shot Calibration for Distribution-Shifted Industrial Anomaly Detection</x:v>
      </x:c>
      <x:c r="C349" s="5" t="str"/>
      <x:c r="D349" s="5" t="str">
        <x:v>2608.18585</x:v>
      </x:c>
      <x:c r="E349" s="5" t="str">
        <x:v>arxiv-preprint</x:v>
      </x:c>
      <x:c r="F349" s="5" t="str">
        <x:v>SEED</x:v>
      </x:c>
      <x:c r="G349" s="5" t="str">
        <x:v>Seed priority</x:v>
      </x:c>
      <x:c r="H349" s="5" t="str">
        <x:v>Not assigned</x:v>
      </x:c>
      <x:c r="I349" s="5" t="str">
        <x:v>Not started</x:v>
      </x:c>
      <x:c r="J349" s="5" t="str">
        <x:v>Not assigned</x:v>
      </x:c>
      <x:c r="K349" s="5" t="str">
        <x:v>Not started</x:v>
      </x:c>
      <x:c r="L349" s="5" t="str">
        <x:v>Pending</x:v>
      </x:c>
      <x:c r="M349" s="5" t="str"/>
      <x:c r="N349" s="5" t="str">
        <x:v>Not started</x:v>
      </x:c>
      <x:c r="O349" s="5" t="str">
        <x:v>Not started</x:v>
      </x:c>
      <x:c r="P349" s="5" t="str">
        <x:v>Not started</x:v>
      </x:c>
      <x:c r="Q349" s="5" t="str">
        <x:v>Not started</x:v>
      </x:c>
      <x:c r="R349" s="5" t="str">
        <x:v>Pending</x:v>
      </x:c>
      <x:c r="S349" s="5" t="str"/>
      <x:c r="T349" s="5" t="str"/>
      <x:c r="U349" s="5" t="str"/>
      <x:c r="V349" s="5" t="str"/>
      <x:c r="W349" s="5" t="str">
        <x:v>Not linked</x:v>
      </x:c>
      <x:c r="X349" s="5" t="str">
        <x:v>Pending</x:v>
      </x:c>
      <x:c r="Y349" s="5" t="str">
        <x:f>IF(AND(L349="Pending",R349="Pending"),"Pending screening",IF(H349="Not assigned","Assign reviewer",IF(AND(L349="Exclude",M349=""),"Missing TA exclusion reason",IF(AND(R349="Exclude",S349=""),"Missing FT exclusion reason","Decision recorded"))))</x:f>
        <x:v>Pending screening</x:v>
      </x:c>
    </x:row>
    <x:row r="350" ht="40" customHeight="1">
      <x:c r="A350" s="5" t="str">
        <x:v>P07</x:v>
      </x:c>
      <x:c r="B350" s="5" t="str">
        <x:v>NFAD: Nuisance-Filtered Anomaly Detection Under Distribution Shift</x:v>
      </x:c>
      <x:c r="C350" s="5" t="str"/>
      <x:c r="D350" s="5" t="str">
        <x:v>2608.29112</x:v>
      </x:c>
      <x:c r="E350" s="5" t="str">
        <x:v>arxiv-preprint</x:v>
      </x:c>
      <x:c r="F350" s="5" t="str">
        <x:v>SEED</x:v>
      </x:c>
      <x:c r="G350" s="5" t="str">
        <x:v>Seed priority</x:v>
      </x:c>
      <x:c r="H350" s="5" t="str">
        <x:v>Not assigned</x:v>
      </x:c>
      <x:c r="I350" s="5" t="str">
        <x:v>Not started</x:v>
      </x:c>
      <x:c r="J350" s="5" t="str">
        <x:v>Not assigned</x:v>
      </x:c>
      <x:c r="K350" s="5" t="str">
        <x:v>Not started</x:v>
      </x:c>
      <x:c r="L350" s="5" t="str">
        <x:v>Pending</x:v>
      </x:c>
      <x:c r="M350" s="5" t="str"/>
      <x:c r="N350" s="5" t="str">
        <x:v>Not started</x:v>
      </x:c>
      <x:c r="O350" s="5" t="str">
        <x:v>Not started</x:v>
      </x:c>
      <x:c r="P350" s="5" t="str">
        <x:v>Not started</x:v>
      </x:c>
      <x:c r="Q350" s="5" t="str">
        <x:v>Not started</x:v>
      </x:c>
      <x:c r="R350" s="5" t="str">
        <x:v>Pending</x:v>
      </x:c>
      <x:c r="S350" s="5" t="str"/>
      <x:c r="T350" s="5" t="str"/>
      <x:c r="U350" s="5" t="str"/>
      <x:c r="V350" s="5" t="str"/>
      <x:c r="W350" s="5" t="str">
        <x:v>Not linked</x:v>
      </x:c>
      <x:c r="X350" s="5" t="str">
        <x:v>Pending</x:v>
      </x:c>
      <x:c r="Y350" s="5" t="str">
        <x:f>IF(AND(L350="Pending",R350="Pending"),"Pending screening",IF(H350="Not assigned","Assign reviewer",IF(AND(L350="Exclude",M350=""),"Missing TA exclusion reason",IF(AND(R350="Exclude",S350=""),"Missing FT exclusion reason","Decision recorded"))))</x:f>
        <x:v>Pending screening</x:v>
      </x:c>
    </x:row>
    <x:row r="351" ht="40" customHeight="1">
      <x:c r="A351" s="5" t="str">
        <x:v>P09</x:v>
      </x:c>
      <x:c r="B351" s="5" t="str">
        <x:v>SafeRestore: Detector-Relative Risk Certificates for Selective Industrial Image Restoration</x:v>
      </x:c>
      <x:c r="C351" s="5" t="str"/>
      <x:c r="D351" s="5" t="str">
        <x:v>2609.03475</x:v>
      </x:c>
      <x:c r="E351" s="5" t="str">
        <x:v>arxiv-preprint</x:v>
      </x:c>
      <x:c r="F351" s="5" t="str">
        <x:v>SEED</x:v>
      </x:c>
      <x:c r="G351" s="5" t="str">
        <x:v>Seed priority</x:v>
      </x:c>
      <x:c r="H351" s="5" t="str">
        <x:v>Not assigned</x:v>
      </x:c>
      <x:c r="I351" s="5" t="str">
        <x:v>Not started</x:v>
      </x:c>
      <x:c r="J351" s="5" t="str">
        <x:v>Not assigned</x:v>
      </x:c>
      <x:c r="K351" s="5" t="str">
        <x:v>Not started</x:v>
      </x:c>
      <x:c r="L351" s="5" t="str">
        <x:v>Pending</x:v>
      </x:c>
      <x:c r="M351" s="5" t="str"/>
      <x:c r="N351" s="5" t="str">
        <x:v>Not started</x:v>
      </x:c>
      <x:c r="O351" s="5" t="str">
        <x:v>Not started</x:v>
      </x:c>
      <x:c r="P351" s="5" t="str">
        <x:v>Not started</x:v>
      </x:c>
      <x:c r="Q351" s="5" t="str">
        <x:v>Not started</x:v>
      </x:c>
      <x:c r="R351" s="5" t="str">
        <x:v>Pending</x:v>
      </x:c>
      <x:c r="S351" s="5" t="str"/>
      <x:c r="T351" s="5" t="str"/>
      <x:c r="U351" s="5" t="str"/>
      <x:c r="V351" s="5" t="str"/>
      <x:c r="W351" s="5" t="str">
        <x:v>Not linked</x:v>
      </x:c>
      <x:c r="X351" s="5" t="str">
        <x:v>Pending</x:v>
      </x:c>
      <x:c r="Y351" s="5" t="str">
        <x:f>IF(AND(L351="Pending",R351="Pending"),"Pending screening",IF(H351="Not assigned","Assign reviewer",IF(AND(L351="Exclude",M351=""),"Missing TA exclusion reason",IF(AND(R351="Exclude",S351=""),"Missing FT exclusion reason","Decision recorded"))))</x:f>
        <x:v>Pending screening</x:v>
      </x:c>
    </x:row>
    <x:row r="352" ht="53" customHeight="1">
      <x:c r="A352" s="5" t="str">
        <x:v>P10</x:v>
      </x:c>
      <x:c r="B352" s="5" t="str">
        <x:v>Domain‐adaptive self‐supervised learning for corrosion detection and 3D building information model mapping in steel tunnels</x:v>
      </x:c>
      <x:c r="C352" s="5" t="str">
        <x:v>10.1111/mice.70077</x:v>
      </x:c>
      <x:c r="D352" s="5" t="str"/>
      <x:c r="E352" s="5" t="str">
        <x:v>journal-article</x:v>
      </x:c>
      <x:c r="F352" s="5" t="str">
        <x:v>SEED</x:v>
      </x:c>
      <x:c r="G352" s="5" t="str">
        <x:v>Seed priority</x:v>
      </x:c>
      <x:c r="H352" s="5" t="str">
        <x:v>Not assigned</x:v>
      </x:c>
      <x:c r="I352" s="5" t="str">
        <x:v>Not started</x:v>
      </x:c>
      <x:c r="J352" s="5" t="str">
        <x:v>Not assigned</x:v>
      </x:c>
      <x:c r="K352" s="5" t="str">
        <x:v>Not started</x:v>
      </x:c>
      <x:c r="L352" s="5" t="str">
        <x:v>Pending</x:v>
      </x:c>
      <x:c r="M352" s="5" t="str"/>
      <x:c r="N352" s="5" t="str">
        <x:v>Not started</x:v>
      </x:c>
      <x:c r="O352" s="5" t="str">
        <x:v>Not started</x:v>
      </x:c>
      <x:c r="P352" s="5" t="str">
        <x:v>Not started</x:v>
      </x:c>
      <x:c r="Q352" s="5" t="str">
        <x:v>Not started</x:v>
      </x:c>
      <x:c r="R352" s="5" t="str">
        <x:v>Pending</x:v>
      </x:c>
      <x:c r="S352" s="5" t="str"/>
      <x:c r="T352" s="5" t="str"/>
      <x:c r="U352" s="5" t="str"/>
      <x:c r="V352" s="5" t="str"/>
      <x:c r="W352" s="5" t="str">
        <x:v>Not linked</x:v>
      </x:c>
      <x:c r="X352" s="5" t="str">
        <x:v>Pending</x:v>
      </x:c>
      <x:c r="Y352" s="5" t="str">
        <x:f>IF(AND(L352="Pending",R352="Pending"),"Pending screening",IF(H352="Not assigned","Assign reviewer",IF(AND(L352="Exclude",M352=""),"Missing TA exclusion reason",IF(AND(R352="Exclude",S352=""),"Missing FT exclusion reason","Decision recorded"))))</x:f>
        <x:v>Pending screening</x:v>
      </x:c>
    </x:row>
    <x:row r="353" ht="40" customHeight="1">
      <x:c r="A353" s="5" t="str">
        <x:v>R09</x:v>
      </x:c>
      <x:c r="B353" s="5" t="str">
        <x:v>RGB-D and Thermal Sensor Fusion: A Systematic Literature Review</x:v>
      </x:c>
      <x:c r="C353" s="5" t="str">
        <x:v>10.1109/access.2023.3301119</x:v>
      </x:c>
      <x:c r="D353" s="5" t="str">
        <x:v>2305.11427</x:v>
      </x:c>
      <x:c r="E353" s="5" t="str">
        <x:v>journal-article</x:v>
      </x:c>
      <x:c r="F353" s="5" t="str">
        <x:v>SEED</x:v>
      </x:c>
      <x:c r="G353" s="5" t="str">
        <x:v>Seed priority</x:v>
      </x:c>
      <x:c r="H353" s="5" t="str">
        <x:v>Not assigned</x:v>
      </x:c>
      <x:c r="I353" s="5" t="str">
        <x:v>Not started</x:v>
      </x:c>
      <x:c r="J353" s="5" t="str">
        <x:v>Not assigned</x:v>
      </x:c>
      <x:c r="K353" s="5" t="str">
        <x:v>Not started</x:v>
      </x:c>
      <x:c r="L353" s="5" t="str">
        <x:v>Pending</x:v>
      </x:c>
      <x:c r="M353" s="5" t="str"/>
      <x:c r="N353" s="5" t="str">
        <x:v>Not started</x:v>
      </x:c>
      <x:c r="O353" s="5" t="str">
        <x:v>Not started</x:v>
      </x:c>
      <x:c r="P353" s="5" t="str">
        <x:v>Not started</x:v>
      </x:c>
      <x:c r="Q353" s="5" t="str">
        <x:v>Not started</x:v>
      </x:c>
      <x:c r="R353" s="5" t="str">
        <x:v>Pending</x:v>
      </x:c>
      <x:c r="S353" s="5" t="str"/>
      <x:c r="T353" s="5" t="str"/>
      <x:c r="U353" s="5" t="str"/>
      <x:c r="V353" s="5" t="str"/>
      <x:c r="W353" s="5" t="str">
        <x:v>Not linked</x:v>
      </x:c>
      <x:c r="X353" s="5" t="str">
        <x:v>Pending</x:v>
      </x:c>
      <x:c r="Y353" s="5" t="str">
        <x:f>IF(AND(L353="Pending",R353="Pending"),"Pending screening",IF(H353="Not assigned","Assign reviewer",IF(AND(L353="Exclude",M353=""),"Missing TA exclusion reason",IF(AND(R353="Exclude",S353=""),"Missing FT exclusion reason","Decision recorded"))))</x:f>
        <x:v>Pending screening</x:v>
      </x:c>
    </x:row>
    <x:row r="354" ht="40" customHeight="1">
      <x:c r="A354" s="5" t="str">
        <x:v>R10</x:v>
      </x:c>
      <x:c r="B354" s="5" t="str">
        <x:v>A survey on RGB, 3D, and multimodal approaches for unsupervised industrial image anomaly detection</x:v>
      </x:c>
      <x:c r="C354" s="5" t="str">
        <x:v>10.1016/j.inffus.2025.103139</x:v>
      </x:c>
      <x:c r="D354" s="5" t="str"/>
      <x:c r="E354" s="5" t="str">
        <x:v>journal-article</x:v>
      </x:c>
      <x:c r="F354" s="5" t="str">
        <x:v>SEED</x:v>
      </x:c>
      <x:c r="G354" s="5" t="str">
        <x:v>Seed priority</x:v>
      </x:c>
      <x:c r="H354" s="5" t="str">
        <x:v>Not assigned</x:v>
      </x:c>
      <x:c r="I354" s="5" t="str">
        <x:v>Not started</x:v>
      </x:c>
      <x:c r="J354" s="5" t="str">
        <x:v>Not assigned</x:v>
      </x:c>
      <x:c r="K354" s="5" t="str">
        <x:v>Not started</x:v>
      </x:c>
      <x:c r="L354" s="5" t="str">
        <x:v>Pending</x:v>
      </x:c>
      <x:c r="M354" s="5" t="str"/>
      <x:c r="N354" s="5" t="str">
        <x:v>Not started</x:v>
      </x:c>
      <x:c r="O354" s="5" t="str">
        <x:v>Not started</x:v>
      </x:c>
      <x:c r="P354" s="5" t="str">
        <x:v>Not started</x:v>
      </x:c>
      <x:c r="Q354" s="5" t="str">
        <x:v>Not started</x:v>
      </x:c>
      <x:c r="R354" s="5" t="str">
        <x:v>Pending</x:v>
      </x:c>
      <x:c r="S354" s="5" t="str"/>
      <x:c r="T354" s="5" t="str"/>
      <x:c r="U354" s="5" t="str"/>
      <x:c r="V354" s="5" t="str"/>
      <x:c r="W354" s="5" t="str">
        <x:v>Not linked</x:v>
      </x:c>
      <x:c r="X354" s="5" t="str">
        <x:v>Pending</x:v>
      </x:c>
      <x:c r="Y354" s="5" t="str">
        <x:f>IF(AND(L354="Pending",R354="Pending"),"Pending screening",IF(H354="Not assigned","Assign reviewer",IF(AND(L354="Exclude",M354=""),"Missing TA exclusion reason",IF(AND(R354="Exclude",S354=""),"Missing FT exclusion reason","Decision recorded"))))</x:f>
        <x:v>Pending screening</x:v>
      </x:c>
    </x:row>
    <x:row r="355" ht="40" customHeight="1">
      <x:c r="A355" s="5" t="str">
        <x:v>R11</x:v>
      </x:c>
      <x:c r="B355" s="5" t="str">
        <x:v>A Survey of Methods for Automated Quality Control Based on Images</x:v>
      </x:c>
      <x:c r="C355" s="5" t="str">
        <x:v>10.1007/s11263-023-01822-w</x:v>
      </x:c>
      <x:c r="D355" s="5" t="str"/>
      <x:c r="E355" s="5" t="str">
        <x:v>journal-article</x:v>
      </x:c>
      <x:c r="F355" s="5" t="str">
        <x:v>SEED</x:v>
      </x:c>
      <x:c r="G355" s="5" t="str">
        <x:v>Seed priority</x:v>
      </x:c>
      <x:c r="H355" s="5" t="str">
        <x:v>Not assigned</x:v>
      </x:c>
      <x:c r="I355" s="5" t="str">
        <x:v>Not started</x:v>
      </x:c>
      <x:c r="J355" s="5" t="str">
        <x:v>Not assigned</x:v>
      </x:c>
      <x:c r="K355" s="5" t="str">
        <x:v>Not started</x:v>
      </x:c>
      <x:c r="L355" s="5" t="str">
        <x:v>Pending</x:v>
      </x:c>
      <x:c r="M355" s="5" t="str"/>
      <x:c r="N355" s="5" t="str">
        <x:v>Not started</x:v>
      </x:c>
      <x:c r="O355" s="5" t="str">
        <x:v>Not started</x:v>
      </x:c>
      <x:c r="P355" s="5" t="str">
        <x:v>Not started</x:v>
      </x:c>
      <x:c r="Q355" s="5" t="str">
        <x:v>Not started</x:v>
      </x:c>
      <x:c r="R355" s="5" t="str">
        <x:v>Pending</x:v>
      </x:c>
      <x:c r="S355" s="5" t="str"/>
      <x:c r="T355" s="5" t="str"/>
      <x:c r="U355" s="5" t="str"/>
      <x:c r="V355" s="5" t="str"/>
      <x:c r="W355" s="5" t="str">
        <x:v>Not linked</x:v>
      </x:c>
      <x:c r="X355" s="5" t="str">
        <x:v>Pending</x:v>
      </x:c>
      <x:c r="Y355" s="5" t="str">
        <x:f>IF(AND(L355="Pending",R355="Pending"),"Pending screening",IF(H355="Not assigned","Assign reviewer",IF(AND(L355="Exclude",M355=""),"Missing TA exclusion reason",IF(AND(R355="Exclude",S355=""),"Missing FT exclusion reason","Decision recorded"))))</x:f>
        <x:v>Pending screening</x:v>
      </x:c>
    </x:row>
    <x:row r="356" ht="40" customHeight="1">
      <x:c r="A356" s="5" t="str">
        <x:v>R12</x:v>
      </x:c>
      <x:c r="B356" s="5" t="str">
        <x:v>A taxonomy and roadmap for corrosion detection systems: bridging sensing, data, and deployment</x:v>
      </x:c>
      <x:c r="C356" s="5" t="str">
        <x:v>10.1186/s44147-026-01156-7</x:v>
      </x:c>
      <x:c r="D356" s="5" t="str"/>
      <x:c r="E356" s="5" t="str">
        <x:v>journal-article</x:v>
      </x:c>
      <x:c r="F356" s="5" t="str">
        <x:v>SEED</x:v>
      </x:c>
      <x:c r="G356" s="5" t="str">
        <x:v>Seed priority</x:v>
      </x:c>
      <x:c r="H356" s="5" t="str">
        <x:v>Not assigned</x:v>
      </x:c>
      <x:c r="I356" s="5" t="str">
        <x:v>Not started</x:v>
      </x:c>
      <x:c r="J356" s="5" t="str">
        <x:v>Not assigned</x:v>
      </x:c>
      <x:c r="K356" s="5" t="str">
        <x:v>Not started</x:v>
      </x:c>
      <x:c r="L356" s="5" t="str">
        <x:v>Pending</x:v>
      </x:c>
      <x:c r="M356" s="5" t="str"/>
      <x:c r="N356" s="5" t="str">
        <x:v>Not started</x:v>
      </x:c>
      <x:c r="O356" s="5" t="str">
        <x:v>Not started</x:v>
      </x:c>
      <x:c r="P356" s="5" t="str">
        <x:v>Not started</x:v>
      </x:c>
      <x:c r="Q356" s="5" t="str">
        <x:v>Not started</x:v>
      </x:c>
      <x:c r="R356" s="5" t="str">
        <x:v>Pending</x:v>
      </x:c>
      <x:c r="S356" s="5" t="str"/>
      <x:c r="T356" s="5" t="str"/>
      <x:c r="U356" s="5" t="str"/>
      <x:c r="V356" s="5" t="str"/>
      <x:c r="W356" s="5" t="str">
        <x:v>Not linked</x:v>
      </x:c>
      <x:c r="X356" s="5" t="str">
        <x:v>Pending</x:v>
      </x:c>
      <x:c r="Y356" s="5" t="str">
        <x:f>IF(AND(L356="Pending",R356="Pending"),"Pending screening",IF(H356="Not assigned","Assign reviewer",IF(AND(L356="Exclude",M356=""),"Missing TA exclusion reason",IF(AND(R356="Exclude",S356=""),"Missing FT exclusion reason","Decision recorded"))))</x:f>
        <x:v>Pending screening</x:v>
      </x:c>
    </x:row>
    <x:row r="357" ht="40" customHeight="1">
      <x:c r="A357" s="5" t="str">
        <x:v>R13</x:v>
      </x:c>
      <x:c r="B357" s="5" t="str">
        <x:v>Vision language models for bridge inspections: A review of applications in image‐based damage documentation</x:v>
      </x:c>
      <x:c r="C357" s="5" t="str">
        <x:v>10.1002/suco.70702</x:v>
      </x:c>
      <x:c r="D357" s="5" t="str"/>
      <x:c r="E357" s="5" t="str">
        <x:v>journal-article</x:v>
      </x:c>
      <x:c r="F357" s="5" t="str">
        <x:v>SEED</x:v>
      </x:c>
      <x:c r="G357" s="5" t="str">
        <x:v>Seed priority</x:v>
      </x:c>
      <x:c r="H357" s="5" t="str">
        <x:v>Not assigned</x:v>
      </x:c>
      <x:c r="I357" s="5" t="str">
        <x:v>Not started</x:v>
      </x:c>
      <x:c r="J357" s="5" t="str">
        <x:v>Not assigned</x:v>
      </x:c>
      <x:c r="K357" s="5" t="str">
        <x:v>Not started</x:v>
      </x:c>
      <x:c r="L357" s="5" t="str">
        <x:v>Pending</x:v>
      </x:c>
      <x:c r="M357" s="5" t="str"/>
      <x:c r="N357" s="5" t="str">
        <x:v>Not started</x:v>
      </x:c>
      <x:c r="O357" s="5" t="str">
        <x:v>Not started</x:v>
      </x:c>
      <x:c r="P357" s="5" t="str">
        <x:v>Not started</x:v>
      </x:c>
      <x:c r="Q357" s="5" t="str">
        <x:v>Not started</x:v>
      </x:c>
      <x:c r="R357" s="5" t="str">
        <x:v>Pending</x:v>
      </x:c>
      <x:c r="S357" s="5" t="str"/>
      <x:c r="T357" s="5" t="str"/>
      <x:c r="U357" s="5" t="str"/>
      <x:c r="V357" s="5" t="str"/>
      <x:c r="W357" s="5" t="str">
        <x:v>Not linked</x:v>
      </x:c>
      <x:c r="X357" s="5" t="str">
        <x:v>Pending</x:v>
      </x:c>
      <x:c r="Y357" s="5" t="str">
        <x:f>IF(AND(L357="Pending",R357="Pending"),"Pending screening",IF(H357="Not assigned","Assign reviewer",IF(AND(L357="Exclude",M357=""),"Missing TA exclusion reason",IF(AND(R357="Exclude",S357=""),"Missing FT exclusion reason","Decision recorded"))))</x:f>
        <x:v>Pending screening</x:v>
      </x:c>
    </x:row>
    <x:row r="358" ht="53" customHeight="1">
      <x:c r="A358" s="5" t="str">
        <x:v>P11</x:v>
      </x:c>
      <x:c r="B358" s="5" t="str">
        <x:v>Efficient domain adaptation network for corrosion segmentation in infrastructure: from laboratory to real-world images</x:v>
      </x:c>
      <x:c r="C358" s="5" t="str">
        <x:v>10.1007/s13349-025-01003-y</x:v>
      </x:c>
      <x:c r="D358" s="5" t="str"/>
      <x:c r="E358" s="5" t="str">
        <x:v>journal-article</x:v>
      </x:c>
      <x:c r="F358" s="5" t="str">
        <x:v>SEED</x:v>
      </x:c>
      <x:c r="G358" s="5" t="str">
        <x:v>Seed priority</x:v>
      </x:c>
      <x:c r="H358" s="5" t="str">
        <x:v>Not assigned</x:v>
      </x:c>
      <x:c r="I358" s="5" t="str">
        <x:v>Not started</x:v>
      </x:c>
      <x:c r="J358" s="5" t="str">
        <x:v>Not assigned</x:v>
      </x:c>
      <x:c r="K358" s="5" t="str">
        <x:v>Not started</x:v>
      </x:c>
      <x:c r="L358" s="5" t="str">
        <x:v>Pending</x:v>
      </x:c>
      <x:c r="M358" s="5" t="str"/>
      <x:c r="N358" s="5" t="str">
        <x:v>Not started</x:v>
      </x:c>
      <x:c r="O358" s="5" t="str">
        <x:v>Not started</x:v>
      </x:c>
      <x:c r="P358" s="5" t="str">
        <x:v>Not started</x:v>
      </x:c>
      <x:c r="Q358" s="5" t="str">
        <x:v>Not started</x:v>
      </x:c>
      <x:c r="R358" s="5" t="str">
        <x:v>Pending</x:v>
      </x:c>
      <x:c r="S358" s="5" t="str"/>
      <x:c r="T358" s="5" t="str"/>
      <x:c r="U358" s="5" t="str"/>
      <x:c r="V358" s="5" t="str"/>
      <x:c r="W358" s="5" t="str">
        <x:v>Not linked</x:v>
      </x:c>
      <x:c r="X358" s="5" t="str">
        <x:v>Pending</x:v>
      </x:c>
      <x:c r="Y358" s="5" t="str">
        <x:f>IF(AND(L358="Pending",R358="Pending"),"Pending screening",IF(H358="Not assigned","Assign reviewer",IF(AND(L358="Exclude",M358=""),"Missing TA exclusion reason",IF(AND(R358="Exclude",S358=""),"Missing FT exclusion reason","Decision recorded"))))</x:f>
        <x:v>Pending screening</x:v>
      </x:c>
    </x:row>
    <x:row r="359" ht="40" customHeight="1">
      <x:c r="A359" s="5" t="str">
        <x:v>P12</x:v>
      </x:c>
      <x:c r="B359" s="5" t="str">
        <x:v>GenAU: Language-Grounded Industrial Anomaly Understanding with Vision-Language Models</x:v>
      </x:c>
      <x:c r="C359" s="5" t="str"/>
      <x:c r="D359" s="5" t="str">
        <x:v>2607.01049</x:v>
      </x:c>
      <x:c r="E359" s="5" t="str">
        <x:v>arxiv-preprint</x:v>
      </x:c>
      <x:c r="F359" s="5" t="str">
        <x:v>SEED</x:v>
      </x:c>
      <x:c r="G359" s="5" t="str">
        <x:v>Seed priority</x:v>
      </x:c>
      <x:c r="H359" s="5" t="str">
        <x:v>Not assigned</x:v>
      </x:c>
      <x:c r="I359" s="5" t="str">
        <x:v>Not started</x:v>
      </x:c>
      <x:c r="J359" s="5" t="str">
        <x:v>Not assigned</x:v>
      </x:c>
      <x:c r="K359" s="5" t="str">
        <x:v>Not started</x:v>
      </x:c>
      <x:c r="L359" s="5" t="str">
        <x:v>Pending</x:v>
      </x:c>
      <x:c r="M359" s="5" t="str"/>
      <x:c r="N359" s="5" t="str">
        <x:v>Not started</x:v>
      </x:c>
      <x:c r="O359" s="5" t="str">
        <x:v>Not started</x:v>
      </x:c>
      <x:c r="P359" s="5" t="str">
        <x:v>Not started</x:v>
      </x:c>
      <x:c r="Q359" s="5" t="str">
        <x:v>Not started</x:v>
      </x:c>
      <x:c r="R359" s="5" t="str">
        <x:v>Pending</x:v>
      </x:c>
      <x:c r="S359" s="5" t="str"/>
      <x:c r="T359" s="5" t="str"/>
      <x:c r="U359" s="5" t="str"/>
      <x:c r="V359" s="5" t="str"/>
      <x:c r="W359" s="5" t="str">
        <x:v>Not linked</x:v>
      </x:c>
      <x:c r="X359" s="5" t="str">
        <x:v>Pending</x:v>
      </x:c>
      <x:c r="Y359" s="5" t="str">
        <x:f>IF(AND(L359="Pending",R359="Pending"),"Pending screening",IF(H359="Not assigned","Assign reviewer",IF(AND(L359="Exclude",M359=""),"Missing TA exclusion reason",IF(AND(R359="Exclude",S359=""),"Missing FT exclusion reason","Decision recorded"))))</x:f>
        <x:v>Pending screening</x:v>
      </x:c>
    </x:row>
    <x:row r="360" ht="40" customHeight="1">
      <x:c r="A360" s="5" t="str">
        <x:v>F01</x:v>
      </x:c>
      <x:c r="B360" s="5" t="str">
        <x:v>PRISMA Extension for Scoping Reviews (PRISMA-ScR): Checklist and Explanation</x:v>
      </x:c>
      <x:c r="C360" s="5" t="str">
        <x:v>10.7326/m18-0850</x:v>
      </x:c>
      <x:c r="D360" s="5" t="str"/>
      <x:c r="E360" s="5" t="str">
        <x:v>journal-article</x:v>
      </x:c>
      <x:c r="F360" s="5" t="str">
        <x:v>SEED</x:v>
      </x:c>
      <x:c r="G360" s="5" t="str">
        <x:v>Supporting methodology</x:v>
      </x:c>
      <x:c r="H360" s="5" t="str">
        <x:v>Not assigned</x:v>
      </x:c>
      <x:c r="I360" s="5" t="str">
        <x:v>Not started</x:v>
      </x:c>
      <x:c r="J360" s="5" t="str">
        <x:v>Not assigned</x:v>
      </x:c>
      <x:c r="K360" s="5" t="str">
        <x:v>Not started</x:v>
      </x:c>
      <x:c r="L360" s="5" t="str">
        <x:v>Pending</x:v>
      </x:c>
      <x:c r="M360" s="5" t="str"/>
      <x:c r="N360" s="5" t="str">
        <x:v>Not started</x:v>
      </x:c>
      <x:c r="O360" s="5" t="str">
        <x:v>Not started</x:v>
      </x:c>
      <x:c r="P360" s="5" t="str">
        <x:v>Not started</x:v>
      </x:c>
      <x:c r="Q360" s="5" t="str">
        <x:v>Not started</x:v>
      </x:c>
      <x:c r="R360" s="5" t="str">
        <x:v>Pending</x:v>
      </x:c>
      <x:c r="S360" s="5" t="str"/>
      <x:c r="T360" s="5" t="str"/>
      <x:c r="U360" s="5" t="str"/>
      <x:c r="V360" s="5" t="str"/>
      <x:c r="W360" s="5" t="str">
        <x:v>Not linked</x:v>
      </x:c>
      <x:c r="X360" s="5" t="str">
        <x:v>Pending</x:v>
      </x:c>
      <x:c r="Y360" s="5" t="str">
        <x:f>IF(AND(L360="Pending",R360="Pending"),"Pending screening",IF(H360="Not assigned","Assign reviewer",IF(AND(L360="Exclude",M360=""),"Missing TA exclusion reason",IF(AND(R360="Exclude",S360=""),"Missing FT exclusion reason","Decision recorded"))))</x:f>
        <x:v>Pending screening</x:v>
      </x:c>
    </x:row>
    <x:row r="361" ht="40" customHeight="1">
      <x:c r="A361" s="5" t="str">
        <x:v>F02</x:v>
      </x:c>
      <x:c r="B361" s="5" t="str">
        <x:v>PRISMA-S: an extension to the PRISMA Statement for Reporting Literature Searches in Systematic Reviews</x:v>
      </x:c>
      <x:c r="C361" s="5" t="str">
        <x:v>10.1186/s13643-020-01542-z</x:v>
      </x:c>
      <x:c r="D361" s="5" t="str"/>
      <x:c r="E361" s="5" t="str">
        <x:v>journal-article</x:v>
      </x:c>
      <x:c r="F361" s="5" t="str">
        <x:v>SEED</x:v>
      </x:c>
      <x:c r="G361" s="5" t="str">
        <x:v>Supporting methodology</x:v>
      </x:c>
      <x:c r="H361" s="5" t="str">
        <x:v>Not assigned</x:v>
      </x:c>
      <x:c r="I361" s="5" t="str">
        <x:v>Not started</x:v>
      </x:c>
      <x:c r="J361" s="5" t="str">
        <x:v>Not assigned</x:v>
      </x:c>
      <x:c r="K361" s="5" t="str">
        <x:v>Not started</x:v>
      </x:c>
      <x:c r="L361" s="5" t="str">
        <x:v>Pending</x:v>
      </x:c>
      <x:c r="M361" s="5" t="str"/>
      <x:c r="N361" s="5" t="str">
        <x:v>Not started</x:v>
      </x:c>
      <x:c r="O361" s="5" t="str">
        <x:v>Not started</x:v>
      </x:c>
      <x:c r="P361" s="5" t="str">
        <x:v>Not started</x:v>
      </x:c>
      <x:c r="Q361" s="5" t="str">
        <x:v>Not started</x:v>
      </x:c>
      <x:c r="R361" s="5" t="str">
        <x:v>Pending</x:v>
      </x:c>
      <x:c r="S361" s="5" t="str"/>
      <x:c r="T361" s="5" t="str"/>
      <x:c r="U361" s="5" t="str"/>
      <x:c r="V361" s="5" t="str"/>
      <x:c r="W361" s="5" t="str">
        <x:v>Not linked</x:v>
      </x:c>
      <x:c r="X361" s="5" t="str">
        <x:v>Pending</x:v>
      </x:c>
      <x:c r="Y361" s="5" t="str">
        <x:f>IF(AND(L361="Pending",R361="Pending"),"Pending screening",IF(H361="Not assigned","Assign reviewer",IF(AND(L361="Exclude",M361=""),"Missing TA exclusion reason",IF(AND(R361="Exclude",S361=""),"Missing FT exclusion reason","Decision recorded"))))</x:f>
        <x:v>Pending screening</x:v>
      </x:c>
    </x:row>
    <x:row r="362" ht="40" customHeight="1">
      <x:c r="A362" s="5" t="str">
        <x:v>F03</x:v>
      </x:c>
      <x:c r="B362" s="5" t="str">
        <x:v>Updated methodological guidance for the conduct of scoping reviews</x:v>
      </x:c>
      <x:c r="C362" s="5" t="str">
        <x:v>10.11124/jbies-20-00167</x:v>
      </x:c>
      <x:c r="D362" s="5" t="str"/>
      <x:c r="E362" s="5" t="str">
        <x:v>journal-article</x:v>
      </x:c>
      <x:c r="F362" s="5" t="str">
        <x:v>SEED</x:v>
      </x:c>
      <x:c r="G362" s="5" t="str">
        <x:v>Supporting methodology</x:v>
      </x:c>
      <x:c r="H362" s="5" t="str">
        <x:v>Not assigned</x:v>
      </x:c>
      <x:c r="I362" s="5" t="str">
        <x:v>Not started</x:v>
      </x:c>
      <x:c r="J362" s="5" t="str">
        <x:v>Not assigned</x:v>
      </x:c>
      <x:c r="K362" s="5" t="str">
        <x:v>Not started</x:v>
      </x:c>
      <x:c r="L362" s="5" t="str">
        <x:v>Pending</x:v>
      </x:c>
      <x:c r="M362" s="5" t="str"/>
      <x:c r="N362" s="5" t="str">
        <x:v>Not started</x:v>
      </x:c>
      <x:c r="O362" s="5" t="str">
        <x:v>Not started</x:v>
      </x:c>
      <x:c r="P362" s="5" t="str">
        <x:v>Not started</x:v>
      </x:c>
      <x:c r="Q362" s="5" t="str">
        <x:v>Not started</x:v>
      </x:c>
      <x:c r="R362" s="5" t="str">
        <x:v>Pending</x:v>
      </x:c>
      <x:c r="S362" s="5" t="str"/>
      <x:c r="T362" s="5" t="str"/>
      <x:c r="U362" s="5" t="str"/>
      <x:c r="V362" s="5" t="str"/>
      <x:c r="W362" s="5" t="str">
        <x:v>Not linked</x:v>
      </x:c>
      <x:c r="X362" s="5" t="str">
        <x:v>Pending</x:v>
      </x:c>
      <x:c r="Y362" s="5" t="str">
        <x:f>IF(AND(L362="Pending",R362="Pending"),"Pending screening",IF(H362="Not assigned","Assign reviewer",IF(AND(L362="Exclude",M362=""),"Missing TA exclusion reason",IF(AND(R362="Exclude",S362=""),"Missing FT exclusion reason","Decision recorded"))))</x:f>
        <x:v>Pending screening</x:v>
      </x:c>
    </x:row>
    <x:row r="363" ht="40" customHeight="1">
      <x:c r="A363" s="5" t="str">
        <x:v>B01</x:v>
      </x:c>
      <x:c r="B363" s="5" t="str">
        <x:v>MVTec AD — A Comprehensive Real-World Dataset for Unsupervised Anomaly Detection</x:v>
      </x:c>
      <x:c r="C363" s="5" t="str">
        <x:v>10.1109/cvpr.2019.00982</x:v>
      </x:c>
      <x:c r="D363" s="5" t="str"/>
      <x:c r="E363" s="5" t="str">
        <x:v>proceedings-article</x:v>
      </x:c>
      <x:c r="F363" s="5" t="str">
        <x:v>SEED</x:v>
      </x:c>
      <x:c r="G363" s="5" t="str">
        <x:v>Seed priority</x:v>
      </x:c>
      <x:c r="H363" s="5" t="str">
        <x:v>Not assigned</x:v>
      </x:c>
      <x:c r="I363" s="5" t="str">
        <x:v>Not started</x:v>
      </x:c>
      <x:c r="J363" s="5" t="str">
        <x:v>Not assigned</x:v>
      </x:c>
      <x:c r="K363" s="5" t="str">
        <x:v>Not started</x:v>
      </x:c>
      <x:c r="L363" s="5" t="str">
        <x:v>Pending</x:v>
      </x:c>
      <x:c r="M363" s="5" t="str"/>
      <x:c r="N363" s="5" t="str">
        <x:v>Not started</x:v>
      </x:c>
      <x:c r="O363" s="5" t="str">
        <x:v>Not started</x:v>
      </x:c>
      <x:c r="P363" s="5" t="str">
        <x:v>Not started</x:v>
      </x:c>
      <x:c r="Q363" s="5" t="str">
        <x:v>Not started</x:v>
      </x:c>
      <x:c r="R363" s="5" t="str">
        <x:v>Pending</x:v>
      </x:c>
      <x:c r="S363" s="5" t="str"/>
      <x:c r="T363" s="5" t="str"/>
      <x:c r="U363" s="5" t="str"/>
      <x:c r="V363" s="5" t="str"/>
      <x:c r="W363" s="5" t="str">
        <x:v>Not linked</x:v>
      </x:c>
      <x:c r="X363" s="5" t="str">
        <x:v>Pending</x:v>
      </x:c>
      <x:c r="Y363" s="5" t="str">
        <x:f>IF(AND(L363="Pending",R363="Pending"),"Pending screening",IF(H363="Not assigned","Assign reviewer",IF(AND(L363="Exclude",M363=""),"Missing TA exclusion reason",IF(AND(R363="Exclude",S363=""),"Missing FT exclusion reason","Decision recorded"))))</x:f>
        <x:v>Pending screening</x:v>
      </x:c>
    </x:row>
    <x:row r="364" ht="40" customHeight="1">
      <x:c r="A364" s="5" t="str">
        <x:v>B02</x:v>
      </x:c>
      <x:c r="B364" s="5" t="str">
        <x:v>Towards Total Recall in Industrial Anomaly Detection</x:v>
      </x:c>
      <x:c r="C364" s="5" t="str">
        <x:v>10.1109/cvpr52688.2022.01392</x:v>
      </x:c>
      <x:c r="D364" s="5" t="str">
        <x:v>2106.08265</x:v>
      </x:c>
      <x:c r="E364" s="5" t="str">
        <x:v>proceedings-article</x:v>
      </x:c>
      <x:c r="F364" s="5" t="str">
        <x:v>SEED</x:v>
      </x:c>
      <x:c r="G364" s="5" t="str">
        <x:v>Seed priority</x:v>
      </x:c>
      <x:c r="H364" s="5" t="str">
        <x:v>Not assigned</x:v>
      </x:c>
      <x:c r="I364" s="5" t="str">
        <x:v>Not started</x:v>
      </x:c>
      <x:c r="J364" s="5" t="str">
        <x:v>Not assigned</x:v>
      </x:c>
      <x:c r="K364" s="5" t="str">
        <x:v>Not started</x:v>
      </x:c>
      <x:c r="L364" s="5" t="str">
        <x:v>Pending</x:v>
      </x:c>
      <x:c r="M364" s="5" t="str"/>
      <x:c r="N364" s="5" t="str">
        <x:v>Not started</x:v>
      </x:c>
      <x:c r="O364" s="5" t="str">
        <x:v>Not started</x:v>
      </x:c>
      <x:c r="P364" s="5" t="str">
        <x:v>Not started</x:v>
      </x:c>
      <x:c r="Q364" s="5" t="str">
        <x:v>Not started</x:v>
      </x:c>
      <x:c r="R364" s="5" t="str">
        <x:v>Pending</x:v>
      </x:c>
      <x:c r="S364" s="5" t="str"/>
      <x:c r="T364" s="5" t="str"/>
      <x:c r="U364" s="5" t="str"/>
      <x:c r="V364" s="5" t="str"/>
      <x:c r="W364" s="5" t="str">
        <x:v>Not linked</x:v>
      </x:c>
      <x:c r="X364" s="5" t="str">
        <x:v>Pending</x:v>
      </x:c>
      <x:c r="Y364" s="5" t="str">
        <x:f>IF(AND(L364="Pending",R364="Pending"),"Pending screening",IF(H364="Not assigned","Assign reviewer",IF(AND(L364="Exclude",M364=""),"Missing TA exclusion reason",IF(AND(R364="Exclude",S364=""),"Missing FT exclusion reason","Decision recorded"))))</x:f>
        <x:v>Pending screening</x:v>
      </x:c>
    </x:row>
    <x:row r="365" ht="40" customHeight="1">
      <x:c r="A365" s="5" t="str">
        <x:v>B03</x:v>
      </x:c>
      <x:c r="B365" s="5" t="str">
        <x:v>AnomalyCLIP: Object-agnostic Prompt Learning for Zero-shot Anomaly Detection</x:v>
      </x:c>
      <x:c r="C365" s="5" t="str"/>
      <x:c r="D365" s="5" t="str">
        <x:v>2310.18961</x:v>
      </x:c>
      <x:c r="E365" s="5" t="str">
        <x:v>arxiv-preprint</x:v>
      </x:c>
      <x:c r="F365" s="5" t="str">
        <x:v>SEED</x:v>
      </x:c>
      <x:c r="G365" s="5" t="str">
        <x:v>Seed priority</x:v>
      </x:c>
      <x:c r="H365" s="5" t="str">
        <x:v>Not assigned</x:v>
      </x:c>
      <x:c r="I365" s="5" t="str">
        <x:v>Not started</x:v>
      </x:c>
      <x:c r="J365" s="5" t="str">
        <x:v>Not assigned</x:v>
      </x:c>
      <x:c r="K365" s="5" t="str">
        <x:v>Not started</x:v>
      </x:c>
      <x:c r="L365" s="5" t="str">
        <x:v>Pending</x:v>
      </x:c>
      <x:c r="M365" s="5" t="str"/>
      <x:c r="N365" s="5" t="str">
        <x:v>Not started</x:v>
      </x:c>
      <x:c r="O365" s="5" t="str">
        <x:v>Not started</x:v>
      </x:c>
      <x:c r="P365" s="5" t="str">
        <x:v>Not started</x:v>
      </x:c>
      <x:c r="Q365" s="5" t="str">
        <x:v>Not started</x:v>
      </x:c>
      <x:c r="R365" s="5" t="str">
        <x:v>Pending</x:v>
      </x:c>
      <x:c r="S365" s="5" t="str"/>
      <x:c r="T365" s="5" t="str"/>
      <x:c r="U365" s="5" t="str"/>
      <x:c r="V365" s="5" t="str"/>
      <x:c r="W365" s="5" t="str">
        <x:v>Not linked</x:v>
      </x:c>
      <x:c r="X365" s="5" t="str">
        <x:v>Pending</x:v>
      </x:c>
      <x:c r="Y365" s="5" t="str">
        <x:f>IF(AND(L365="Pending",R365="Pending"),"Pending screening",IF(H365="Not assigned","Assign reviewer",IF(AND(L365="Exclude",M365=""),"Missing TA exclusion reason",IF(AND(R365="Exclude",S365=""),"Missing FT exclusion reason","Decision recorded"))))</x:f>
        <x:v>Pending screening</x:v>
      </x:c>
    </x:row>
    <x:row r="366" ht="40" customHeight="1">
      <x:c r="A366" s="5" t="str">
        <x:v>B04</x:v>
      </x:c>
      <x:c r="B366" s="5" t="str">
        <x:v>PaDiM: a Patch Distribution Modeling Framework for Anomaly Detection and Localization</x:v>
      </x:c>
      <x:c r="C366" s="5" t="str"/>
      <x:c r="D366" s="5" t="str">
        <x:v>2011.08785</x:v>
      </x:c>
      <x:c r="E366" s="5" t="str">
        <x:v>arxiv-preprint</x:v>
      </x:c>
      <x:c r="F366" s="5" t="str">
        <x:v>SEED</x:v>
      </x:c>
      <x:c r="G366" s="5" t="str">
        <x:v>Seed priority</x:v>
      </x:c>
      <x:c r="H366" s="5" t="str">
        <x:v>Not assigned</x:v>
      </x:c>
      <x:c r="I366" s="5" t="str">
        <x:v>Not started</x:v>
      </x:c>
      <x:c r="J366" s="5" t="str">
        <x:v>Not assigned</x:v>
      </x:c>
      <x:c r="K366" s="5" t="str">
        <x:v>Not started</x:v>
      </x:c>
      <x:c r="L366" s="5" t="str">
        <x:v>Pending</x:v>
      </x:c>
      <x:c r="M366" s="5" t="str"/>
      <x:c r="N366" s="5" t="str">
        <x:v>Not started</x:v>
      </x:c>
      <x:c r="O366" s="5" t="str">
        <x:v>Not started</x:v>
      </x:c>
      <x:c r="P366" s="5" t="str">
        <x:v>Not started</x:v>
      </x:c>
      <x:c r="Q366" s="5" t="str">
        <x:v>Not started</x:v>
      </x:c>
      <x:c r="R366" s="5" t="str">
        <x:v>Pending</x:v>
      </x:c>
      <x:c r="S366" s="5" t="str"/>
      <x:c r="T366" s="5" t="str"/>
      <x:c r="U366" s="5" t="str"/>
      <x:c r="V366" s="5" t="str"/>
      <x:c r="W366" s="5" t="str">
        <x:v>Not linked</x:v>
      </x:c>
      <x:c r="X366" s="5" t="str">
        <x:v>Pending</x:v>
      </x:c>
      <x:c r="Y366" s="5" t="str">
        <x:f>IF(AND(L366="Pending",R366="Pending"),"Pending screening",IF(H366="Not assigned","Assign reviewer",IF(AND(L366="Exclude",M366=""),"Missing TA exclusion reason",IF(AND(R366="Exclude",S366=""),"Missing FT exclusion reason","Decision recorded"))))</x:f>
        <x:v>Pending screening</x:v>
      </x:c>
    </x:row>
    <x:row r="367" ht="40" customHeight="1">
      <x:c r="A367" s="5" t="str">
        <x:v>B05</x:v>
      </x:c>
      <x:c r="B367" s="5" t="str">
        <x:v>Real-IAD: A Real-World Multi-View Dataset for Benchmarking Versatile Industrial Anomaly Detection</x:v>
      </x:c>
      <x:c r="C367" s="5" t="str"/>
      <x:c r="D367" s="5" t="str"/>
      <x:c r="E367" s="5" t="str">
        <x:v>conference-paper</x:v>
      </x:c>
      <x:c r="F367" s="5" t="str">
        <x:v>SEED</x:v>
      </x:c>
      <x:c r="G367" s="5" t="str">
        <x:v>Seed priority</x:v>
      </x:c>
      <x:c r="H367" s="5" t="str">
        <x:v>Not assigned</x:v>
      </x:c>
      <x:c r="I367" s="5" t="str">
        <x:v>Not started</x:v>
      </x:c>
      <x:c r="J367" s="5" t="str">
        <x:v>Not assigned</x:v>
      </x:c>
      <x:c r="K367" s="5" t="str">
        <x:v>Not started</x:v>
      </x:c>
      <x:c r="L367" s="5" t="str">
        <x:v>Pending</x:v>
      </x:c>
      <x:c r="M367" s="5" t="str"/>
      <x:c r="N367" s="5" t="str">
        <x:v>Not started</x:v>
      </x:c>
      <x:c r="O367" s="5" t="str">
        <x:v>Not started</x:v>
      </x:c>
      <x:c r="P367" s="5" t="str">
        <x:v>Not started</x:v>
      </x:c>
      <x:c r="Q367" s="5" t="str">
        <x:v>Not started</x:v>
      </x:c>
      <x:c r="R367" s="5" t="str">
        <x:v>Pending</x:v>
      </x:c>
      <x:c r="S367" s="5" t="str"/>
      <x:c r="T367" s="5" t="str"/>
      <x:c r="U367" s="5" t="str"/>
      <x:c r="V367" s="5" t="str"/>
      <x:c r="W367" s="5" t="str">
        <x:v>Not linked</x:v>
      </x:c>
      <x:c r="X367" s="5" t="str">
        <x:v>Pending</x:v>
      </x:c>
      <x:c r="Y367" s="5" t="str">
        <x:f>IF(AND(L367="Pending",R367="Pending"),"Pending screening",IF(H367="Not assigned","Assign reviewer",IF(AND(L367="Exclude",M367=""),"Missing TA exclusion reason",IF(AND(R367="Exclude",S367=""),"Missing FT exclusion reason","Decision recorded"))))</x:f>
        <x:v>Pending screening</x:v>
      </x:c>
    </x:row>
  </x:sheetData>
  <x:dataValidations count="7">
    <x:dataValidation type="list" sqref="I8:I1000">
      <x:formula1>"Not started,Include,Exclude,Uncertain"</x:formula1>
    </x:dataValidation>
    <x:dataValidation type="list" sqref="K8:K1000">
      <x:formula1>"Not started,Include,Exclude,Uncertain"</x:formula1>
    </x:dataValidation>
    <x:dataValidation type="list" sqref="L8:L1000">
      <x:formula1>"Pending,Include,Exclude,Uncertain"</x:formula1>
    </x:dataValidation>
    <x:dataValidation type="list" sqref="P8:P1000">
      <x:formula1>"Not started,Include,Exclude,Uncertain"</x:formula1>
    </x:dataValidation>
    <x:dataValidation type="list" sqref="Q8:Q1000">
      <x:formula1>"Not started,Include,Exclude,Uncertain"</x:formula1>
    </x:dataValidation>
    <x:dataValidation type="list" sqref="R8:R1000">
      <x:formula1>"Pending,Include,Exclude,Uncertain"</x:formula1>
    </x:dataValidation>
    <x:dataValidation type="list" sqref="X8:X1000">
      <x:formula1>"Pending,Yes,No"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d75256b0e041db"/>
  </x:tableParts>
</x:worksheet>
</file>

<file path=xl/worksheets/sheet4.xml><?xml version="1.0" encoding="utf-8"?>
<x:worksheet xmlns:x="http://schemas.openxmlformats.org/spreadsheetml/2006/main">
  <x:sheetViews>
    <x:sheetView showGridLines="1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58" hidden="0" customWidth="1"/>
  </x:cols>
  <x:sheetData>
    <x:row r="2">
      <x:c r="A2" s="1" t="str">
        <x:v>Identification</x:v>
      </x:c>
    </x:row>
    <x:row r="4">
      <x:c r="A4" s="2" t="str">
        <x:v>Captured occurrences only. Repeated identity flag is 1 for a duplicate occurrence, 0 otherwise.</x:v>
      </x:c>
    </x:row>
    <x:row r="7" ht="46" customHeight="1">
      <x:c r="A7" s="7" t="str">
        <x:v>Event ID</x:v>
      </x:c>
      <x:c r="B7" s="7" t="str">
        <x:v>Paper ID</x:v>
      </x:c>
      <x:c r="C7" s="7" t="str">
        <x:v>Source</x:v>
      </x:c>
      <x:c r="D7" s="7" t="str">
        <x:v>Run ID</x:v>
      </x:c>
      <x:c r="E7" s="7" t="str">
        <x:v>Search ID</x:v>
      </x:c>
      <x:c r="F7" s="7" t="str">
        <x:v>Rank</x:v>
      </x:c>
      <x:c r="G7" s="7" t="str">
        <x:v>DOI</x:v>
      </x:c>
      <x:c r="H7" s="7" t="str">
        <x:v>Duplicate of</x:v>
      </x:c>
      <x:c r="I7" s="7" t="str">
        <x:v>Repeated identity flag</x:v>
      </x:c>
      <x:c r="J7" s="7" t="str">
        <x:v>Title</x:v>
      </x:c>
    </x:row>
    <x:row r="8" ht="40" customHeight="1">
      <x:c r="A8" s="5" t="str">
        <x:v>PILOT-20261013-01-S01-001</x:v>
      </x:c>
      <x:c r="B8" s="5" t="str">
        <x:v>C0001</x:v>
      </x:c>
      <x:c r="C8" s="5" t="str">
        <x:v>Crossref pilot</x:v>
      </x:c>
      <x:c r="D8" s="5" t="str">
        <x:v>PILOT-20261013-01</x:v>
      </x:c>
      <x:c r="E8" s="5" t="str">
        <x:v>S01</x:v>
      </x:c>
      <x:c r="F8" s="5" t="n">
        <x:v>1</x:v>
      </x:c>
      <x:c r="G8" s="5" t="str">
        <x:v>10.2139/ssrn.7230717</x:v>
      </x:c>
      <x:c r="H8" s="5" t="str"/>
      <x:c r="I8" s="5" t="n">
        <x:v>0</x:v>
      </x:c>
      <x:c r="J8" s="5" t="str">
        <x:v>Calibrated few-shot industrial anomaly detection with frozen visual features</x:v>
      </x:c>
    </x:row>
    <x:row r="9" ht="40" customHeight="1">
      <x:c r="A9" s="5" t="str">
        <x:v>PILOT-20261013-01-S01-002</x:v>
      </x:c>
      <x:c r="B9" s="5" t="str">
        <x:v>C0002</x:v>
      </x:c>
      <x:c r="C9" s="5" t="str">
        <x:v>Crossref pilot</x:v>
      </x:c>
      <x:c r="D9" s="5" t="str">
        <x:v>PILOT-20261013-01</x:v>
      </x:c>
      <x:c r="E9" s="5" t="str">
        <x:v>S01</x:v>
      </x:c>
      <x:c r="F9" s="5" t="n">
        <x:v>2</x:v>
      </x:c>
      <x:c r="G9" s="5" t="str">
        <x:v>10.5220/0014500500005024</x:v>
      </x:c>
      <x:c r="H9" s="5" t="str"/>
      <x:c r="I9" s="5" t="n">
        <x:v>0</x:v>
      </x:c>
      <x:c r="J9" s="5" t="str">
        <x:v>SSVIT-4.0: A Self-Supervised Hybrid CNN-Transformer Framework for Industrial Visual Anomaly Detection</x:v>
      </x:c>
    </x:row>
    <x:row r="10" ht="40" customHeight="1">
      <x:c r="A10" s="5" t="str">
        <x:v>PILOT-20261013-01-S01-003</x:v>
      </x:c>
      <x:c r="B10" s="5" t="str">
        <x:v>C0003</x:v>
      </x:c>
      <x:c r="C10" s="5" t="str">
        <x:v>Crossref pilot</x:v>
      </x:c>
      <x:c r="D10" s="5" t="str">
        <x:v>PILOT-20261013-01</x:v>
      </x:c>
      <x:c r="E10" s="5" t="str">
        <x:v>S01</x:v>
      </x:c>
      <x:c r="F10" s="5" t="n">
        <x:v>3</x:v>
      </x:c>
      <x:c r="G10" s="5" t="str">
        <x:v>10.47852/bonviewaia52026321</x:v>
      </x:c>
      <x:c r="H10" s="5" t="str"/>
      <x:c r="I10" s="5" t="n">
        <x:v>0</x:v>
      </x:c>
      <x:c r="J10" s="5" t="str">
        <x:v>Anomaly Detection Utilizing PatchCore for Reimagining Industrial Visual Inspection</x:v>
      </x:c>
    </x:row>
    <x:row r="11" ht="40" customHeight="1">
      <x:c r="A11" s="5" t="str">
        <x:v>PILOT-20261013-01-S01-004</x:v>
      </x:c>
      <x:c r="B11" s="5" t="str">
        <x:v>C0004</x:v>
      </x:c>
      <x:c r="C11" s="5" t="str">
        <x:v>Crossref pilot</x:v>
      </x:c>
      <x:c r="D11" s="5" t="str">
        <x:v>PILOT-20261013-01</x:v>
      </x:c>
      <x:c r="E11" s="5" t="str">
        <x:v>S01</x:v>
      </x:c>
      <x:c r="F11" s="5" t="n">
        <x:v>4</x:v>
      </x:c>
      <x:c r="G11" s="5" t="str">
        <x:v>10.2139/ssrn.6597747</x:v>
      </x:c>
      <x:c r="H11" s="5" t="str"/>
      <x:c r="I11" s="5" t="n">
        <x:v>0</x:v>
      </x:c>
      <x:c r="J11" s="5" t="str">
        <x:v>Dynamic Anomaly-Aware Segmentation: Enabling Contextual Text-Visual Alignment for Industrial Defect Detection</x:v>
      </x:c>
    </x:row>
    <x:row r="12" ht="40" customHeight="1">
      <x:c r="A12" s="5" t="str">
        <x:v>PILOT-20261013-01-S01-005</x:v>
      </x:c>
      <x:c r="B12" s="5" t="str">
        <x:v>C0005</x:v>
      </x:c>
      <x:c r="C12" s="5" t="str">
        <x:v>Crossref pilot</x:v>
      </x:c>
      <x:c r="D12" s="5" t="str">
        <x:v>PILOT-20261013-01</x:v>
      </x:c>
      <x:c r="E12" s="5" t="str">
        <x:v>S01</x:v>
      </x:c>
      <x:c r="F12" s="5" t="n">
        <x:v>5</x:v>
      </x:c>
      <x:c r="G12" s="5" t="str">
        <x:v>10.1201/9781003644972-11</x:v>
      </x:c>
      <x:c r="H12" s="5" t="str"/>
      <x:c r="I12" s="5" t="n">
        <x:v>0</x:v>
      </x:c>
      <x:c r="J12" s="5" t="str">
        <x:v>Unsupervised Learning Paradigm for Industrial Visual Anomaly Detection</x:v>
      </x:c>
    </x:row>
    <x:row r="13" ht="40" customHeight="1">
      <x:c r="A13" s="5" t="str">
        <x:v>PILOT-20261013-01-S01-006</x:v>
      </x:c>
      <x:c r="B13" s="5" t="str">
        <x:v>C0006</x:v>
      </x:c>
      <x:c r="C13" s="5" t="str">
        <x:v>Crossref pilot</x:v>
      </x:c>
      <x:c r="D13" s="5" t="str">
        <x:v>PILOT-20261013-01</x:v>
      </x:c>
      <x:c r="E13" s="5" t="str">
        <x:v>S01</x:v>
      </x:c>
      <x:c r="F13" s="5" t="n">
        <x:v>6</x:v>
      </x:c>
      <x:c r="G13" s="5" t="str">
        <x:v>10.21203/rs.3.rs-10598232/v1</x:v>
      </x:c>
      <x:c r="H13" s="5" t="str"/>
      <x:c r="I13" s="5" t="n">
        <x:v>0</x:v>
      </x:c>
      <x:c r="J13" s="5" t="str">
        <x:v>Foundation Models for Cold-Start Industrial Visual Anomaly Detection: A Survey</x:v>
      </x:c>
    </x:row>
    <x:row r="14" ht="40" customHeight="1">
      <x:c r="A14" s="5" t="str">
        <x:v>PILOT-20261013-01-S01-007</x:v>
      </x:c>
      <x:c r="B14" s="5" t="str">
        <x:v>C0007</x:v>
      </x:c>
      <x:c r="C14" s="5" t="str">
        <x:v>Crossref pilot</x:v>
      </x:c>
      <x:c r="D14" s="5" t="str">
        <x:v>PILOT-20261013-01</x:v>
      </x:c>
      <x:c r="E14" s="5" t="str">
        <x:v>S01</x:v>
      </x:c>
      <x:c r="F14" s="5" t="n">
        <x:v>7</x:v>
      </x:c>
      <x:c r="G14" s="5" t="str">
        <x:v>10.2139/ssrn.4742821</x:v>
      </x:c>
      <x:c r="H14" s="5" t="str"/>
      <x:c r="I14" s="5" t="n">
        <x:v>0</x:v>
      </x:c>
      <x:c r="J14" s="5" t="str">
        <x:v>Fair: Frequency-Aware Image Restoration for Industrial Visual Anomaly Detection</x:v>
      </x:c>
    </x:row>
    <x:row r="15" ht="40" customHeight="1">
      <x:c r="A15" s="5" t="str">
        <x:v>PILOT-20261013-01-S01-008</x:v>
      </x:c>
      <x:c r="B15" s="5" t="str">
        <x:v>C0008</x:v>
      </x:c>
      <x:c r="C15" s="5" t="str">
        <x:v>Crossref pilot</x:v>
      </x:c>
      <x:c r="D15" s="5" t="str">
        <x:v>PILOT-20261013-01</x:v>
      </x:c>
      <x:c r="E15" s="5" t="str">
        <x:v>S01</x:v>
      </x:c>
      <x:c r="F15" s="5" t="n">
        <x:v>8</x:v>
      </x:c>
      <x:c r="G15" s="5" t="str">
        <x:v>10.1109/icmlt69916.2026.11688969</x:v>
      </x:c>
      <x:c r="H15" s="5" t="str"/>
      <x:c r="I15" s="5" t="n">
        <x:v>0</x:v>
      </x:c>
      <x:c r="J15" s="5" t="str">
        <x:v>Embedding Stability-Guided Early-Stopping for Industrial Visual Anomaly Detection</x:v>
      </x:c>
    </x:row>
    <x:row r="16" ht="40" customHeight="1">
      <x:c r="A16" s="5" t="str">
        <x:v>PILOT-20261013-01-S01-009</x:v>
      </x:c>
      <x:c r="B16" s="5" t="str">
        <x:v>C0009</x:v>
      </x:c>
      <x:c r="C16" s="5" t="str">
        <x:v>Crossref pilot</x:v>
      </x:c>
      <x:c r="D16" s="5" t="str">
        <x:v>PILOT-20261013-01</x:v>
      </x:c>
      <x:c r="E16" s="5" t="str">
        <x:v>S01</x:v>
      </x:c>
      <x:c r="F16" s="5" t="n">
        <x:v>9</x:v>
      </x:c>
      <x:c r="G16" s="5" t="str">
        <x:v>10.1109/icdmw65004.2024.00008</x:v>
      </x:c>
      <x:c r="H16" s="5" t="str"/>
      <x:c r="I16" s="5" t="n">
        <x:v>0</x:v>
      </x:c>
      <x:c r="J16" s="5" t="str">
        <x:v>Outlier Exposure in Visual Industrial Anomaly Detection - Survey</x:v>
      </x:c>
    </x:row>
    <x:row r="17" ht="40" customHeight="1">
      <x:c r="A17" s="5" t="str">
        <x:v>PILOT-20261013-01-S01-010</x:v>
      </x:c>
      <x:c r="B17" s="5" t="str">
        <x:v>C0010</x:v>
      </x:c>
      <x:c r="C17" s="5" t="str">
        <x:v>Crossref pilot</x:v>
      </x:c>
      <x:c r="D17" s="5" t="str">
        <x:v>PILOT-20261013-01</x:v>
      </x:c>
      <x:c r="E17" s="5" t="str">
        <x:v>S01</x:v>
      </x:c>
      <x:c r="F17" s="5" t="n">
        <x:v>10</x:v>
      </x:c>
      <x:c r="G17" s="5" t="str">
        <x:v>10.1016/j.jvcir.2023.103983</x:v>
      </x:c>
      <x:c r="H17" s="5" t="str"/>
      <x:c r="I17" s="5" t="n">
        <x:v>0</x:v>
      </x:c>
      <x:c r="J17" s="5" t="str">
        <x:v>Unsupervised industrial anomaly detection with diffusion models</x:v>
      </x:c>
    </x:row>
    <x:row r="18" ht="40" customHeight="1">
      <x:c r="A18" s="5" t="str">
        <x:v>PILOT-20261013-01-S01-011</x:v>
      </x:c>
      <x:c r="B18" s="5" t="str">
        <x:v>C0011</x:v>
      </x:c>
      <x:c r="C18" s="5" t="str">
        <x:v>Crossref pilot</x:v>
      </x:c>
      <x:c r="D18" s="5" t="str">
        <x:v>PILOT-20261013-01</x:v>
      </x:c>
      <x:c r="E18" s="5" t="str">
        <x:v>S01</x:v>
      </x:c>
      <x:c r="F18" s="5" t="n">
        <x:v>11</x:v>
      </x:c>
      <x:c r="G18" s="5" t="str">
        <x:v>10.1016/j.optlastec.2023.110296</x:v>
      </x:c>
      <x:c r="H18" s="5" t="str"/>
      <x:c r="I18" s="5" t="n">
        <x:v>0</x:v>
      </x:c>
      <x:c r="J18" s="5" t="str">
        <x:v>Anomaly-prior guided inpainting for industrial visual anomaly detection</x:v>
      </x:c>
    </x:row>
    <x:row r="19" ht="53" customHeight="1">
      <x:c r="A19" s="5" t="str">
        <x:v>PILOT-20261013-01-S01-012</x:v>
      </x:c>
      <x:c r="B19" s="5" t="str">
        <x:v>C0012</x:v>
      </x:c>
      <x:c r="C19" s="5" t="str">
        <x:v>Crossref pilot</x:v>
      </x:c>
      <x:c r="D19" s="5" t="str">
        <x:v>PILOT-20261013-01</x:v>
      </x:c>
      <x:c r="E19" s="5" t="str">
        <x:v>S01</x:v>
      </x:c>
      <x:c r="F19" s="5" t="n">
        <x:v>12</x:v>
      </x:c>
      <x:c r="G19" s="5" t="str">
        <x:v>10.2139/ssrn.7597210</x:v>
      </x:c>
      <x:c r="H19" s="5" t="str"/>
      <x:c r="I19" s="5" t="n">
        <x:v>0</x:v>
      </x:c>
      <x:c r="J19" s="5" t="str">
        <x:v>Online Industrial Visual Anomaly Detection Using Temporal Aggregation Representations: A Case Study of Yarn Breakage Detection in Warp Knitting</x:v>
      </x:c>
    </x:row>
    <x:row r="20" ht="40" customHeight="1">
      <x:c r="A20" s="5" t="str">
        <x:v>PILOT-20261013-01-S01-013</x:v>
      </x:c>
      <x:c r="B20" s="5" t="str">
        <x:v>C0013</x:v>
      </x:c>
      <x:c r="C20" s="5" t="str">
        <x:v>Crossref pilot</x:v>
      </x:c>
      <x:c r="D20" s="5" t="str">
        <x:v>PILOT-20261013-01</x:v>
      </x:c>
      <x:c r="E20" s="5" t="str">
        <x:v>S01</x:v>
      </x:c>
      <x:c r="F20" s="5" t="n">
        <x:v>13</x:v>
      </x:c>
      <x:c r="G20" s="5" t="str">
        <x:v>10.21236/ad1214022</x:v>
      </x:c>
      <x:c r="H20" s="5" t="str"/>
      <x:c r="I20" s="5" t="n">
        <x:v>0</x:v>
      </x:c>
      <x:c r="J20" s="5" t="str">
        <x:v>Anomaly Detection with Visual Question Answering</x:v>
      </x:c>
    </x:row>
    <x:row r="21" ht="40" customHeight="1">
      <x:c r="A21" s="5" t="str">
        <x:v>PILOT-20261013-01-S01-014</x:v>
      </x:c>
      <x:c r="B21" s="5" t="str">
        <x:v>C0014</x:v>
      </x:c>
      <x:c r="C21" s="5" t="str">
        <x:v>Crossref pilot</x:v>
      </x:c>
      <x:c r="D21" s="5" t="str">
        <x:v>PILOT-20261013-01</x:v>
      </x:c>
      <x:c r="E21" s="5" t="str">
        <x:v>S01</x:v>
      </x:c>
      <x:c r="F21" s="5" t="n">
        <x:v>14</x:v>
      </x:c>
      <x:c r="G21" s="5" t="str">
        <x:v>10.21203/rs.3.rs-7853870/v1</x:v>
      </x:c>
      <x:c r="H21" s="5" t="str"/>
      <x:c r="I21" s="5" t="n">
        <x:v>0</x:v>
      </x:c>
      <x:c r="J21" s="5" t="str">
        <x:v>Light-MLLMAD: A Lightweight Multimodal Large Language Model for One-Shot Industrial Visual Anomaly Detection</x:v>
      </x:c>
    </x:row>
    <x:row r="22" ht="40" customHeight="1">
      <x:c r="A22" s="5" t="str">
        <x:v>PILOT-20261013-01-S01-015</x:v>
      </x:c>
      <x:c r="B22" s="5" t="str">
        <x:v>C0015</x:v>
      </x:c>
      <x:c r="C22" s="5" t="str">
        <x:v>Crossref pilot</x:v>
      </x:c>
      <x:c r="D22" s="5" t="str">
        <x:v>PILOT-20261013-01</x:v>
      </x:c>
      <x:c r="E22" s="5" t="str">
        <x:v>S01</x:v>
      </x:c>
      <x:c r="F22" s="5" t="n">
        <x:v>15</x:v>
      </x:c>
      <x:c r="G22" s="5" t="str">
        <x:v>10.2139/ssrn.4826922</x:v>
      </x:c>
      <x:c r="H22" s="5" t="str"/>
      <x:c r="I22" s="5" t="n">
        <x:v>0</x:v>
      </x:c>
      <x:c r="J22" s="5" t="str">
        <x:v>Simple and Effective Frequency-Aware Image Restoration for Industrial Visual Anomaly Detection</x:v>
      </x:c>
    </x:row>
    <x:row r="23" ht="40" customHeight="1">
      <x:c r="A23" s="5" t="str">
        <x:v>PILOT-20261013-01-S01-016</x:v>
      </x:c>
      <x:c r="B23" s="5" t="str">
        <x:v>C0016</x:v>
      </x:c>
      <x:c r="C23" s="5" t="str">
        <x:v>Crossref pilot</x:v>
      </x:c>
      <x:c r="D23" s="5" t="str">
        <x:v>PILOT-20261013-01</x:v>
      </x:c>
      <x:c r="E23" s="5" t="str">
        <x:v>S01</x:v>
      </x:c>
      <x:c r="F23" s="5" t="n">
        <x:v>16</x:v>
      </x:c>
      <x:c r="G23" s="5" t="str">
        <x:v>10.1109/siu71813.2026.11636715</x:v>
      </x:c>
      <x:c r="H23" s="5" t="str"/>
      <x:c r="I23" s="5" t="n">
        <x:v>0</x:v>
      </x:c>
      <x:c r="J23" s="5" t="str">
        <x:v>A Two-Stage CLIP–DINOv2 Framework for Zero-Shot Industrial Visual Anomaly Detection</x:v>
      </x:c>
    </x:row>
    <x:row r="24" ht="40" customHeight="1">
      <x:c r="A24" s="5" t="str">
        <x:v>PILOT-20261013-01-S01-017</x:v>
      </x:c>
      <x:c r="B24" s="5" t="str">
        <x:v>C0017</x:v>
      </x:c>
      <x:c r="C24" s="5" t="str">
        <x:v>Crossref pilot</x:v>
      </x:c>
      <x:c r="D24" s="5" t="str">
        <x:v>PILOT-20261013-01</x:v>
      </x:c>
      <x:c r="E24" s="5" t="str">
        <x:v>S01</x:v>
      </x:c>
      <x:c r="F24" s="5" t="n">
        <x:v>17</x:v>
      </x:c>
      <x:c r="G24" s="5" t="str">
        <x:v>10.1109/bigdata66926.2025.11400946</x:v>
      </x:c>
      <x:c r="H24" s="5" t="str"/>
      <x:c r="I24" s="5" t="n">
        <x:v>0</x:v>
      </x:c>
      <x:c r="J24" s="5" t="str">
        <x:v>S2TKD: Dual-Student Knowledge Distillation for Industrial Visual Anomaly Detection and Localization</x:v>
      </x:c>
    </x:row>
    <x:row r="25" ht="40" customHeight="1">
      <x:c r="A25" s="5" t="str">
        <x:v>PILOT-20261013-01-S01-018</x:v>
      </x:c>
      <x:c r="B25" s="5" t="str">
        <x:v>C0018</x:v>
      </x:c>
      <x:c r="C25" s="5" t="str">
        <x:v>Crossref pilot</x:v>
      </x:c>
      <x:c r="D25" s="5" t="str">
        <x:v>PILOT-20261013-01</x:v>
      </x:c>
      <x:c r="E25" s="5" t="str">
        <x:v>S01</x:v>
      </x:c>
      <x:c r="F25" s="5" t="n">
        <x:v>18</x:v>
      </x:c>
      <x:c r="G25" s="5" t="str">
        <x:v>10.5220/0006835502850293</x:v>
      </x:c>
      <x:c r="H25" s="5" t="str"/>
      <x:c r="I25" s="5" t="n">
        <x:v>0</x:v>
      </x:c>
      <x:c r="J25" s="5" t="str">
        <x:v>Anomaly Detection for Industrial Big Data</x:v>
      </x:c>
    </x:row>
    <x:row r="26" ht="53" customHeight="1">
      <x:c r="A26" s="5" t="str">
        <x:v>PILOT-20261013-01-S01-019</x:v>
      </x:c>
      <x:c r="B26" s="5" t="str">
        <x:v>C0019</x:v>
      </x:c>
      <x:c r="C26" s="5" t="str">
        <x:v>Crossref pilot</x:v>
      </x:c>
      <x:c r="D26" s="5" t="str">
        <x:v>PILOT-20261013-01</x:v>
      </x:c>
      <x:c r="E26" s="5" t="str">
        <x:v>S01</x:v>
      </x:c>
      <x:c r="F26" s="5" t="n">
        <x:v>19</x:v>
      </x:c>
      <x:c r="G26" s="5" t="str">
        <x:v>10.1109/lra.2023.3296935</x:v>
      </x:c>
      <x:c r="H26" s="5" t="str"/>
      <x:c r="I26" s="5" t="n">
        <x:v>0</x:v>
      </x:c>
      <x:c r="J26" s="5" t="str">
        <x:v>Cascade RDN: Towards Accurate Localization in Industrial Visual Anomaly Detection With Structural Anomaly Generation</x:v>
      </x:c>
    </x:row>
    <x:row r="27" ht="40" customHeight="1">
      <x:c r="A27" s="5" t="str">
        <x:v>PILOT-20261013-01-S01-020</x:v>
      </x:c>
      <x:c r="B27" s="5" t="str">
        <x:v>C0020</x:v>
      </x:c>
      <x:c r="C27" s="5" t="str">
        <x:v>Crossref pilot</x:v>
      </x:c>
      <x:c r="D27" s="5" t="str">
        <x:v>PILOT-20261013-01</x:v>
      </x:c>
      <x:c r="E27" s="5" t="str">
        <x:v>S01</x:v>
      </x:c>
      <x:c r="F27" s="5" t="n">
        <x:v>20</x:v>
      </x:c>
      <x:c r="G27" s="5" t="str">
        <x:v>10.1002/9781394422715.ch15</x:v>
      </x:c>
      <x:c r="H27" s="5" t="str"/>
      <x:c r="I27" s="5" t="n">
        <x:v>0</x:v>
      </x:c>
      <x:c r="J27" s="5" t="str">
        <x:v>TransGAN for Visual Anomaly Detection on Imbalanced Industrial Datasets</x:v>
      </x:c>
    </x:row>
    <x:row r="28" ht="53" customHeight="1">
      <x:c r="A28" s="5" t="str">
        <x:v>PILOT-20261013-01-S01-021</x:v>
      </x:c>
      <x:c r="B28" s="5" t="str">
        <x:v>C0021</x:v>
      </x:c>
      <x:c r="C28" s="5" t="str">
        <x:v>Crossref pilot</x:v>
      </x:c>
      <x:c r="D28" s="5" t="str">
        <x:v>PILOT-20261013-01</x:v>
      </x:c>
      <x:c r="E28" s="5" t="str">
        <x:v>S01</x:v>
      </x:c>
      <x:c r="F28" s="5" t="n">
        <x:v>21</x:v>
      </x:c>
      <x:c r="G28" s="5" t="str">
        <x:v>10.2139/ssrn.4811703</x:v>
      </x:c>
      <x:c r="H28" s="5" t="str"/>
      <x:c r="I28" s="5" t="n">
        <x:v>0</x:v>
      </x:c>
      <x:c r="J28" s="5" t="str">
        <x:v>Nn2vit: Neural Networks and Vision Transformers Based Approach for Visual Anomaly Detection in Industrial Images</x:v>
      </x:c>
    </x:row>
    <x:row r="29" ht="53" customHeight="1">
      <x:c r="A29" s="5" t="str">
        <x:v>PILOT-20261013-01-S01-022</x:v>
      </x:c>
      <x:c r="B29" s="5" t="str">
        <x:v>C0022</x:v>
      </x:c>
      <x:c r="C29" s="5" t="str">
        <x:v>Crossref pilot</x:v>
      </x:c>
      <x:c r="D29" s="5" t="str">
        <x:v>PILOT-20261013-01</x:v>
      </x:c>
      <x:c r="E29" s="5" t="str">
        <x:v>S01</x:v>
      </x:c>
      <x:c r="F29" s="5" t="n">
        <x:v>22</x:v>
      </x:c>
      <x:c r="G29" s="5" t="str">
        <x:v>10.2139/ssrn.4866728</x:v>
      </x:c>
      <x:c r="H29" s="5" t="str"/>
      <x:c r="I29" s="5" t="n">
        <x:v>0</x:v>
      </x:c>
      <x:c r="J29" s="5" t="str">
        <x:v>Nn2vit: Neural Networks and Vision Transformers Based Approach for Visual Anomaly Detection in Industrial Images</x:v>
      </x:c>
    </x:row>
    <x:row r="30" ht="40" customHeight="1">
      <x:c r="A30" s="5" t="str">
        <x:v>PILOT-20261013-01-S01-023</x:v>
      </x:c>
      <x:c r="B30" s="5" t="str">
        <x:v>C0023</x:v>
      </x:c>
      <x:c r="C30" s="5" t="str">
        <x:v>Crossref pilot</x:v>
      </x:c>
      <x:c r="D30" s="5" t="str">
        <x:v>PILOT-20261013-01</x:v>
      </x:c>
      <x:c r="E30" s="5" t="str">
        <x:v>S01</x:v>
      </x:c>
      <x:c r="F30" s="5" t="n">
        <x:v>23</x:v>
      </x:c>
      <x:c r="G30" s="5" t="str">
        <x:v>10.1109/aiita69518.2026.11567267</x:v>
      </x:c>
      <x:c r="H30" s="5" t="str"/>
      <x:c r="I30" s="5" t="n">
        <x:v>0</x:v>
      </x:c>
      <x:c r="J30" s="5" t="str">
        <x:v>Visual-Guided Prompt Learning Based on BBPE Tokenization in Industrial Anomaly Detection</x:v>
      </x:c>
    </x:row>
    <x:row r="31" ht="40" customHeight="1">
      <x:c r="A31" s="5" t="str">
        <x:v>PILOT-20261013-01-S01-024</x:v>
      </x:c>
      <x:c r="B31" s="5" t="str">
        <x:v>C0024</x:v>
      </x:c>
      <x:c r="C31" s="5" t="str">
        <x:v>Crossref pilot</x:v>
      </x:c>
      <x:c r="D31" s="5" t="str">
        <x:v>PILOT-20261013-01</x:v>
      </x:c>
      <x:c r="E31" s="5" t="str">
        <x:v>S01</x:v>
      </x:c>
      <x:c r="F31" s="5" t="n">
        <x:v>24</x:v>
      </x:c>
      <x:c r="G31" s="5" t="str">
        <x:v>10.51202/9783186886101</x:v>
      </x:c>
      <x:c r="H31" s="5" t="str"/>
      <x:c r="I31" s="5" t="n">
        <x:v>0</x:v>
      </x:c>
      <x:c r="J31" s="5" t="str">
        <x:v>Industrial Anomaly Detection with Normalizing Flows</x:v>
      </x:c>
    </x:row>
    <x:row r="32" ht="40" customHeight="1">
      <x:c r="A32" s="5" t="str">
        <x:v>PILOT-20261013-01-S01-025</x:v>
      </x:c>
      <x:c r="B32" s="5" t="str">
        <x:v>R02</x:v>
      </x:c>
      <x:c r="C32" s="5" t="str">
        <x:v>Crossref pilot</x:v>
      </x:c>
      <x:c r="D32" s="5" t="str">
        <x:v>PILOT-20261013-01</x:v>
      </x:c>
      <x:c r="E32" s="5" t="str">
        <x:v>S01</x:v>
      </x:c>
      <x:c r="F32" s="5" t="n">
        <x:v>25</x:v>
      </x:c>
      <x:c r="G32" s="5" t="str">
        <x:v>10.1007/s10462-025-11287-7</x:v>
      </x:c>
      <x:c r="H32" s="5" t="str"/>
      <x:c r="I32" s="5" t="n">
        <x:v>0</x:v>
      </x:c>
      <x:c r="J32" s="5" t="str">
        <x:v>A survey of deep learning for industrial visual anomaly detection</x:v>
      </x:c>
    </x:row>
    <x:row r="33" ht="40" customHeight="1">
      <x:c r="A33" s="5" t="str">
        <x:v>PILOT-20261013-01-S03-001</x:v>
      </x:c>
      <x:c r="B33" s="5" t="str">
        <x:v>C0025</x:v>
      </x:c>
      <x:c r="C33" s="5" t="str">
        <x:v>Crossref pilot</x:v>
      </x:c>
      <x:c r="D33" s="5" t="str">
        <x:v>PILOT-20261013-01</x:v>
      </x:c>
      <x:c r="E33" s="5" t="str">
        <x:v>S03</x:v>
      </x:c>
      <x:c r="F33" s="5" t="n">
        <x:v>1</x:v>
      </x:c>
      <x:c r="G33" s="5" t="str">
        <x:v>10.2139/ssrn.6574201</x:v>
      </x:c>
      <x:c r="H33" s="5" t="str"/>
      <x:c r="I33" s="5" t="n">
        <x:v>0</x:v>
      </x:c>
      <x:c r="J33" s="5" t="str">
        <x:v>Expert-Guided Reverse Distillation for Cross-Domain Industrial Image Anomaly Detection</x:v>
      </x:c>
    </x:row>
    <x:row r="34" ht="53" customHeight="1">
      <x:c r="A34" s="5" t="str">
        <x:v>PILOT-20261013-01-S03-002</x:v>
      </x:c>
      <x:c r="B34" s="5" t="str">
        <x:v>C0026</x:v>
      </x:c>
      <x:c r="C34" s="5" t="str">
        <x:v>Crossref pilot</x:v>
      </x:c>
      <x:c r="D34" s="5" t="str">
        <x:v>PILOT-20261013-01</x:v>
      </x:c>
      <x:c r="E34" s="5" t="str">
        <x:v>S03</x:v>
      </x:c>
      <x:c r="F34" s="5" t="n">
        <x:v>2</x:v>
      </x:c>
      <x:c r="G34" s="5" t="str">
        <x:v>10.2139/ssrn.7070753</x:v>
      </x:c>
      <x:c r="H34" s="5" t="str"/>
      <x:c r="I34" s="5" t="n">
        <x:v>0</x:v>
      </x:c>
      <x:c r="J34" s="5" t="str">
        <x:v>Addressing Representation and Aggregation Biases in Streaming Anomaly Detection through Domain Adaptation and Domain Shift Detection</x:v>
      </x:c>
    </x:row>
    <x:row r="35" ht="40" customHeight="1">
      <x:c r="A35" s="5" t="str">
        <x:v>PILOT-20261013-01-S03-003</x:v>
      </x:c>
      <x:c r="B35" s="5" t="str">
        <x:v>C0027</x:v>
      </x:c>
      <x:c r="C35" s="5" t="str">
        <x:v>Crossref pilot</x:v>
      </x:c>
      <x:c r="D35" s="5" t="str">
        <x:v>PILOT-20261013-01</x:v>
      </x:c>
      <x:c r="E35" s="5" t="str">
        <x:v>S03</x:v>
      </x:c>
      <x:c r="F35" s="5" t="n">
        <x:v>3</x:v>
      </x:c>
      <x:c r="G35" s="5" t="str">
        <x:v>10.2139/ssrn.5051153</x:v>
      </x:c>
      <x:c r="H35" s="5" t="str"/>
      <x:c r="I35" s="5" t="n">
        <x:v>0</x:v>
      </x:c>
      <x:c r="J35" s="5" t="str">
        <x:v>Adaptive Fusion Strategy with Masked Encoding for Cross-Domain Industrial Image Anomaly Detection</x:v>
      </x:c>
    </x:row>
    <x:row r="36" ht="40" customHeight="1">
      <x:c r="A36" s="5" t="str">
        <x:v>PILOT-20261013-01-S03-004</x:v>
      </x:c>
      <x:c r="B36" s="5" t="str">
        <x:v>P08</x:v>
      </x:c>
      <x:c r="C36" s="5" t="str">
        <x:v>Crossref pilot</x:v>
      </x:c>
      <x:c r="D36" s="5" t="str">
        <x:v>PILOT-20261013-01</x:v>
      </x:c>
      <x:c r="E36" s="5" t="str">
        <x:v>S03</x:v>
      </x:c>
      <x:c r="F36" s="5" t="n">
        <x:v>4</x:v>
      </x:c>
      <x:c r="G36" s="5" t="str">
        <x:v>10.1016/j.compind.2023.103990</x:v>
      </x:c>
      <x:c r="H36" s="5" t="str"/>
      <x:c r="I36" s="5" t="n">
        <x:v>0</x:v>
      </x:c>
      <x:c r="J36" s="5" t="str">
        <x:v>Industrial anomaly detection with domain shift: A real-world dataset and masked multi-scale reconstruction</x:v>
      </x:c>
    </x:row>
    <x:row r="37" ht="40" customHeight="1">
      <x:c r="A37" s="5" t="str">
        <x:v>PILOT-20261013-01-S03-005</x:v>
      </x:c>
      <x:c r="B37" s="5" t="str">
        <x:v>C0028</x:v>
      </x:c>
      <x:c r="C37" s="5" t="str">
        <x:v>Crossref pilot</x:v>
      </x:c>
      <x:c r="D37" s="5" t="str">
        <x:v>PILOT-20261013-01</x:v>
      </x:c>
      <x:c r="E37" s="5" t="str">
        <x:v>S03</x:v>
      </x:c>
      <x:c r="F37" s="5" t="n">
        <x:v>5</x:v>
      </x:c>
      <x:c r="G37" s="5" t="str">
        <x:v>10.31219/osf.io/ren6d</x:v>
      </x:c>
      <x:c r="H37" s="5" t="str"/>
      <x:c r="I37" s="5" t="n">
        <x:v>0</x:v>
      </x:c>
      <x:c r="J37" s="5" t="str">
        <x:v>USING UMAP TO INSPECT AUDIO DATA FOR UNSUPERVISED ANOMALY DETECTION UNDER DOMAIN-SHIFT CONDITIONS</x:v>
      </x:c>
    </x:row>
    <x:row r="38" ht="40" customHeight="1">
      <x:c r="A38" s="5" t="str">
        <x:v>PILOT-20261013-01-S03-006</x:v>
      </x:c>
      <x:c r="B38" s="5" t="str">
        <x:v>C0029</x:v>
      </x:c>
      <x:c r="C38" s="5" t="str">
        <x:v>Crossref pilot</x:v>
      </x:c>
      <x:c r="D38" s="5" t="str">
        <x:v>PILOT-20261013-01</x:v>
      </x:c>
      <x:c r="E38" s="5" t="str">
        <x:v>S03</x:v>
      </x:c>
      <x:c r="F38" s="5" t="n">
        <x:v>6</x:v>
      </x:c>
      <x:c r="G38" s="5" t="str">
        <x:v>10.2139/ssrn.6863640</x:v>
      </x:c>
      <x:c r="H38" s="5" t="str"/>
      <x:c r="I38" s="5" t="n">
        <x:v>0</x:v>
      </x:c>
      <x:c r="J38" s="5" t="str">
        <x:v>AlignPromptGPT: Aligned Prompting for Industrial Image Anomaly Detection</x:v>
      </x:c>
    </x:row>
    <x:row r="39" ht="53" customHeight="1">
      <x:c r="A39" s="5" t="str">
        <x:v>PILOT-20261013-01-S03-007</x:v>
      </x:c>
      <x:c r="B39" s="5" t="str">
        <x:v>C0030</x:v>
      </x:c>
      <x:c r="C39" s="5" t="str">
        <x:v>Crossref pilot</x:v>
      </x:c>
      <x:c r="D39" s="5" t="str">
        <x:v>PILOT-20261013-01</x:v>
      </x:c>
      <x:c r="E39" s="5" t="str">
        <x:v>S03</x:v>
      </x:c>
      <x:c r="F39" s="5" t="n">
        <x:v>7</x:v>
      </x:c>
      <x:c r="G39" s="5" t="str">
        <x:v>10.1016/j.cie.2023.109337</x:v>
      </x:c>
      <x:c r="H39" s="5" t="str"/>
      <x:c r="I39" s="5" t="n">
        <x:v>0</x:v>
      </x:c>
      <x:c r="J39" s="5" t="str">
        <x:v>Unsupervised industrial image ensemble anomaly detection based on object pseudo-anomaly generation and normal image feature combination enhancement</x:v>
      </x:c>
    </x:row>
    <x:row r="40" ht="53" customHeight="1">
      <x:c r="A40" s="5" t="str">
        <x:v>PILOT-20261013-01-S03-008</x:v>
      </x:c>
      <x:c r="B40" s="5" t="str">
        <x:v>C0031</x:v>
      </x:c>
      <x:c r="C40" s="5" t="str">
        <x:v>Crossref pilot</x:v>
      </x:c>
      <x:c r="D40" s="5" t="str">
        <x:v>PILOT-20261013-01</x:v>
      </x:c>
      <x:c r="E40" s="5" t="str">
        <x:v>S03</x:v>
      </x:c>
      <x:c r="F40" s="5" t="n">
        <x:v>8</x:v>
      </x:c>
      <x:c r="G40" s="5" t="str">
        <x:v>10.1088/1361-6501/ae8e9b</x:v>
      </x:c>
      <x:c r="H40" s="5" t="str"/>
      <x:c r="I40" s="5" t="n">
        <x:v>0</x:v>
      </x:c>
      <x:c r="J40" s="5" t="str">
        <x:v>DomainShield-AD: a multi-dimensional domain shift measurement framework with graded response for industrial anomaly detection</x:v>
      </x:c>
    </x:row>
    <x:row r="41" ht="40" customHeight="1">
      <x:c r="A41" s="5" t="str">
        <x:v>PILOT-20261013-01-S03-009</x:v>
      </x:c>
      <x:c r="B41" s="5" t="str">
        <x:v>C0032</x:v>
      </x:c>
      <x:c r="C41" s="5" t="str">
        <x:v>Crossref pilot</x:v>
      </x:c>
      <x:c r="D41" s="5" t="str">
        <x:v>PILOT-20261013-01</x:v>
      </x:c>
      <x:c r="E41" s="5" t="str">
        <x:v>S03</x:v>
      </x:c>
      <x:c r="F41" s="5" t="n">
        <x:v>9</x:v>
      </x:c>
      <x:c r="G41" s="5" t="str">
        <x:v>10.2139/ssrn.7446051</x:v>
      </x:c>
      <x:c r="H41" s="5" t="str"/>
      <x:c r="I41" s="5" t="n">
        <x:v>0</x:v>
      </x:c>
      <x:c r="J41" s="5" t="str">
        <x:v>Multi-Domain Anomaly Detection for Advanced Persistent Threat Detection in Industrial Control Systems</x:v>
      </x:c>
    </x:row>
    <x:row r="42" ht="53" customHeight="1">
      <x:c r="A42" s="5" t="str">
        <x:v>PILOT-20261013-01-S03-010</x:v>
      </x:c>
      <x:c r="B42" s="5" t="str">
        <x:v>C0033</x:v>
      </x:c>
      <x:c r="C42" s="5" t="str">
        <x:v>Crossref pilot</x:v>
      </x:c>
      <x:c r="D42" s="5" t="str">
        <x:v>PILOT-20261013-01</x:v>
      </x:c>
      <x:c r="E42" s="5" t="str">
        <x:v>S03</x:v>
      </x:c>
      <x:c r="F42" s="5" t="n">
        <x:v>10</x:v>
      </x:c>
      <x:c r="G42" s="5" t="str">
        <x:v>10.2139/ssrn.5266589</x:v>
      </x:c>
      <x:c r="H42" s="5" t="str"/>
      <x:c r="I42" s="5" t="n">
        <x:v>0</x:v>
      </x:c>
      <x:c r="J42" s="5" t="str">
        <x:v>Image-Based Anomaly Detection in Industrial Equipment Using Convolutional Neural Networks for Predictive Maintenance</x:v>
      </x:c>
    </x:row>
    <x:row r="43" ht="53" customHeight="1">
      <x:c r="A43" s="5" t="str">
        <x:v>PILOT-20261013-01-S03-011</x:v>
      </x:c>
      <x:c r="B43" s="5" t="str">
        <x:v>C0034</x:v>
      </x:c>
      <x:c r="C43" s="5" t="str">
        <x:v>Crossref pilot</x:v>
      </x:c>
      <x:c r="D43" s="5" t="str">
        <x:v>PILOT-20261013-01</x:v>
      </x:c>
      <x:c r="E43" s="5" t="str">
        <x:v>S03</x:v>
      </x:c>
      <x:c r="F43" s="5" t="n">
        <x:v>11</x:v>
      </x:c>
      <x:c r="G43" s="5" t="str">
        <x:v>10.2139/ssrn.7090106</x:v>
      </x:c>
      <x:c r="H43" s="5" t="str"/>
      <x:c r="I43" s="5" t="n">
        <x:v>0</x:v>
      </x:c>
      <x:c r="J43" s="5" t="str">
        <x:v>Robust Federated Learning for Intelligent IoT Networks via Domain-Shift Elimination and Clustered Anomaly Detection</x:v>
      </x:c>
    </x:row>
    <x:row r="44" ht="40" customHeight="1">
      <x:c r="A44" s="5" t="str">
        <x:v>PILOT-20261013-01-S03-012</x:v>
      </x:c>
      <x:c r="B44" s="5" t="str">
        <x:v>C0035</x:v>
      </x:c>
      <x:c r="C44" s="5" t="str">
        <x:v>Crossref pilot</x:v>
      </x:c>
      <x:c r="D44" s="5" t="str">
        <x:v>PILOT-20261013-01</x:v>
      </x:c>
      <x:c r="E44" s="5" t="str">
        <x:v>S03</x:v>
      </x:c>
      <x:c r="F44" s="5" t="n">
        <x:v>12</x:v>
      </x:c>
      <x:c r="G44" s="5" t="str">
        <x:v>10.2139/ssrn.6914498</x:v>
      </x:c>
      <x:c r="H44" s="5" t="str"/>
      <x:c r="I44" s="5" t="n">
        <x:v>0</x:v>
      </x:c>
      <x:c r="J44" s="5" t="str">
        <x:v>Seeing Voices: Cross-Modal Audio-to-Image Translation for Zero-Shot Industrial Anomaly Detection</x:v>
      </x:c>
    </x:row>
    <x:row r="45" ht="40" customHeight="1">
      <x:c r="A45" s="5" t="str">
        <x:v>PILOT-20261013-01-S03-013</x:v>
      </x:c>
      <x:c r="B45" s="5" t="str">
        <x:v>C0036</x:v>
      </x:c>
      <x:c r="C45" s="5" t="str">
        <x:v>Crossref pilot</x:v>
      </x:c>
      <x:c r="D45" s="5" t="str">
        <x:v>PILOT-20261013-01</x:v>
      </x:c>
      <x:c r="E45" s="5" t="str">
        <x:v>S03</x:v>
      </x:c>
      <x:c r="F45" s="5" t="n">
        <x:v>13</x:v>
      </x:c>
      <x:c r="G45" s="5" t="str">
        <x:v>10.3390/s25123721</x:v>
      </x:c>
      <x:c r="H45" s="5" t="str"/>
      <x:c r="I45" s="5" t="n">
        <x:v>0</x:v>
      </x:c>
      <x:c r="J45" s="5" t="str">
        <x:v>Industrial Image Anomaly Detection via Synthetic-Anomaly Contrastive Distillation</x:v>
      </x:c>
    </x:row>
    <x:row r="46" ht="53" customHeight="1">
      <x:c r="A46" s="5" t="str">
        <x:v>PILOT-20261013-01-S03-014</x:v>
      </x:c>
      <x:c r="B46" s="5" t="str">
        <x:v>C0037</x:v>
      </x:c>
      <x:c r="C46" s="5" t="str">
        <x:v>Crossref pilot</x:v>
      </x:c>
      <x:c r="D46" s="5" t="str">
        <x:v>PILOT-20261013-01</x:v>
      </x:c>
      <x:c r="E46" s="5" t="str">
        <x:v>S03</x:v>
      </x:c>
      <x:c r="F46" s="5" t="n">
        <x:v>14</x:v>
      </x:c>
      <x:c r="G46" s="5" t="str">
        <x:v>10.20944/preprints202607.0655.v1</x:v>
      </x:c>
      <x:c r="H46" s="5" t="str"/>
      <x:c r="I46" s="5" t="n">
        <x:v>0</x:v>
      </x:c>
      <x:c r="J46" s="5" t="str">
        <x:v>Lightweight One-Class Anomaly Detection for Industrial Image Inspection Using Enhanced Unified Feature Representation</x:v>
      </x:c>
    </x:row>
    <x:row r="47" ht="40" customHeight="1">
      <x:c r="A47" s="5" t="str">
        <x:v>PILOT-20261013-01-S03-015</x:v>
      </x:c>
      <x:c r="B47" s="5" t="str">
        <x:v>C0038</x:v>
      </x:c>
      <x:c r="C47" s="5" t="str">
        <x:v>Crossref pilot</x:v>
      </x:c>
      <x:c r="D47" s="5" t="str">
        <x:v>PILOT-20261013-01</x:v>
      </x:c>
      <x:c r="E47" s="5" t="str">
        <x:v>S03</x:v>
      </x:c>
      <x:c r="F47" s="5" t="n">
        <x:v>15</x:v>
      </x:c>
      <x:c r="G47" s="5" t="str">
        <x:v>10.1007/s11760-024-03033-3</x:v>
      </x:c>
      <x:c r="H47" s="5" t="str"/>
      <x:c r="I47" s="5" t="n">
        <x:v>0</x:v>
      </x:c>
      <x:c r="J47" s="5" t="str">
        <x:v>Domain generalization for video anomaly detection considering diverse anomaly types</x:v>
      </x:c>
    </x:row>
    <x:row r="48" ht="40" customHeight="1">
      <x:c r="A48" s="5" t="str">
        <x:v>PILOT-20261013-01-S03-016</x:v>
      </x:c>
      <x:c r="B48" s="5" t="str">
        <x:v>C0039</x:v>
      </x:c>
      <x:c r="C48" s="5" t="str">
        <x:v>Crossref pilot</x:v>
      </x:c>
      <x:c r="D48" s="5" t="str">
        <x:v>PILOT-20261013-01</x:v>
      </x:c>
      <x:c r="E48" s="5" t="str">
        <x:v>S03</x:v>
      </x:c>
      <x:c r="F48" s="5" t="n">
        <x:v>16</x:v>
      </x:c>
      <x:c r="G48" s="5" t="str">
        <x:v>10.2139/ssrn.5287992</x:v>
      </x:c>
      <x:c r="H48" s="5" t="str"/>
      <x:c r="I48" s="5" t="n">
        <x:v>0</x:v>
      </x:c>
      <x:c r="J48" s="5" t="str">
        <x:v>Boundary-Guided Large-Scale Vision Model for Unified Multi-Domain Industrial Anomaly Detection</x:v>
      </x:c>
    </x:row>
    <x:row r="49" ht="40" customHeight="1">
      <x:c r="A49" s="5" t="str">
        <x:v>PILOT-20261013-01-S03-017</x:v>
      </x:c>
      <x:c r="B49" s="5" t="str">
        <x:v>C0040</x:v>
      </x:c>
      <x:c r="C49" s="5" t="str">
        <x:v>Crossref pilot</x:v>
      </x:c>
      <x:c r="D49" s="5" t="str">
        <x:v>PILOT-20261013-01</x:v>
      </x:c>
      <x:c r="E49" s="5" t="str">
        <x:v>S03</x:v>
      </x:c>
      <x:c r="F49" s="5" t="n">
        <x:v>17</x:v>
      </x:c>
      <x:c r="G49" s="5" t="str">
        <x:v>10.1007/s11760-024-03354-3</x:v>
      </x:c>
      <x:c r="H49" s="5" t="str"/>
      <x:c r="I49" s="5" t="n">
        <x:v>0</x:v>
      </x:c>
      <x:c r="J49" s="5" t="str">
        <x:v>Temporal-spatial interactive shift module for videos anomaly detection</x:v>
      </x:c>
    </x:row>
    <x:row r="50" ht="40" customHeight="1">
      <x:c r="A50" s="5" t="str">
        <x:v>PILOT-20261013-01-S03-018</x:v>
      </x:c>
      <x:c r="B50" s="5" t="str">
        <x:v>C0041</x:v>
      </x:c>
      <x:c r="C50" s="5" t="str">
        <x:v>Crossref pilot</x:v>
      </x:c>
      <x:c r="D50" s="5" t="str">
        <x:v>PILOT-20261013-01</x:v>
      </x:c>
      <x:c r="E50" s="5" t="str">
        <x:v>S03</x:v>
      </x:c>
      <x:c r="F50" s="5" t="n">
        <x:v>18</x:v>
      </x:c>
      <x:c r="G50" s="5" t="str">
        <x:v>10.1109/wacv61041.2025.00768</x:v>
      </x:c>
      <x:c r="H50" s="5" t="str"/>
      <x:c r="I50" s="5" t="n">
        <x:v>0</x:v>
      </x:c>
      <x:c r="J50" s="5" t="str">
        <x:v>ROADS: Robust Prompt-Driven Multi-Class Anomaly Detection Under Domain Shift</x:v>
      </x:c>
    </x:row>
    <x:row r="51" ht="40" customHeight="1">
      <x:c r="A51" s="5" t="str">
        <x:v>PILOT-20261013-01-S03-019</x:v>
      </x:c>
      <x:c r="B51" s="5" t="str">
        <x:v>C0042</x:v>
      </x:c>
      <x:c r="C51" s="5" t="str">
        <x:v>Crossref pilot</x:v>
      </x:c>
      <x:c r="D51" s="5" t="str">
        <x:v>PILOT-20261013-01</x:v>
      </x:c>
      <x:c r="E51" s="5" t="str">
        <x:v>S03</x:v>
      </x:c>
      <x:c r="F51" s="5" t="n">
        <x:v>19</x:v>
      </x:c>
      <x:c r="G51" s="5" t="str">
        <x:v>10.2139/ssrn.5278821</x:v>
      </x:c>
      <x:c r="H51" s="5" t="str"/>
      <x:c r="I51" s="5" t="n">
        <x:v>0</x:v>
      </x:c>
      <x:c r="J51" s="5" t="str">
        <x:v>Denoising Heterogeneous Knowledge Distillation Network for Unsupervised Industrial Image Anomaly Detection</x:v>
      </x:c>
    </x:row>
    <x:row r="52" ht="40" customHeight="1">
      <x:c r="A52" s="5" t="str">
        <x:v>PILOT-20261013-01-S03-020</x:v>
      </x:c>
      <x:c r="B52" s="5" t="str">
        <x:v>C0043</x:v>
      </x:c>
      <x:c r="C52" s="5" t="str">
        <x:v>Crossref pilot</x:v>
      </x:c>
      <x:c r="D52" s="5" t="str">
        <x:v>PILOT-20261013-01</x:v>
      </x:c>
      <x:c r="E52" s="5" t="str">
        <x:v>S03</x:v>
      </x:c>
      <x:c r="F52" s="5" t="n">
        <x:v>20</x:v>
      </x:c>
      <x:c r="G52" s="5" t="str">
        <x:v>10.1007/s00371-022-02643-7</x:v>
      </x:c>
      <x:c r="H52" s="5" t="str"/>
      <x:c r="I52" s="5" t="n">
        <x:v>0</x:v>
      </x:c>
      <x:c r="J52" s="5" t="str">
        <x:v>Cross-domain object detection using minimized instance shift image–image translation</x:v>
      </x:c>
    </x:row>
    <x:row r="53" ht="40" customHeight="1">
      <x:c r="A53" s="5" t="str">
        <x:v>PILOT-20261013-01-S03-021</x:v>
      </x:c>
      <x:c r="B53" s="5" t="str">
        <x:v>C0044</x:v>
      </x:c>
      <x:c r="C53" s="5" t="str">
        <x:v>Crossref pilot</x:v>
      </x:c>
      <x:c r="D53" s="5" t="str">
        <x:v>PILOT-20261013-01</x:v>
      </x:c>
      <x:c r="E53" s="5" t="str">
        <x:v>S03</x:v>
      </x:c>
      <x:c r="F53" s="5" t="n">
        <x:v>21</x:v>
      </x:c>
      <x:c r="G53" s="5" t="str">
        <x:v>10.1109/cvidl70130.2026.11637863</x:v>
      </x:c>
      <x:c r="H53" s="5" t="str"/>
      <x:c r="I53" s="5" t="n">
        <x:v>0</x:v>
      </x:c>
      <x:c r="J53" s="5" t="str">
        <x:v>MeRD: Memory-Enhanced Reverse Distillation for Industrial Image Anomaly Detection</x:v>
      </x:c>
    </x:row>
    <x:row r="54" ht="40" customHeight="1">
      <x:c r="A54" s="5" t="str">
        <x:v>PILOT-20261013-01-S03-022</x:v>
      </x:c>
      <x:c r="B54" s="5" t="str">
        <x:v>C0045</x:v>
      </x:c>
      <x:c r="C54" s="5" t="str">
        <x:v>Crossref pilot</x:v>
      </x:c>
      <x:c r="D54" s="5" t="str">
        <x:v>PILOT-20261013-01</x:v>
      </x:c>
      <x:c r="E54" s="5" t="str">
        <x:v>S03</x:v>
      </x:c>
      <x:c r="F54" s="5" t="n">
        <x:v>22</x:v>
      </x:c>
      <x:c r="G54" s="5" t="str">
        <x:v>10.1016/j.patcog.2025.112486</x:v>
      </x:c>
      <x:c r="H54" s="5" t="str"/>
      <x:c r="I54" s="5" t="n">
        <x:v>0</x:v>
      </x:c>
      <x:c r="J54" s="5" t="str">
        <x:v>Multi-AD: cross-domain unsupervised anomaly detection for medical and industrial applications</x:v>
      </x:c>
    </x:row>
    <x:row r="55" ht="40" customHeight="1">
      <x:c r="A55" s="5" t="str">
        <x:v>PILOT-20261013-01-S03-023</x:v>
      </x:c>
      <x:c r="B55" s="5" t="str">
        <x:v>C0046</x:v>
      </x:c>
      <x:c r="C55" s="5" t="str">
        <x:v>Crossref pilot</x:v>
      </x:c>
      <x:c r="D55" s="5" t="str">
        <x:v>PILOT-20261013-01</x:v>
      </x:c>
      <x:c r="E55" s="5" t="str">
        <x:v>S03</x:v>
      </x:c>
      <x:c r="F55" s="5" t="n">
        <x:v>23</x:v>
      </x:c>
      <x:c r="G55" s="5" t="str">
        <x:v>10.1117/12.3095570</x:v>
      </x:c>
      <x:c r="H55" s="5" t="str"/>
      <x:c r="I55" s="5" t="n">
        <x:v>0</x:v>
      </x:c>
      <x:c r="J55" s="5" t="str">
        <x:v>Multiscale feature reconstruction contrastive learning for distribution shift anomaly detection</x:v>
      </x:c>
    </x:row>
    <x:row r="56" ht="40" customHeight="1">
      <x:c r="A56" s="5" t="str">
        <x:v>PILOT-20261013-01-S03-024</x:v>
      </x:c>
      <x:c r="B56" s="5" t="str">
        <x:v>C0047</x:v>
      </x:c>
      <x:c r="C56" s="5" t="str">
        <x:v>Crossref pilot</x:v>
      </x:c>
      <x:c r="D56" s="5" t="str">
        <x:v>PILOT-20261013-01</x:v>
      </x:c>
      <x:c r="E56" s="5" t="str">
        <x:v>S03</x:v>
      </x:c>
      <x:c r="F56" s="5" t="n">
        <x:v>24</x:v>
      </x:c>
      <x:c r="G56" s="5" t="str">
        <x:v>10.1109/indin51400.2023.10218283</x:v>
      </x:c>
      <x:c r="H56" s="5" t="str"/>
      <x:c r="I56" s="5" t="n">
        <x:v>0</x:v>
      </x:c>
      <x:c r="J56" s="5" t="str">
        <x:v>Network Pruning and Fine-tuning for Few-shot Industrial Image Anomaly Detection</x:v>
      </x:c>
    </x:row>
    <x:row r="57" ht="40" customHeight="1">
      <x:c r="A57" s="5" t="str">
        <x:v>PILOT-20261013-01-S03-025</x:v>
      </x:c>
      <x:c r="B57" s="5" t="str">
        <x:v>C0048</x:v>
      </x:c>
      <x:c r="C57" s="5" t="str">
        <x:v>Crossref pilot</x:v>
      </x:c>
      <x:c r="D57" s="5" t="str">
        <x:v>PILOT-20261013-01</x:v>
      </x:c>
      <x:c r="E57" s="5" t="str">
        <x:v>S03</x:v>
      </x:c>
      <x:c r="F57" s="5" t="n">
        <x:v>25</x:v>
      </x:c>
      <x:c r="G57" s="5" t="str">
        <x:v>10.1016/j.cviu.2026.104751</x:v>
      </x:c>
      <x:c r="H57" s="5" t="str"/>
      <x:c r="I57" s="5" t="n">
        <x:v>0</x:v>
      </x:c>
      <x:c r="J57" s="5" t="str">
        <x:v>Domain adaptation of attention heads for zero-shot anomaly detection</x:v>
      </x:c>
    </x:row>
    <x:row r="58" ht="40" customHeight="1">
      <x:c r="A58" s="5" t="str">
        <x:v>PILOT-20261013-01-S04-001</x:v>
      </x:c>
      <x:c r="B58" s="5" t="str">
        <x:v>C0049</x:v>
      </x:c>
      <x:c r="C58" s="5" t="str">
        <x:v>Crossref pilot</x:v>
      </x:c>
      <x:c r="D58" s="5" t="str">
        <x:v>PILOT-20261013-01</x:v>
      </x:c>
      <x:c r="E58" s="5" t="str">
        <x:v>S04</x:v>
      </x:c>
      <x:c r="F58" s="5" t="n">
        <x:v>1</x:v>
      </x:c>
      <x:c r="G58" s="5" t="str">
        <x:v>10.1049/ic:19970259</x:v>
      </x:c>
      <x:c r="H58" s="5" t="str"/>
      <x:c r="I58" s="5" t="n">
        <x:v>0</x:v>
      </x:c>
      <x:c r="J58" s="5" t="str">
        <x:v>Using uncertainty techniques to aid defect classification in an automated visual inspection system</x:v>
      </x:c>
    </x:row>
    <x:row r="59" ht="40" customHeight="1">
      <x:c r="A59" s="5" t="str">
        <x:v>PILOT-20261013-01-S04-002</x:v>
      </x:c>
      <x:c r="B59" s="5" t="str">
        <x:v>C0004</x:v>
      </x:c>
      <x:c r="C59" s="5" t="str">
        <x:v>Crossref pilot</x:v>
      </x:c>
      <x:c r="D59" s="5" t="str">
        <x:v>PILOT-20261013-01</x:v>
      </x:c>
      <x:c r="E59" s="5" t="str">
        <x:v>S04</x:v>
      </x:c>
      <x:c r="F59" s="5" t="n">
        <x:v>2</x:v>
      </x:c>
      <x:c r="G59" s="5" t="str">
        <x:v>10.2139/ssrn.6597747</x:v>
      </x:c>
      <x:c r="H59" s="5" t="str">
        <x:v>PILOT-20261013-01-S01-004</x:v>
      </x:c>
      <x:c r="I59" s="5" t="n">
        <x:v>1</x:v>
      </x:c>
      <x:c r="J59" s="5" t="str">
        <x:v>Dynamic Anomaly-Aware Segmentation: Enabling Contextual Text-Visual Alignment for Industrial Defect Detection</x:v>
      </x:c>
    </x:row>
    <x:row r="60" ht="40" customHeight="1">
      <x:c r="A60" s="5" t="str">
        <x:v>PILOT-20261013-01-S04-003</x:v>
      </x:c>
      <x:c r="B60" s="5" t="str">
        <x:v>C0050</x:v>
      </x:c>
      <x:c r="C60" s="5" t="str">
        <x:v>Crossref pilot</x:v>
      </x:c>
      <x:c r="D60" s="5" t="str">
        <x:v>PILOT-20261013-01</x:v>
      </x:c>
      <x:c r="E60" s="5" t="str">
        <x:v>S04</x:v>
      </x:c>
      <x:c r="F60" s="5" t="n">
        <x:v>3</x:v>
      </x:c>
      <x:c r="G60" s="5" t="str">
        <x:v>10.1007/978-3-319-11259-6_64-1</x:v>
      </x:c>
      <x:c r="H60" s="5" t="str"/>
      <x:c r="I60" s="5" t="n">
        <x:v>0</x:v>
      </x:c>
      <x:c r="J60" s="5" t="str">
        <x:v>OpenTURNS: An Industrial Software for Uncertainty Quantification in Simulation</x:v>
      </x:c>
    </x:row>
    <x:row r="61" ht="40" customHeight="1">
      <x:c r="A61" s="5" t="str">
        <x:v>PILOT-20261013-01-S04-004</x:v>
      </x:c>
      <x:c r="B61" s="5" t="str">
        <x:v>C0051</x:v>
      </x:c>
      <x:c r="C61" s="5" t="str">
        <x:v>Crossref pilot</x:v>
      </x:c>
      <x:c r="D61" s="5" t="str">
        <x:v>PILOT-20261013-01</x:v>
      </x:c>
      <x:c r="E61" s="5" t="str">
        <x:v>S04</x:v>
      </x:c>
      <x:c r="F61" s="5" t="n">
        <x:v>4</x:v>
      </x:c>
      <x:c r="G61" s="5" t="str">
        <x:v>10.1109/ccdc69976.2026.11559828</x:v>
      </x:c>
      <x:c r="H61" s="5" t="str"/>
      <x:c r="I61" s="5" t="n">
        <x:v>0</x:v>
      </x:c>
      <x:c r="J61" s="5" t="str">
        <x:v>Uncertainty-Aware Industrial Defect Detection: A Unified Evaluation and Learning Framework</x:v>
      </x:c>
    </x:row>
    <x:row r="62" ht="40" customHeight="1">
      <x:c r="A62" s="5" t="str">
        <x:v>PILOT-20261013-01-S04-005</x:v>
      </x:c>
      <x:c r="B62" s="5" t="str">
        <x:v>C0052</x:v>
      </x:c>
      <x:c r="C62" s="5" t="str">
        <x:v>Crossref pilot</x:v>
      </x:c>
      <x:c r="D62" s="5" t="str">
        <x:v>PILOT-20261013-01</x:v>
      </x:c>
      <x:c r="E62" s="5" t="str">
        <x:v>S04</x:v>
      </x:c>
      <x:c r="F62" s="5" t="n">
        <x:v>5</x:v>
      </x:c>
      <x:c r="G62" s="5" t="str">
        <x:v>10.1007/978-3-319-12385-1_64</x:v>
      </x:c>
      <x:c r="H62" s="5" t="str"/>
      <x:c r="I62" s="5" t="n">
        <x:v>0</x:v>
      </x:c>
      <x:c r="J62" s="5" t="str">
        <x:v>OpenTURNS: An Industrial Software for Uncertainty Quantification in Simulation</x:v>
      </x:c>
    </x:row>
    <x:row r="63" ht="53" customHeight="1">
      <x:c r="A63" s="5" t="str">
        <x:v>PILOT-20261013-01-S04-006</x:v>
      </x:c>
      <x:c r="B63" s="5" t="str">
        <x:v>C0053</x:v>
      </x:c>
      <x:c r="C63" s="5" t="str">
        <x:v>Crossref pilot</x:v>
      </x:c>
      <x:c r="D63" s="5" t="str">
        <x:v>PILOT-20261013-01</x:v>
      </x:c>
      <x:c r="E63" s="5" t="str">
        <x:v>S04</x:v>
      </x:c>
      <x:c r="F63" s="5" t="n">
        <x:v>6</x:v>
      </x:c>
      <x:c r="G63" s="5" t="str">
        <x:v>10.1016/j.cie.2026.111898</x:v>
      </x:c>
      <x:c r="H63" s="5" t="str"/>
      <x:c r="I63" s="5" t="n">
        <x:v>0</x:v>
      </x:c>
      <x:c r="J63" s="5" t="str">
        <x:v>Self-supervised vision-language learning with uncertainty-guided strategic annotation for minimal-annotation defect detection</x:v>
      </x:c>
    </x:row>
    <x:row r="64" ht="40" customHeight="1">
      <x:c r="A64" s="5" t="str">
        <x:v>PILOT-20261013-01-S04-007</x:v>
      </x:c>
      <x:c r="B64" s="5" t="str">
        <x:v>C0054</x:v>
      </x:c>
      <x:c r="C64" s="5" t="str">
        <x:v>Crossref pilot</x:v>
      </x:c>
      <x:c r="D64" s="5" t="str">
        <x:v>PILOT-20261013-01</x:v>
      </x:c>
      <x:c r="E64" s="5" t="str">
        <x:v>S04</x:v>
      </x:c>
      <x:c r="F64" s="5" t="n">
        <x:v>7</x:v>
      </x:c>
      <x:c r="G64" s="5" t="str">
        <x:v>10.1007/s10921-024-01114-4</x:v>
      </x:c>
      <x:c r="H64" s="5" t="str"/>
      <x:c r="I64" s="5" t="n">
        <x:v>0</x:v>
      </x:c>
      <x:c r="J64" s="5" t="str">
        <x:v>Uncertainty Quantification and Sensitivity Analysis in Subsurface Defect Detection with Sparse Models</x:v>
      </x:c>
    </x:row>
    <x:row r="65" ht="40" customHeight="1">
      <x:c r="A65" s="5" t="str">
        <x:v>PILOT-20261013-01-S04-008</x:v>
      </x:c>
      <x:c r="B65" s="5" t="str">
        <x:v>C0055</x:v>
      </x:c>
      <x:c r="C65" s="5" t="str">
        <x:v>Crossref pilot</x:v>
      </x:c>
      <x:c r="D65" s="5" t="str">
        <x:v>PILOT-20261013-01</x:v>
      </x:c>
      <x:c r="E65" s="5" t="str">
        <x:v>S04</x:v>
      </x:c>
      <x:c r="F65" s="5" t="n">
        <x:v>8</x:v>
      </x:c>
      <x:c r="G65" s="5" t="str">
        <x:v>10.1007/s00371-026-04356-7</x:v>
      </x:c>
      <x:c r="H65" s="5" t="str"/>
      <x:c r="I65" s="5" t="n">
        <x:v>0</x:v>
      </x:c>
      <x:c r="J65" s="5" t="str">
        <x:v>QiddNet: enhancing industrial quartz defect detection via unsupervised reconstruction</x:v>
      </x:c>
    </x:row>
    <x:row r="66" ht="40" customHeight="1">
      <x:c r="A66" s="5" t="str">
        <x:v>PILOT-20261013-01-S04-009</x:v>
      </x:c>
      <x:c r="B66" s="5" t="str">
        <x:v>C0056</x:v>
      </x:c>
      <x:c r="C66" s="5" t="str">
        <x:v>Crossref pilot</x:v>
      </x:c>
      <x:c r="D66" s="5" t="str">
        <x:v>PILOT-20261013-01</x:v>
      </x:c>
      <x:c r="E66" s="5" t="str">
        <x:v>S04</x:v>
      </x:c>
      <x:c r="F66" s="5" t="n">
        <x:v>9</x:v>
      </x:c>
      <x:c r="G66" s="5" t="str">
        <x:v>10.1109/etfa61755.2024.10710823</x:v>
      </x:c>
      <x:c r="H66" s="5" t="str"/>
      <x:c r="I66" s="5" t="n">
        <x:v>0</x:v>
      </x:c>
      <x:c r="J66" s="5" t="str">
        <x:v>Visual Saliency Approaches for Defect Detection in Industrial Processes: A Short Review</x:v>
      </x:c>
    </x:row>
    <x:row r="67" ht="40" customHeight="1">
      <x:c r="A67" s="5" t="str">
        <x:v>PILOT-20261013-01-S04-010</x:v>
      </x:c>
      <x:c r="B67" s="5" t="str">
        <x:v>C0057</x:v>
      </x:c>
      <x:c r="C67" s="5" t="str">
        <x:v>Crossref pilot</x:v>
      </x:c>
      <x:c r="D67" s="5" t="str">
        <x:v>PILOT-20261013-01</x:v>
      </x:c>
      <x:c r="E67" s="5" t="str">
        <x:v>S04</x:v>
      </x:c>
      <x:c r="F67" s="5" t="n">
        <x:v>10</x:v>
      </x:c>
      <x:c r="G67" s="5" t="str">
        <x:v>10.1137/17m1155508</x:v>
      </x:c>
      <x:c r="H67" s="5" t="str"/>
      <x:c r="I67" s="5" t="n">
        <x:v>0</x:v>
      </x:c>
      <x:c r="J67" s="5" t="str">
        <x:v>Lurking Variable Detection via Dimensional Analysis</x:v>
      </x:c>
    </x:row>
    <x:row r="68" ht="40" customHeight="1">
      <x:c r="A68" s="5" t="str">
        <x:v>PILOT-20261013-01-S04-011</x:v>
      </x:c>
      <x:c r="B68" s="5" t="str">
        <x:v>C0058</x:v>
      </x:c>
      <x:c r="C68" s="5" t="str">
        <x:v>Crossref pilot</x:v>
      </x:c>
      <x:c r="D68" s="5" t="str">
        <x:v>PILOT-20261013-01</x:v>
      </x:c>
      <x:c r="E68" s="5" t="str">
        <x:v>S04</x:v>
      </x:c>
      <x:c r="F68" s="5" t="n">
        <x:v>11</x:v>
      </x:c>
      <x:c r="G68" s="5" t="str">
        <x:v>10.1137/15m1037275</x:v>
      </x:c>
      <x:c r="H68" s="5" t="str"/>
      <x:c r="I68" s="5" t="n">
        <x:v>0</x:v>
      </x:c>
      <x:c r="J68" s="5" t="str">
        <x:v>Predictive Algorithm for Detection of Microcracks from Macroscale Observables</x:v>
      </x:c>
    </x:row>
    <x:row r="69" ht="40" customHeight="1">
      <x:c r="A69" s="5" t="str">
        <x:v>PILOT-20261013-01-S04-012</x:v>
      </x:c>
      <x:c r="B69" s="5" t="str">
        <x:v>C0059</x:v>
      </x:c>
      <x:c r="C69" s="5" t="str">
        <x:v>Crossref pilot</x:v>
      </x:c>
      <x:c r="D69" s="5" t="str">
        <x:v>PILOT-20261013-01</x:v>
      </x:c>
      <x:c r="E69" s="5" t="str">
        <x:v>S04</x:v>
      </x:c>
      <x:c r="F69" s="5" t="n">
        <x:v>12</x:v>
      </x:c>
      <x:c r="G69" s="5" t="str">
        <x:v>10.1109/iai68403.2025.11277109</x:v>
      </x:c>
      <x:c r="H69" s="5" t="str"/>
      <x:c r="I69" s="5" t="n">
        <x:v>0</x:v>
      </x:c>
      <x:c r="J69" s="5" t="str">
        <x:v>A Modified Siamese Neural Network for Real-Time Visual Defect Detection in Manufacturing</x:v>
      </x:c>
    </x:row>
    <x:row r="70" ht="40" customHeight="1">
      <x:c r="A70" s="5" t="str">
        <x:v>PILOT-20261013-01-S04-013</x:v>
      </x:c>
      <x:c r="B70" s="5" t="str">
        <x:v>C0060</x:v>
      </x:c>
      <x:c r="C70" s="5" t="str">
        <x:v>Crossref pilot</x:v>
      </x:c>
      <x:c r="D70" s="5" t="str">
        <x:v>PILOT-20261013-01</x:v>
      </x:c>
      <x:c r="E70" s="5" t="str">
        <x:v>S04</x:v>
      </x:c>
      <x:c r="F70" s="5" t="n">
        <x:v>13</x:v>
      </x:c>
      <x:c r="G70" s="5" t="str">
        <x:v>10.7712/120223.10364.19705</x:v>
      </x:c>
      <x:c r="H70" s="5" t="str"/>
      <x:c r="I70" s="5" t="n">
        <x:v>0</x:v>
      </x:c>
      <x:c r="J70" s="5" t="str">
        <x:v>UNCERTAINTY QUANTIFICATION OF A INDUSTRIAL SCALE CFD APPLICATION USING STOCHASTIC SPECTRAL METHODS</x:v>
      </x:c>
    </x:row>
    <x:row r="71" ht="40" customHeight="1">
      <x:c r="A71" s="5" t="str">
        <x:v>PILOT-20261013-01-S04-014</x:v>
      </x:c>
      <x:c r="B71" s="5" t="str">
        <x:v>C0061</x:v>
      </x:c>
      <x:c r="C71" s="5" t="str">
        <x:v>Crossref pilot</x:v>
      </x:c>
      <x:c r="D71" s="5" t="str">
        <x:v>PILOT-20261013-01</x:v>
      </x:c>
      <x:c r="E71" s="5" t="str">
        <x:v>S04</x:v>
      </x:c>
      <x:c r="F71" s="5" t="n">
        <x:v>14</x:v>
      </x:c>
      <x:c r="G71" s="5" t="str">
        <x:v>10.1109/isceic67854.2025.11405498</x:v>
      </x:c>
      <x:c r="H71" s="5" t="str"/>
      <x:c r="I71" s="5" t="n">
        <x:v>0</x:v>
      </x:c>
      <x:c r="J71" s="5" t="str">
        <x:v>A Study on Industrial Defect Detection Methods Based on Multimodal (Visual-Sensor Data) Fusion</x:v>
      </x:c>
    </x:row>
    <x:row r="72" ht="40" customHeight="1">
      <x:c r="A72" s="5" t="str">
        <x:v>PILOT-20261013-01-S04-015</x:v>
      </x:c>
      <x:c r="B72" s="5" t="str">
        <x:v>C0062</x:v>
      </x:c>
      <x:c r="C72" s="5" t="str">
        <x:v>Crossref pilot</x:v>
      </x:c>
      <x:c r="D72" s="5" t="str">
        <x:v>PILOT-20261013-01</x:v>
      </x:c>
      <x:c r="E72" s="5" t="str">
        <x:v>S04</x:v>
      </x:c>
      <x:c r="F72" s="5" t="n">
        <x:v>15</x:v>
      </x:c>
      <x:c r="G72" s="5" t="str">
        <x:v>10.1007/s00371-024-03743-2</x:v>
      </x:c>
      <x:c r="H72" s="5" t="str"/>
      <x:c r="I72" s="5" t="n">
        <x:v>0</x:v>
      </x:c>
      <x:c r="J72" s="5" t="str">
        <x:v>Industrial surface defect detection by multi-scale Inpainting-GAN</x:v>
      </x:c>
    </x:row>
    <x:row r="73" ht="53" customHeight="1">
      <x:c r="A73" s="5" t="str">
        <x:v>PILOT-20261013-01-S04-016</x:v>
      </x:c>
      <x:c r="B73" s="5" t="str">
        <x:v>C0063</x:v>
      </x:c>
      <x:c r="C73" s="5" t="str">
        <x:v>Crossref pilot</x:v>
      </x:c>
      <x:c r="D73" s="5" t="str">
        <x:v>PILOT-20261013-01</x:v>
      </x:c>
      <x:c r="E73" s="5" t="str">
        <x:v>S04</x:v>
      </x:c>
      <x:c r="F73" s="5" t="n">
        <x:v>16</x:v>
      </x:c>
      <x:c r="G73" s="5" t="str">
        <x:v>10.6028/nist.ir.8298</x:v>
      </x:c>
      <x:c r="H73" s="5" t="str"/>
      <x:c r="I73" s="5" t="n">
        <x:v>0</x:v>
      </x:c>
      <x:c r="J73" s="5" t="str">
        <x:v>A summary of industrial verification, validation, and uncertainty quantification procedures in computational fluid dynamics.</x:v>
      </x:c>
    </x:row>
    <x:row r="74" ht="40" customHeight="1">
      <x:c r="A74" s="5" t="str">
        <x:v>PILOT-20261013-01-S04-017</x:v>
      </x:c>
      <x:c r="B74" s="5" t="str">
        <x:v>C0064</x:v>
      </x:c>
      <x:c r="C74" s="5" t="str">
        <x:v>Crossref pilot</x:v>
      </x:c>
      <x:c r="D74" s="5" t="str">
        <x:v>PILOT-20261013-01</x:v>
      </x:c>
      <x:c r="E74" s="5" t="str">
        <x:v>S04</x:v>
      </x:c>
      <x:c r="F74" s="5" t="n">
        <x:v>17</x:v>
      </x:c>
      <x:c r="G74" s="5" t="str">
        <x:v>10.1109/ichci63580.2024.10808080</x:v>
      </x:c>
      <x:c r="H74" s="5" t="str"/>
      <x:c r="I74" s="5" t="n">
        <x:v>0</x:v>
      </x:c>
      <x:c r="J74" s="5" t="str">
        <x:v>Active Learning in Industrial Defect Detection: A Dynamic Approach to Uncertainty and Representativeness</x:v>
      </x:c>
    </x:row>
    <x:row r="75" ht="40" customHeight="1">
      <x:c r="A75" s="5" t="str">
        <x:v>PILOT-20261013-01-S04-018</x:v>
      </x:c>
      <x:c r="B75" s="5" t="str">
        <x:v>C0065</x:v>
      </x:c>
      <x:c r="C75" s="5" t="str">
        <x:v>Crossref pilot</x:v>
      </x:c>
      <x:c r="D75" s="5" t="str">
        <x:v>PILOT-20261013-01</x:v>
      </x:c>
      <x:c r="E75" s="5" t="str">
        <x:v>S04</x:v>
      </x:c>
      <x:c r="F75" s="5" t="n">
        <x:v>18</x:v>
      </x:c>
      <x:c r="G75" s="5" t="str">
        <x:v>10.3390/s20185136</x:v>
      </x:c>
      <x:c r="H75" s="5" t="str"/>
      <x:c r="I75" s="5" t="n">
        <x:v>0</x:v>
      </x:c>
      <x:c r="J75" s="5" t="str">
        <x:v>Research Progress of Automated Visual Surface Defect Detection for Industrial Metal Planar Materials</x:v>
      </x:c>
    </x:row>
    <x:row r="76" ht="53" customHeight="1">
      <x:c r="A76" s="5" t="str">
        <x:v>PILOT-20261013-01-S04-019</x:v>
      </x:c>
      <x:c r="B76" s="5" t="str">
        <x:v>C0066</x:v>
      </x:c>
      <x:c r="C76" s="5" t="str">
        <x:v>Crossref pilot</x:v>
      </x:c>
      <x:c r="D76" s="5" t="str">
        <x:v>PILOT-20261013-01</x:v>
      </x:c>
      <x:c r="E76" s="5" t="str">
        <x:v>S04</x:v>
      </x:c>
      <x:c r="F76" s="5" t="n">
        <x:v>19</x:v>
      </x:c>
      <x:c r="G76" s="5" t="str">
        <x:v>10.1115/1.4049200</x:v>
      </x:c>
      <x:c r="H76" s="5" t="str"/>
      <x:c r="I76" s="5" t="n">
        <x:v>0</x:v>
      </x:c>
      <x:c r="J76" s="5" t="str">
        <x:v>Multi-Element Stochastic Galerkin Method Based on Edge Detection for Uncertainty Quantification of Discontinuous Responses</x:v>
      </x:c>
    </x:row>
    <x:row r="77" ht="53" customHeight="1">
      <x:c r="A77" s="5" t="str">
        <x:v>PILOT-20261013-01-S04-020</x:v>
      </x:c>
      <x:c r="B77" s="5" t="str">
        <x:v>C0067</x:v>
      </x:c>
      <x:c r="C77" s="5" t="str">
        <x:v>Crossref pilot</x:v>
      </x:c>
      <x:c r="D77" s="5" t="str">
        <x:v>PILOT-20261013-01</x:v>
      </x:c>
      <x:c r="E77" s="5" t="str">
        <x:v>S04</x:v>
      </x:c>
      <x:c r="F77" s="5" t="n">
        <x:v>20</x:v>
      </x:c>
      <x:c r="G77" s="5" t="str">
        <x:v>10.1016/j.autcon.2012.02.012</x:v>
      </x:c>
      <x:c r="H77" s="5" t="str"/>
      <x:c r="I77" s="5" t="n">
        <x:v>0</x:v>
      </x:c>
      <x:c r="J77" s="5" t="str">
        <x:v>Defect detection and quantification system to support subjective visual quality inspection via a digital image processing: A tiling work case study</x:v>
      </x:c>
    </x:row>
    <x:row r="78" ht="40" customHeight="1">
      <x:c r="A78" s="5" t="str">
        <x:v>PILOT-20261013-01-S04-021</x:v>
      </x:c>
      <x:c r="B78" s="5" t="str">
        <x:v>C0068</x:v>
      </x:c>
      <x:c r="C78" s="5" t="str">
        <x:v>Crossref pilot</x:v>
      </x:c>
      <x:c r="D78" s="5" t="str">
        <x:v>PILOT-20261013-01</x:v>
      </x:c>
      <x:c r="E78" s="5" t="str">
        <x:v>S04</x:v>
      </x:c>
      <x:c r="F78" s="5" t="n">
        <x:v>21</x:v>
      </x:c>
      <x:c r="G78" s="5" t="str">
        <x:v>10.1007/978-3-642-32677-6_3</x:v>
      </x:c>
      <x:c r="H78" s="5" t="str"/>
      <x:c r="I78" s="5" t="n">
        <x:v>0</x:v>
      </x:c>
      <x:c r="J78" s="5" t="str">
        <x:v>An Industrial Viewpoint on Uncertainty Quantification in Simulation: Stakes, Methods, Tools, Examples</x:v>
      </x:c>
    </x:row>
    <x:row r="79" ht="40" customHeight="1">
      <x:c r="A79" s="5" t="str">
        <x:v>PILOT-20261013-01-S04-022</x:v>
      </x:c>
      <x:c r="B79" s="5" t="str">
        <x:v>C0069</x:v>
      </x:c>
      <x:c r="C79" s="5" t="str">
        <x:v>Crossref pilot</x:v>
      </x:c>
      <x:c r="D79" s="5" t="str">
        <x:v>PILOT-20261013-01</x:v>
      </x:c>
      <x:c r="E79" s="5" t="str">
        <x:v>S04</x:v>
      </x:c>
      <x:c r="F79" s="5" t="n">
        <x:v>22</x:v>
      </x:c>
      <x:c r="G79" s="5" t="str">
        <x:v>10.1109/iarce68366.2025.11485676</x:v>
      </x:c>
      <x:c r="H79" s="5" t="str"/>
      <x:c r="I79" s="5" t="n">
        <x:v>0</x:v>
      </x:c>
      <x:c r="J79" s="5" t="str">
        <x:v>Monocular 3D Object Detection Algorithm Based on Uncertainty Quantification and Few-Shot Learning</x:v>
      </x:c>
    </x:row>
    <x:row r="80" ht="40" customHeight="1">
      <x:c r="A80" s="5" t="str">
        <x:v>PILOT-20261013-01-S04-023</x:v>
      </x:c>
      <x:c r="B80" s="5" t="str">
        <x:v>C0070</x:v>
      </x:c>
      <x:c r="C80" s="5" t="str">
        <x:v>Crossref pilot</x:v>
      </x:c>
      <x:c r="D80" s="5" t="str">
        <x:v>PILOT-20261013-01</x:v>
      </x:c>
      <x:c r="E80" s="5" t="str">
        <x:v>S04</x:v>
      </x:c>
      <x:c r="F80" s="5" t="n">
        <x:v>23</x:v>
      </x:c>
      <x:c r="G80" s="5" t="str">
        <x:v>10.2139/ssrn.7218460</x:v>
      </x:c>
      <x:c r="H80" s="5" t="str"/>
      <x:c r="I80" s="5" t="n">
        <x:v>0</x:v>
      </x:c>
      <x:c r="J80" s="5" t="str">
        <x:v>Tiny Defect-VQA: Mask-Grounded Edge Visual Question Answering for Industrial Surface Inspection</x:v>
      </x:c>
    </x:row>
    <x:row r="81" ht="40" customHeight="1">
      <x:c r="A81" s="5" t="str">
        <x:v>PILOT-20261013-01-S04-024</x:v>
      </x:c>
      <x:c r="B81" s="5" t="str">
        <x:v>C0071</x:v>
      </x:c>
      <x:c r="C81" s="5" t="str">
        <x:v>Crossref pilot</x:v>
      </x:c>
      <x:c r="D81" s="5" t="str">
        <x:v>PILOT-20261013-01</x:v>
      </x:c>
      <x:c r="E81" s="5" t="str">
        <x:v>S04</x:v>
      </x:c>
      <x:c r="F81" s="5" t="n">
        <x:v>24</x:v>
      </x:c>
      <x:c r="G81" s="5" t="str">
        <x:v>10.1115/gt2017-64845</x:v>
      </x:c>
      <x:c r="H81" s="5" t="str"/>
      <x:c r="I81" s="5" t="n">
        <x:v>0</x:v>
      </x:c>
      <x:c r="J81" s="5" t="str">
        <x:v>Toward Affordable Uncertainty Quantification for Industrial Problems: Part II — Turbomachinery Application</x:v>
      </x:c>
    </x:row>
    <x:row r="82" ht="40" customHeight="1">
      <x:c r="A82" s="5" t="str">
        <x:v>PILOT-20261013-01-S04-025</x:v>
      </x:c>
      <x:c r="B82" s="5" t="str">
        <x:v>C0072</x:v>
      </x:c>
      <x:c r="C82" s="5" t="str">
        <x:v>Crossref pilot</x:v>
      </x:c>
      <x:c r="D82" s="5" t="str">
        <x:v>PILOT-20261013-01</x:v>
      </x:c>
      <x:c r="E82" s="5" t="str">
        <x:v>S04</x:v>
      </x:c>
      <x:c r="F82" s="5" t="n">
        <x:v>25</x:v>
      </x:c>
      <x:c r="G82" s="5" t="str">
        <x:v>10.2139/ssrn.7218465</x:v>
      </x:c>
      <x:c r="H82" s="5" t="str"/>
      <x:c r="I82" s="5" t="n">
        <x:v>0</x:v>
      </x:c>
      <x:c r="J82" s="5" t="str">
        <x:v>Tiny Defect-VQA: Mask-Grounded Edge Visual Question Answering for Industrial Surface Inspection</x:v>
      </x:c>
    </x:row>
    <x:row r="83" ht="40" customHeight="1">
      <x:c r="A83" s="5" t="str">
        <x:v>PILOT-20261013-01-S05-001</x:v>
      </x:c>
      <x:c r="B83" s="5" t="str">
        <x:v>C0073</x:v>
      </x:c>
      <x:c r="C83" s="5" t="str">
        <x:v>Crossref pilot</x:v>
      </x:c>
      <x:c r="D83" s="5" t="str">
        <x:v>PILOT-20261013-01</x:v>
      </x:c>
      <x:c r="E83" s="5" t="str">
        <x:v>S05</x:v>
      </x:c>
      <x:c r="F83" s="5" t="n">
        <x:v>1</x:v>
      </x:c>
      <x:c r="G83" s="5" t="str">
        <x:v>10.2139/ssrn.5495023</x:v>
      </x:c>
      <x:c r="H83" s="5" t="str"/>
      <x:c r="I83" s="5" t="n">
        <x:v>0</x:v>
      </x:c>
      <x:c r="J83" s="5" t="str">
        <x:v>ViTranCoC: Vision Transformers and Conformal Calibration for Industrial Anomaly Detection</x:v>
      </x:c>
    </x:row>
    <x:row r="84" ht="40" customHeight="1">
      <x:c r="A84" s="5" t="str">
        <x:v>PILOT-20261013-01-S05-002</x:v>
      </x:c>
      <x:c r="B84" s="5" t="str">
        <x:v>C0074</x:v>
      </x:c>
      <x:c r="C84" s="5" t="str">
        <x:v>Crossref pilot</x:v>
      </x:c>
      <x:c r="D84" s="5" t="str">
        <x:v>PILOT-20261013-01</x:v>
      </x:c>
      <x:c r="E84" s="5" t="str">
        <x:v>S05</x:v>
      </x:c>
      <x:c r="F84" s="5" t="n">
        <x:v>2</x:v>
      </x:c>
      <x:c r="G84" s="5" t="str">
        <x:v>10.5220/0007555104310435</x:v>
      </x:c>
      <x:c r="H84" s="5" t="str"/>
      <x:c r="I84" s="5" t="n">
        <x:v>0</x:v>
      </x:c>
      <x:c r="J84" s="5" t="str">
        <x:v>Subgroup Anomaly Detection using High-confidence Rules: Application to Healthcare Data</x:v>
      </x:c>
    </x:row>
    <x:row r="85" ht="53" customHeight="1">
      <x:c r="A85" s="5" t="str">
        <x:v>PILOT-20261013-01-S05-003</x:v>
      </x:c>
      <x:c r="B85" s="5" t="str">
        <x:v>C0075</x:v>
      </x:c>
      <x:c r="C85" s="5" t="str">
        <x:v>Crossref pilot</x:v>
      </x:c>
      <x:c r="D85" s="5" t="str">
        <x:v>PILOT-20261013-01</x:v>
      </x:c>
      <x:c r="E85" s="5" t="str">
        <x:v>S05</x:v>
      </x:c>
      <x:c r="F85" s="5" t="n">
        <x:v>3</x:v>
      </x:c>
      <x:c r="G85" s="5" t="str">
        <x:v>10.52783/tangence.19</x:v>
      </x:c>
      <x:c r="H85" s="5" t="str"/>
      <x:c r="I85" s="5" t="n">
        <x:v>0</x:v>
      </x:c>
      <x:c r="J85" s="5" t="str">
        <x:v>Benchmarking YOLOv4–YOLOv11 for Autonomous Driving: Small-Object Detection, Adverse Conditions and Confidence Calibration</x:v>
      </x:c>
    </x:row>
    <x:row r="86" ht="53" customHeight="1">
      <x:c r="A86" s="5" t="str">
        <x:v>PILOT-20261013-01-S05-004</x:v>
      </x:c>
      <x:c r="B86" s="5" t="str">
        <x:v>C0076</x:v>
      </x:c>
      <x:c r="C86" s="5" t="str">
        <x:v>Crossref pilot</x:v>
      </x:c>
      <x:c r="D86" s="5" t="str">
        <x:v>PILOT-20261013-01</x:v>
      </x:c>
      <x:c r="E86" s="5" t="str">
        <x:v>S05</x:v>
      </x:c>
      <x:c r="F86" s="5" t="n">
        <x:v>4</x:v>
      </x:c>
      <x:c r="G86" s="5" t="str">
        <x:v>10.1109/aiea70743.2026.11632327</x:v>
      </x:c>
      <x:c r="H86" s="5" t="str"/>
      <x:c r="I86" s="5" t="n">
        <x:v>0</x:v>
      </x:c>
      <x:c r="J86" s="5" t="str">
        <x:v>FTF-GRU-AE: A Calibration-Aware Frequency-Recurrent Autoencoder for Lightweight Industrial Time-Series Anomaly Detection</x:v>
      </x:c>
    </x:row>
    <x:row r="87" ht="40" customHeight="1">
      <x:c r="A87" s="5" t="str">
        <x:v>PILOT-20261013-01-S05-005</x:v>
      </x:c>
      <x:c r="B87" s="5" t="str">
        <x:v>C0077</x:v>
      </x:c>
      <x:c r="C87" s="5" t="str">
        <x:v>Crossref pilot</x:v>
      </x:c>
      <x:c r="D87" s="5" t="str">
        <x:v>PILOT-20261013-01</x:v>
      </x:c>
      <x:c r="E87" s="5" t="str">
        <x:v>S05</x:v>
      </x:c>
      <x:c r="F87" s="5" t="n">
        <x:v>5</x:v>
      </x:c>
      <x:c r="G87" s="5" t="str">
        <x:v>10.2139/ssrn.7385366</x:v>
      </x:c>
      <x:c r="H87" s="5" t="str"/>
      <x:c r="I87" s="5" t="n">
        <x:v>0</x:v>
      </x:c>
      <x:c r="J87" s="5" t="str">
        <x:v>Calibration Design for Reliable False-Alarm Control in Benign-Trained UAV Anomaly Detection</x:v>
      </x:c>
    </x:row>
    <x:row r="88" ht="40" customHeight="1">
      <x:c r="A88" s="5" t="str">
        <x:v>PILOT-20261013-01-S05-006</x:v>
      </x:c>
      <x:c r="B88" s="5" t="str">
        <x:v>C0018</x:v>
      </x:c>
      <x:c r="C88" s="5" t="str">
        <x:v>Crossref pilot</x:v>
      </x:c>
      <x:c r="D88" s="5" t="str">
        <x:v>PILOT-20261013-01</x:v>
      </x:c>
      <x:c r="E88" s="5" t="str">
        <x:v>S05</x:v>
      </x:c>
      <x:c r="F88" s="5" t="n">
        <x:v>6</x:v>
      </x:c>
      <x:c r="G88" s="5" t="str">
        <x:v>10.5220/0006835502850293</x:v>
      </x:c>
      <x:c r="H88" s="5" t="str">
        <x:v>PILOT-20261013-01-S01-018</x:v>
      </x:c>
      <x:c r="I88" s="5" t="n">
        <x:v>1</x:v>
      </x:c>
      <x:c r="J88" s="5" t="str">
        <x:v>Anomaly Detection for Industrial Big Data</x:v>
      </x:c>
    </x:row>
    <x:row r="89" ht="40" customHeight="1">
      <x:c r="A89" s="5" t="str">
        <x:v>PILOT-20261013-01-S05-007</x:v>
      </x:c>
      <x:c r="B89" s="5" t="str">
        <x:v>C0024</x:v>
      </x:c>
      <x:c r="C89" s="5" t="str">
        <x:v>Crossref pilot</x:v>
      </x:c>
      <x:c r="D89" s="5" t="str">
        <x:v>PILOT-20261013-01</x:v>
      </x:c>
      <x:c r="E89" s="5" t="str">
        <x:v>S05</x:v>
      </x:c>
      <x:c r="F89" s="5" t="n">
        <x:v>7</x:v>
      </x:c>
      <x:c r="G89" s="5" t="str">
        <x:v>10.51202/9783186886101</x:v>
      </x:c>
      <x:c r="H89" s="5" t="str">
        <x:v>PILOT-20261013-01-S01-024</x:v>
      </x:c>
      <x:c r="I89" s="5" t="n">
        <x:v>1</x:v>
      </x:c>
      <x:c r="J89" s="5" t="str">
        <x:v>Industrial Anomaly Detection with Normalizing Flows</x:v>
      </x:c>
    </x:row>
    <x:row r="90" ht="40" customHeight="1">
      <x:c r="A90" s="5" t="str">
        <x:v>PILOT-20261013-01-S05-008</x:v>
      </x:c>
      <x:c r="B90" s="5" t="str">
        <x:v>C0078</x:v>
      </x:c>
      <x:c r="C90" s="5" t="str">
        <x:v>Crossref pilot</x:v>
      </x:c>
      <x:c r="D90" s="5" t="str">
        <x:v>PILOT-20261013-01</x:v>
      </x:c>
      <x:c r="E90" s="5" t="str">
        <x:v>S05</x:v>
      </x:c>
      <x:c r="F90" s="5" t="n">
        <x:v>8</x:v>
      </x:c>
      <x:c r="G90" s="5" t="str">
        <x:v>10.2139/ssrn.4926307</x:v>
      </x:c>
      <x:c r="H90" s="5" t="str"/>
      <x:c r="I90" s="5" t="n">
        <x:v>0</x:v>
      </x:c>
      <x:c r="J90" s="5" t="str">
        <x:v>Unsupervised Anomaly Detection with a Temporal Continuation, Confidence-Aware Vae-Gan</x:v>
      </x:c>
    </x:row>
    <x:row r="91" ht="53" customHeight="1">
      <x:c r="A91" s="5" t="str">
        <x:v>PILOT-20261013-01-S05-009</x:v>
      </x:c>
      <x:c r="B91" s="5" t="str">
        <x:v>C0079</x:v>
      </x:c>
      <x:c r="C91" s="5" t="str">
        <x:v>Crossref pilot</x:v>
      </x:c>
      <x:c r="D91" s="5" t="str">
        <x:v>PILOT-20261013-01</x:v>
      </x:c>
      <x:c r="E91" s="5" t="str">
        <x:v>S05</x:v>
      </x:c>
      <x:c r="F91" s="5" t="n">
        <x:v>9</x:v>
      </x:c>
      <x:c r="G91" s="5" t="str">
        <x:v>10.2139/ssrn.6836289</x:v>
      </x:c>
      <x:c r="H91" s="5" t="str"/>
      <x:c r="I91" s="5" t="n">
        <x:v>0</x:v>
      </x:c>
      <x:c r="J91" s="5" t="str">
        <x:v>Confident Detection: Unmanned Aerial Vehicles Anomaly Detection under Data Contamination via Uncertainty Calibration</x:v>
      </x:c>
    </x:row>
    <x:row r="92" ht="40" customHeight="1">
      <x:c r="A92" s="5" t="str">
        <x:v>PILOT-20261013-01-S05-010</x:v>
      </x:c>
      <x:c r="B92" s="5" t="str">
        <x:v>C0080</x:v>
      </x:c>
      <x:c r="C92" s="5" t="str">
        <x:v>Crossref pilot</x:v>
      </x:c>
      <x:c r="D92" s="5" t="str">
        <x:v>PILOT-20261013-01</x:v>
      </x:c>
      <x:c r="E92" s="5" t="str">
        <x:v>S05</x:v>
      </x:c>
      <x:c r="F92" s="5" t="n">
        <x:v>10</x:v>
      </x:c>
      <x:c r="G92" s="5" t="str">
        <x:v>10.70729/se26625132621</x:v>
      </x:c>
      <x:c r="H92" s="5" t="str"/>
      <x:c r="I92" s="5" t="n">
        <x:v>0</x:v>
      </x:c>
      <x:c r="J92" s="5" t="str">
        <x:v>LMF-Core: A Training-Free Coreset for Industrial Anomaly Detection</x:v>
      </x:c>
    </x:row>
    <x:row r="93" ht="40" customHeight="1">
      <x:c r="A93" s="5" t="str">
        <x:v>PILOT-20261013-01-S05-011</x:v>
      </x:c>
      <x:c r="B93" s="5" t="str">
        <x:v>C0081</x:v>
      </x:c>
      <x:c r="C93" s="5" t="str">
        <x:v>Crossref pilot</x:v>
      </x:c>
      <x:c r="D93" s="5" t="str">
        <x:v>PILOT-20261013-01</x:v>
      </x:c>
      <x:c r="E93" s="5" t="str">
        <x:v>S05</x:v>
      </x:c>
      <x:c r="F93" s="5" t="n">
        <x:v>11</x:v>
      </x:c>
      <x:c r="G93" s="5" t="str">
        <x:v>10.2139/ssrn.7541070</x:v>
      </x:c>
      <x:c r="H93" s="5" t="str"/>
      <x:c r="I93" s="5" t="n">
        <x:v>0</x:v>
      </x:c>
      <x:c r="J93" s="5" t="str">
        <x:v>Cross-modal prior-guided sampling with coverage-aware score calibration for 3D industrial anomaly localization</x:v>
      </x:c>
    </x:row>
    <x:row r="94" ht="40" customHeight="1">
      <x:c r="A94" s="5" t="str">
        <x:v>PILOT-20261013-01-S05-012</x:v>
      </x:c>
      <x:c r="B94" s="5" t="str">
        <x:v>C0082</x:v>
      </x:c>
      <x:c r="C94" s="5" t="str">
        <x:v>Crossref pilot</x:v>
      </x:c>
      <x:c r="D94" s="5" t="str">
        <x:v>PILOT-20261013-01</x:v>
      </x:c>
      <x:c r="E94" s="5" t="str">
        <x:v>S05</x:v>
      </x:c>
      <x:c r="F94" s="5" t="n">
        <x:v>12</x:v>
      </x:c>
      <x:c r="G94" s="5" t="str">
        <x:v>10.2139/ssrn.7242909</x:v>
      </x:c>
      <x:c r="H94" s="5" t="str"/>
      <x:c r="I94" s="5" t="n">
        <x:v>0</x:v>
      </x:c>
      <x:c r="J94" s="5" t="str">
        <x:v>Adaptive Calibration-Aware Anomaly Detection for Encrypted QUIC Traffic</x:v>
      </x:c>
    </x:row>
    <x:row r="95" ht="40" customHeight="1">
      <x:c r="A95" s="5" t="str">
        <x:v>PILOT-20261013-01-S05-013</x:v>
      </x:c>
      <x:c r="B95" s="5" t="str">
        <x:v>C0083</x:v>
      </x:c>
      <x:c r="C95" s="5" t="str">
        <x:v>Crossref pilot</x:v>
      </x:c>
      <x:c r="D95" s="5" t="str">
        <x:v>PILOT-20261013-01</x:v>
      </x:c>
      <x:c r="E95" s="5" t="str">
        <x:v>S05</x:v>
      </x:c>
      <x:c r="F95" s="5" t="n">
        <x:v>13</x:v>
      </x:c>
      <x:c r="G95" s="5" t="str">
        <x:v>10.1016/j.hcc.2024.100207</x:v>
      </x:c>
      <x:c r="H95" s="5" t="str"/>
      <x:c r="I95" s="5" t="n">
        <x:v>0</x:v>
      </x:c>
      <x:c r="J95" s="5" t="str">
        <x:v>Traffic anomaly detection algorithm for CAN bus using similarity analysis</x:v>
      </x:c>
    </x:row>
    <x:row r="96" ht="53" customHeight="1">
      <x:c r="A96" s="5" t="str">
        <x:v>PILOT-20261013-01-S05-014</x:v>
      </x:c>
      <x:c r="B96" s="5" t="str">
        <x:v>C0084</x:v>
      </x:c>
      <x:c r="C96" s="5" t="str">
        <x:v>Crossref pilot</x:v>
      </x:c>
      <x:c r="D96" s="5" t="str">
        <x:v>PILOT-20261013-01</x:v>
      </x:c>
      <x:c r="E96" s="5" t="str">
        <x:v>S05</x:v>
      </x:c>
      <x:c r="F96" s="5" t="n">
        <x:v>14</x:v>
      </x:c>
      <x:c r="G96" s="5" t="str">
        <x:v>10.2139/ssrn.7122619</x:v>
      </x:c>
      <x:c r="H96" s="5" t="str"/>
      <x:c r="I96" s="5" t="n">
        <x:v>0</x:v>
      </x:c>
      <x:c r="J96" s="5" t="str">
        <x:v>Confident Detection: Unmanned Aerial Vehicles Anomaly Detection under Data Contamination via Uncertainty Calibration</x:v>
      </x:c>
    </x:row>
    <x:row r="97" ht="40" customHeight="1">
      <x:c r="A97" s="5" t="str">
        <x:v>PILOT-20261013-01-S05-015</x:v>
      </x:c>
      <x:c r="B97" s="5" t="str">
        <x:v>C0085</x:v>
      </x:c>
      <x:c r="C97" s="5" t="str">
        <x:v>Crossref pilot</x:v>
      </x:c>
      <x:c r="D97" s="5" t="str">
        <x:v>PILOT-20261013-01</x:v>
      </x:c>
      <x:c r="E97" s="5" t="str">
        <x:v>S05</x:v>
      </x:c>
      <x:c r="F97" s="5" t="n">
        <x:v>15</x:v>
      </x:c>
      <x:c r="G97" s="5" t="str">
        <x:v>10.5220/0013583700004664</x:v>
      </x:c>
      <x:c r="H97" s="5" t="str"/>
      <x:c r="I97" s="5" t="n">
        <x:v>0</x:v>
      </x:c>
      <x:c r="J97" s="5" t="str">
        <x:v>Predictive Monitoring and Anomaly Detection in Industrial Systems</x:v>
      </x:c>
    </x:row>
    <x:row r="98" ht="53" customHeight="1">
      <x:c r="A98" s="5" t="str">
        <x:v>PILOT-20261013-01-S05-016</x:v>
      </x:c>
      <x:c r="B98" s="5" t="str">
        <x:v>C0086</x:v>
      </x:c>
      <x:c r="C98" s="5" t="str">
        <x:v>Crossref pilot</x:v>
      </x:c>
      <x:c r="D98" s="5" t="str">
        <x:v>PILOT-20261013-01</x:v>
      </x:c>
      <x:c r="E98" s="5" t="str">
        <x:v>S05</x:v>
      </x:c>
      <x:c r="F98" s="5" t="n">
        <x:v>16</x:v>
      </x:c>
      <x:c r="G98" s="5" t="str">
        <x:v>10.2139/ssrn.6679301</x:v>
      </x:c>
      <x:c r="H98" s="5" t="str"/>
      <x:c r="I98" s="5" t="n">
        <x:v>0</x:v>
      </x:c>
      <x:c r="J98" s="5" t="str">
        <x:v>DUC-Former: Dynamic Uncertainty Calibration with Neural Architecture Search for Weakly Supervised Video Anomaly Detection</x:v>
      </x:c>
    </x:row>
    <x:row r="99" ht="40" customHeight="1">
      <x:c r="A99" s="5" t="str">
        <x:v>PILOT-20261013-01-S05-017</x:v>
      </x:c>
      <x:c r="B99" s="5" t="str">
        <x:v>C0087</x:v>
      </x:c>
      <x:c r="C99" s="5" t="str">
        <x:v>Crossref pilot</x:v>
      </x:c>
      <x:c r="D99" s="5" t="str">
        <x:v>PILOT-20261013-01</x:v>
      </x:c>
      <x:c r="E99" s="5" t="str">
        <x:v>S05</x:v>
      </x:c>
      <x:c r="F99" s="5" t="n">
        <x:v>17</x:v>
      </x:c>
      <x:c r="G99" s="5" t="str">
        <x:v>10.1109/iai63275.2024.10730509</x:v>
      </x:c>
      <x:c r="H99" s="5" t="str"/>
      <x:c r="I99" s="5" t="n">
        <x:v>0</x:v>
      </x:c>
      <x:c r="J99" s="5" t="str">
        <x:v>A Powerful Object Detection Network for Industrial Anomaly Detection</x:v>
      </x:c>
    </x:row>
    <x:row r="100" ht="53" customHeight="1">
      <x:c r="A100" s="5" t="str">
        <x:v>PILOT-20261013-01-S05-018</x:v>
      </x:c>
      <x:c r="B100" s="5" t="str">
        <x:v>C0088</x:v>
      </x:c>
      <x:c r="C100" s="5" t="str">
        <x:v>Crossref pilot</x:v>
      </x:c>
      <x:c r="D100" s="5" t="str">
        <x:v>PILOT-20261013-01</x:v>
      </x:c>
      <x:c r="E100" s="5" t="str">
        <x:v>S05</x:v>
      </x:c>
      <x:c r="F100" s="5" t="n">
        <x:v>18</x:v>
      </x:c>
      <x:c r="G100" s="5" t="str">
        <x:v>10.1109/ojcoms.2024.3511951</x:v>
      </x:c>
      <x:c r="H100" s="5" t="str"/>
      <x:c r="I100" s="5" t="n">
        <x:v>0</x:v>
      </x:c>
      <x:c r="J100" s="5" t="str">
        <x:v>Unsupervised Multivariate Time Series Data Anomaly Detection in Industrial IoT: A Confidence Adversarial Autoencoder Network</x:v>
      </x:c>
    </x:row>
    <x:row r="101" ht="40" customHeight="1">
      <x:c r="A101" s="5" t="str">
        <x:v>PILOT-20261013-01-S05-019</x:v>
      </x:c>
      <x:c r="B101" s="5" t="str">
        <x:v>C0089</x:v>
      </x:c>
      <x:c r="C101" s="5" t="str">
        <x:v>Crossref pilot</x:v>
      </x:c>
      <x:c r="D101" s="5" t="str">
        <x:v>PILOT-20261013-01</x:v>
      </x:c>
      <x:c r="E101" s="5" t="str">
        <x:v>S05</x:v>
      </x:c>
      <x:c r="F101" s="5" t="n">
        <x:v>19</x:v>
      </x:c>
      <x:c r="G101" s="5" t="str">
        <x:v>10.21203/rs.3.rs-9925157/v1</x:v>
      </x:c>
      <x:c r="H101" s="5" t="str"/>
      <x:c r="I101" s="5" t="n">
        <x:v>0</x:v>
      </x:c>
      <x:c r="J101" s="5" t="str">
        <x:v>Boundary-Aware Structural-Semantic Pseudo Anomaly Learning for Industrial Anomaly Detection</x:v>
      </x:c>
    </x:row>
    <x:row r="102" ht="40" customHeight="1">
      <x:c r="A102" s="5" t="str">
        <x:v>PILOT-20261013-01-S05-020</x:v>
      </x:c>
      <x:c r="B102" s="5" t="str">
        <x:v>C0090</x:v>
      </x:c>
      <x:c r="C102" s="5" t="str">
        <x:v>Crossref pilot</x:v>
      </x:c>
      <x:c r="D102" s="5" t="str">
        <x:v>PILOT-20261013-01</x:v>
      </x:c>
      <x:c r="E102" s="5" t="str">
        <x:v>S05</x:v>
      </x:c>
      <x:c r="F102" s="5" t="n">
        <x:v>20</x:v>
      </x:c>
      <x:c r="G102" s="5" t="str">
        <x:v>10.5220/0006755405810588</x:v>
      </x:c>
      <x:c r="H102" s="5" t="str"/>
      <x:c r="I102" s="5" t="n">
        <x:v>0</x:v>
      </x:c>
      <x:c r="J102" s="5" t="str">
        <x:v>Attacks on Industrial Control Systems - Modeling and Anomaly Detection</x:v>
      </x:c>
    </x:row>
    <x:row r="103" ht="40" customHeight="1">
      <x:c r="A103" s="5" t="str">
        <x:v>PILOT-20261013-01-S05-021</x:v>
      </x:c>
      <x:c r="B103" s="5" t="str">
        <x:v>C0091</x:v>
      </x:c>
      <x:c r="C103" s="5" t="str">
        <x:v>Crossref pilot</x:v>
      </x:c>
      <x:c r="D103" s="5" t="str">
        <x:v>PILOT-20261013-01</x:v>
      </x:c>
      <x:c r="E103" s="5" t="str">
        <x:v>S05</x:v>
      </x:c>
      <x:c r="F103" s="5" t="n">
        <x:v>21</x:v>
      </x:c>
      <x:c r="G103" s="5" t="str">
        <x:v>10.33774/coe-2026-lgqh5-v3</x:v>
      </x:c>
      <x:c r="H103" s="5" t="str"/>
      <x:c r="I103" s="5" t="n">
        <x:v>0</x:v>
      </x:c>
      <x:c r="J103" s="5" t="str">
        <x:v>Trivariate Normal Distribution in Machine Learning for Industrial Anomaly Detection</x:v>
      </x:c>
    </x:row>
    <x:row r="104" ht="40" customHeight="1">
      <x:c r="A104" s="5" t="str">
        <x:v>PILOT-20261013-01-S05-022</x:v>
      </x:c>
      <x:c r="B104" s="5" t="str">
        <x:v>C0092</x:v>
      </x:c>
      <x:c r="C104" s="5" t="str">
        <x:v>Crossref pilot</x:v>
      </x:c>
      <x:c r="D104" s="5" t="str">
        <x:v>PILOT-20261013-01</x:v>
      </x:c>
      <x:c r="E104" s="5" t="str">
        <x:v>S05</x:v>
      </x:c>
      <x:c r="F104" s="5" t="n">
        <x:v>22</x:v>
      </x:c>
      <x:c r="G104" s="5" t="str">
        <x:v>10.2139/ssrn.6923115</x:v>
      </x:c>
      <x:c r="H104" s="5" t="str"/>
      <x:c r="I104" s="5" t="n">
        <x:v>0</x:v>
      </x:c>
      <x:c r="J104" s="5" t="str">
        <x:v>Feature Disentanglement and Confidence-Aware MIL for Weakly Supervised Video Anomaly Detection</x:v>
      </x:c>
    </x:row>
    <x:row r="105" ht="40" customHeight="1">
      <x:c r="A105" s="5" t="str">
        <x:v>PILOT-20261013-01-S05-023</x:v>
      </x:c>
      <x:c r="B105" s="5" t="str">
        <x:v>C0093</x:v>
      </x:c>
      <x:c r="C105" s="5" t="str">
        <x:v>Crossref pilot</x:v>
      </x:c>
      <x:c r="D105" s="5" t="str">
        <x:v>PILOT-20261013-01</x:v>
      </x:c>
      <x:c r="E105" s="5" t="str">
        <x:v>S05</x:v>
      </x:c>
      <x:c r="F105" s="5" t="n">
        <x:v>23</x:v>
      </x:c>
      <x:c r="G105" s="5" t="str">
        <x:v>10.51202/9783186886101-115</x:v>
      </x:c>
      <x:c r="H105" s="5" t="str"/>
      <x:c r="I105" s="5" t="n">
        <x:v>0</x:v>
      </x:c>
      <x:c r="J105" s="5" t="str">
        <x:v>Bibliography</x:v>
      </x:c>
    </x:row>
    <x:row r="106" ht="40" customHeight="1">
      <x:c r="A106" s="5" t="str">
        <x:v>PILOT-20261013-01-S05-024</x:v>
      </x:c>
      <x:c r="B106" s="5" t="str">
        <x:v>C0001</x:v>
      </x:c>
      <x:c r="C106" s="5" t="str">
        <x:v>Crossref pilot</x:v>
      </x:c>
      <x:c r="D106" s="5" t="str">
        <x:v>PILOT-20261013-01</x:v>
      </x:c>
      <x:c r="E106" s="5" t="str">
        <x:v>S05</x:v>
      </x:c>
      <x:c r="F106" s="5" t="n">
        <x:v>24</x:v>
      </x:c>
      <x:c r="G106" s="5" t="str">
        <x:v>10.2139/ssrn.7230717</x:v>
      </x:c>
      <x:c r="H106" s="5" t="str">
        <x:v>PILOT-20261013-01-S01-001</x:v>
      </x:c>
      <x:c r="I106" s="5" t="n">
        <x:v>1</x:v>
      </x:c>
      <x:c r="J106" s="5" t="str">
        <x:v>Calibrated few-shot industrial anomaly detection with frozen visual features</x:v>
      </x:c>
    </x:row>
    <x:row r="107" ht="40" customHeight="1">
      <x:c r="A107" s="5" t="str">
        <x:v>PILOT-20261013-01-S05-025</x:v>
      </x:c>
      <x:c r="B107" s="5" t="str">
        <x:v>C0094</x:v>
      </x:c>
      <x:c r="C107" s="5" t="str">
        <x:v>Crossref pilot</x:v>
      </x:c>
      <x:c r="D107" s="5" t="str">
        <x:v>PILOT-20261013-01</x:v>
      </x:c>
      <x:c r="E107" s="5" t="str">
        <x:v>S05</x:v>
      </x:c>
      <x:c r="F107" s="5" t="n">
        <x:v>25</x:v>
      </x:c>
      <x:c r="G107" s="5" t="str">
        <x:v>10.33774/coe-2026-3bzkc</x:v>
      </x:c>
      <x:c r="H107" s="5" t="str"/>
      <x:c r="I107" s="5" t="n">
        <x:v>0</x:v>
      </x:c>
      <x:c r="J107" s="5" t="str">
        <x:v>Machine Learning for Industrial Anomaly Detection: A Probabilistic Intelligence Approach</x:v>
      </x:c>
    </x:row>
    <x:row r="108" ht="40" customHeight="1">
      <x:c r="A108" s="5" t="str">
        <x:v>PILOT-20261013-01-S07-001</x:v>
      </x:c>
      <x:c r="B108" s="5" t="str">
        <x:v>C0095</x:v>
      </x:c>
      <x:c r="C108" s="5" t="str">
        <x:v>Crossref pilot</x:v>
      </x:c>
      <x:c r="D108" s="5" t="str">
        <x:v>PILOT-20261013-01</x:v>
      </x:c>
      <x:c r="E108" s="5" t="str">
        <x:v>S07</x:v>
      </x:c>
      <x:c r="F108" s="5" t="n">
        <x:v>1</x:v>
      </x:c>
      <x:c r="G108" s="5" t="str">
        <x:v>10.3850/978-981-94-3281-3_esrel-sra-e2025-p4806-cd</x:v>
      </x:c>
      <x:c r="H108" s="5" t="str"/>
      <x:c r="I108" s="5" t="n">
        <x:v>0</x:v>
      </x:c>
      <x:c r="J108" s="5" t="str">
        <x:v>Trustworthy Anomaly Detection for Industrial Control Systems via Conformal Deep Autoencoder</x:v>
      </x:c>
    </x:row>
    <x:row r="109" ht="40" customHeight="1">
      <x:c r="A109" s="5" t="str">
        <x:v>PILOT-20261013-01-S07-002</x:v>
      </x:c>
      <x:c r="B109" s="5" t="str">
        <x:v>C0096</x:v>
      </x:c>
      <x:c r="C109" s="5" t="str">
        <x:v>Crossref pilot</x:v>
      </x:c>
      <x:c r="D109" s="5" t="str">
        <x:v>PILOT-20261013-01</x:v>
      </x:c>
      <x:c r="E109" s="5" t="str">
        <x:v>S07</x:v>
      </x:c>
      <x:c r="F109" s="5" t="n">
        <x:v>2</x:v>
      </x:c>
      <x:c r="G109" s="5" t="str">
        <x:v>10.1109/isi65680.2025.11201206</x:v>
      </x:c>
      <x:c r="H109" s="5" t="str"/>
      <x:c r="I109" s="5" t="n">
        <x:v>0</x:v>
      </x:c>
      <x:c r="J109" s="5" t="str">
        <x:v>CRC-SGAD: Conformal Risk Control for Supervised Graph Anomaly Detection</x:v>
      </x:c>
    </x:row>
    <x:row r="110" ht="40" customHeight="1">
      <x:c r="A110" s="5" t="str">
        <x:v>PILOT-20261013-01-S07-003</x:v>
      </x:c>
      <x:c r="B110" s="5" t="str">
        <x:v>C0073</x:v>
      </x:c>
      <x:c r="C110" s="5" t="str">
        <x:v>Crossref pilot</x:v>
      </x:c>
      <x:c r="D110" s="5" t="str">
        <x:v>PILOT-20261013-01</x:v>
      </x:c>
      <x:c r="E110" s="5" t="str">
        <x:v>S07</x:v>
      </x:c>
      <x:c r="F110" s="5" t="n">
        <x:v>3</x:v>
      </x:c>
      <x:c r="G110" s="5" t="str">
        <x:v>10.2139/ssrn.5495023</x:v>
      </x:c>
      <x:c r="H110" s="5" t="str">
        <x:v>PILOT-20261013-01-S05-001</x:v>
      </x:c>
      <x:c r="I110" s="5" t="n">
        <x:v>1</x:v>
      </x:c>
      <x:c r="J110" s="5" t="str">
        <x:v>ViTranCoC: Vision Transformers and Conformal Calibration for Industrial Anomaly Detection</x:v>
      </x:c>
    </x:row>
    <x:row r="111" ht="40" customHeight="1">
      <x:c r="A111" s="5" t="str">
        <x:v>PILOT-20261013-01-S07-004</x:v>
      </x:c>
      <x:c r="B111" s="5" t="str">
        <x:v>C0090</x:v>
      </x:c>
      <x:c r="C111" s="5" t="str">
        <x:v>Crossref pilot</x:v>
      </x:c>
      <x:c r="D111" s="5" t="str">
        <x:v>PILOT-20261013-01</x:v>
      </x:c>
      <x:c r="E111" s="5" t="str">
        <x:v>S07</x:v>
      </x:c>
      <x:c r="F111" s="5" t="n">
        <x:v>4</x:v>
      </x:c>
      <x:c r="G111" s="5" t="str">
        <x:v>10.5220/0006755405810588</x:v>
      </x:c>
      <x:c r="H111" s="5" t="str">
        <x:v>PILOT-20261013-01-S05-020</x:v>
      </x:c>
      <x:c r="I111" s="5" t="n">
        <x:v>1</x:v>
      </x:c>
      <x:c r="J111" s="5" t="str">
        <x:v>Attacks on Industrial Control Systems - Modeling and Anomaly Detection</x:v>
      </x:c>
    </x:row>
    <x:row r="112" ht="40" customHeight="1">
      <x:c r="A112" s="5" t="str">
        <x:v>PILOT-20261013-01-S07-005</x:v>
      </x:c>
      <x:c r="B112" s="5" t="str">
        <x:v>C0097</x:v>
      </x:c>
      <x:c r="C112" s="5" t="str">
        <x:v>Crossref pilot</x:v>
      </x:c>
      <x:c r="D112" s="5" t="str">
        <x:v>PILOT-20261013-01</x:v>
      </x:c>
      <x:c r="E112" s="5" t="str">
        <x:v>S07</x:v>
      </x:c>
      <x:c r="F112" s="5" t="n">
        <x:v>5</x:v>
      </x:c>
      <x:c r="G112" s="5" t="str">
        <x:v>10.2139/ssrn.5364505</x:v>
      </x:c>
      <x:c r="H112" s="5" t="str"/>
      <x:c r="I112" s="5" t="n">
        <x:v>0</x:v>
      </x:c>
      <x:c r="J112" s="5" t="str">
        <x:v>Edge-AI Enabled Anomaly Detection in Industrial Control Systems: A Lightweight Approach</x:v>
      </x:c>
    </x:row>
    <x:row r="113" ht="40" customHeight="1">
      <x:c r="A113" s="5" t="str">
        <x:v>PILOT-20261013-01-S07-006</x:v>
      </x:c>
      <x:c r="B113" s="5" t="str">
        <x:v>C0098</x:v>
      </x:c>
      <x:c r="C113" s="5" t="str">
        <x:v>Crossref pilot</x:v>
      </x:c>
      <x:c r="D113" s="5" t="str">
        <x:v>PILOT-20261013-01</x:v>
      </x:c>
      <x:c r="E113" s="5" t="str">
        <x:v>S07</x:v>
      </x:c>
      <x:c r="F113" s="5" t="n">
        <x:v>6</x:v>
      </x:c>
      <x:c r="G113" s="5" t="str">
        <x:v>10.2139/ssrn.7578377</x:v>
      </x:c>
      <x:c r="H113" s="5" t="str"/>
      <x:c r="I113" s="5" t="n">
        <x:v>0</x:v>
      </x:c>
      <x:c r="J113" s="5" t="str">
        <x:v>Online Conformal Risk Control for Streaming Detection under Frame Skipping and Drift</x:v>
      </x:c>
    </x:row>
    <x:row r="114" ht="40" customHeight="1">
      <x:c r="A114" s="5" t="str">
        <x:v>PILOT-20261013-01-S07-007</x:v>
      </x:c>
      <x:c r="B114" s="5" t="str">
        <x:v>C0099</x:v>
      </x:c>
      <x:c r="C114" s="5" t="str">
        <x:v>Crossref pilot</x:v>
      </x:c>
      <x:c r="D114" s="5" t="str">
        <x:v>PILOT-20261013-01</x:v>
      </x:c>
      <x:c r="E114" s="5" t="str">
        <x:v>S07</x:v>
      </x:c>
      <x:c r="F114" s="5" t="n">
        <x:v>7</x:v>
      </x:c>
      <x:c r="G114" s="5" t="str">
        <x:v>10.1016/b978-0-12-398537-8.00004-3</x:v>
      </x:c>
      <x:c r="H114" s="5" t="str"/>
      <x:c r="I114" s="5" t="n">
        <x:v>0</x:v>
      </x:c>
      <x:c r="J114" s="5" t="str">
        <x:v>Anomaly Detection</x:v>
      </x:c>
    </x:row>
    <x:row r="115" ht="40" customHeight="1">
      <x:c r="A115" s="5" t="str">
        <x:v>PILOT-20261013-01-S07-008</x:v>
      </x:c>
      <x:c r="B115" s="5" t="str">
        <x:v>C0100</x:v>
      </x:c>
      <x:c r="C115" s="5" t="str">
        <x:v>Crossref pilot</x:v>
      </x:c>
      <x:c r="D115" s="5" t="str">
        <x:v>PILOT-20261013-01</x:v>
      </x:c>
      <x:c r="E115" s="5" t="str">
        <x:v>S07</x:v>
      </x:c>
      <x:c r="F115" s="5" t="n">
        <x:v>8</x:v>
      </x:c>
      <x:c r="G115" s="5" t="str">
        <x:v>10.5220/0012264000003584</x:v>
      </x:c>
      <x:c r="H115" s="5" t="str"/>
      <x:c r="I115" s="5" t="n">
        <x:v>0</x:v>
      </x:c>
      <x:c r="J115" s="5" t="str">
        <x:v>An Attention-Based Deep Generative Model for Anomaly Detection in Industrial Control Systems</x:v>
      </x:c>
    </x:row>
    <x:row r="116" ht="40" customHeight="1">
      <x:c r="A116" s="5" t="str">
        <x:v>PILOT-20261013-01-S07-009</x:v>
      </x:c>
      <x:c r="B116" s="5" t="str">
        <x:v>C0101</x:v>
      </x:c>
      <x:c r="C116" s="5" t="str">
        <x:v>Crossref pilot</x:v>
      </x:c>
      <x:c r="D116" s="5" t="str">
        <x:v>PILOT-20261013-01</x:v>
      </x:c>
      <x:c r="E116" s="5" t="str">
        <x:v>S07</x:v>
      </x:c>
      <x:c r="F116" s="5" t="n">
        <x:v>9</x:v>
      </x:c>
      <x:c r="G116" s="5" t="str">
        <x:v>10.2139/ssrn.7429764</x:v>
      </x:c>
      <x:c r="H116" s="5" t="str"/>
      <x:c r="I116" s="5" t="n">
        <x:v>0</x:v>
      </x:c>
      <x:c r="J116" s="5" t="str">
        <x:v>Multi-Scale Transformer for Time Series Anomaly Detection Across Server and Industrial Control Domains ​</x:v>
      </x:c>
    </x:row>
    <x:row r="117" ht="40" customHeight="1">
      <x:c r="A117" s="5" t="str">
        <x:v>PILOT-20261013-01-S07-010</x:v>
      </x:c>
      <x:c r="B117" s="5" t="str">
        <x:v>C0102</x:v>
      </x:c>
      <x:c r="C117" s="5" t="str">
        <x:v>Crossref pilot</x:v>
      </x:c>
      <x:c r="D117" s="5" t="str">
        <x:v>PILOT-20261013-01</x:v>
      </x:c>
      <x:c r="E117" s="5" t="str">
        <x:v>S07</x:v>
      </x:c>
      <x:c r="F117" s="5" t="n">
        <x:v>10</x:v>
      </x:c>
      <x:c r="G117" s="5" t="str">
        <x:v>10.1145/3689930.3695211</x:v>
      </x:c>
      <x:c r="H117" s="5" t="str"/>
      <x:c r="I117" s="5" t="n">
        <x:v>0</x:v>
      </x:c>
      <x:c r="J117" s="5" t="str">
        <x:v>Comparison of Industrial Control System Anomaly Detection Methods</x:v>
      </x:c>
    </x:row>
    <x:row r="118" ht="40" customHeight="1">
      <x:c r="A118" s="5" t="str">
        <x:v>PILOT-20261013-01-S07-011</x:v>
      </x:c>
      <x:c r="B118" s="5" t="str">
        <x:v>C0103</x:v>
      </x:c>
      <x:c r="C118" s="5" t="str">
        <x:v>Crossref pilot</x:v>
      </x:c>
      <x:c r="D118" s="5" t="str">
        <x:v>PILOT-20261013-01</x:v>
      </x:c>
      <x:c r="E118" s="5" t="str">
        <x:v>S07</x:v>
      </x:c>
      <x:c r="F118" s="5" t="n">
        <x:v>11</x:v>
      </x:c>
      <x:c r="G118" s="5" t="str">
        <x:v>10.5220/0013178100003912</x:v>
      </x:c>
      <x:c r="H118" s="5" t="str"/>
      <x:c r="I118" s="5" t="n">
        <x:v>0</x:v>
      </x:c>
      <x:c r="J118" s="5" t="str">
        <x:v>Self-Supervised Iterative Refinement for Anomaly Detection in Industrial Quality Control</x:v>
      </x:c>
    </x:row>
    <x:row r="119" ht="40" customHeight="1">
      <x:c r="A119" s="5" t="str">
        <x:v>PILOT-20261013-01-S07-012</x:v>
      </x:c>
      <x:c r="B119" s="5" t="str">
        <x:v>C0032</x:v>
      </x:c>
      <x:c r="C119" s="5" t="str">
        <x:v>Crossref pilot</x:v>
      </x:c>
      <x:c r="D119" s="5" t="str">
        <x:v>PILOT-20261013-01</x:v>
      </x:c>
      <x:c r="E119" s="5" t="str">
        <x:v>S07</x:v>
      </x:c>
      <x:c r="F119" s="5" t="n">
        <x:v>12</x:v>
      </x:c>
      <x:c r="G119" s="5" t="str">
        <x:v>10.2139/ssrn.7446051</x:v>
      </x:c>
      <x:c r="H119" s="5" t="str">
        <x:v>PILOT-20261013-01-S03-009</x:v>
      </x:c>
      <x:c r="I119" s="5" t="n">
        <x:v>1</x:v>
      </x:c>
      <x:c r="J119" s="5" t="str">
        <x:v>Multi-Domain Anomaly Detection for Advanced Persistent Threat Detection in Industrial Control Systems</x:v>
      </x:c>
    </x:row>
    <x:row r="120" ht="40" customHeight="1">
      <x:c r="A120" s="5" t="str">
        <x:v>PILOT-20261013-01-S07-013</x:v>
      </x:c>
      <x:c r="B120" s="5" t="str">
        <x:v>C0104</x:v>
      </x:c>
      <x:c r="C120" s="5" t="str">
        <x:v>Crossref pilot</x:v>
      </x:c>
      <x:c r="D120" s="5" t="str">
        <x:v>PILOT-20261013-01</x:v>
      </x:c>
      <x:c r="E120" s="5" t="str">
        <x:v>S07</x:v>
      </x:c>
      <x:c r="F120" s="5" t="n">
        <x:v>13</x:v>
      </x:c>
      <x:c r="G120" s="5" t="str">
        <x:v>10.1109/icmla.2016.0049</x:v>
      </x:c>
      <x:c r="H120" s="5" t="str"/>
      <x:c r="I120" s="5" t="n">
        <x:v>0</x:v>
      </x:c>
      <x:c r="J120" s="5" t="str">
        <x:v>Distributed Conformal Anomaly Detection</x:v>
      </x:c>
    </x:row>
    <x:row r="121" ht="40" customHeight="1">
      <x:c r="A121" s="5" t="str">
        <x:v>PILOT-20261013-01-S07-014</x:v>
      </x:c>
      <x:c r="B121" s="5" t="str">
        <x:v>C0105</x:v>
      </x:c>
      <x:c r="C121" s="5" t="str">
        <x:v>Crossref pilot</x:v>
      </x:c>
      <x:c r="D121" s="5" t="str">
        <x:v>PILOT-20261013-01</x:v>
      </x:c>
      <x:c r="E121" s="5" t="str">
        <x:v>S07</x:v>
      </x:c>
      <x:c r="F121" s="5" t="n">
        <x:v>14</x:v>
      </x:c>
      <x:c r="G121" s="5" t="str">
        <x:v>10.71443/9789349552043-16</x:v>
      </x:c>
      <x:c r="H121" s="5" t="str"/>
      <x:c r="I121" s="5" t="n">
        <x:v>0</x:v>
      </x:c>
      <x:c r="J121" s="5" t="str">
        <x:v>AI Based Security Solutions for Industrial Control Systems and SCADA Networks</x:v>
      </x:c>
    </x:row>
    <x:row r="122" ht="40" customHeight="1">
      <x:c r="A122" s="5" t="str">
        <x:v>PILOT-20261013-01-S07-015</x:v>
      </x:c>
      <x:c r="B122" s="5" t="str">
        <x:v>C0106</x:v>
      </x:c>
      <x:c r="C122" s="5" t="str">
        <x:v>Crossref pilot</x:v>
      </x:c>
      <x:c r="D122" s="5" t="str">
        <x:v>PILOT-20261013-01</x:v>
      </x:c>
      <x:c r="E122" s="5" t="str">
        <x:v>S07</x:v>
      </x:c>
      <x:c r="F122" s="5" t="n">
        <x:v>15</x:v>
      </x:c>
      <x:c r="G122" s="5" t="str">
        <x:v>10.1109/icit64854.2026.11491028</x:v>
      </x:c>
      <x:c r="H122" s="5" t="str"/>
      <x:c r="I122" s="5" t="n">
        <x:v>0</x:v>
      </x:c>
      <x:c r="J122" s="5" t="str">
        <x:v>Automatic Instrumentation of PLC Programs for Anomaly Detection in Industrial Control Systems</x:v>
      </x:c>
    </x:row>
    <x:row r="123" ht="40" customHeight="1">
      <x:c r="A123" s="5" t="str">
        <x:v>PILOT-20261013-01-S07-016</x:v>
      </x:c>
      <x:c r="B123" s="5" t="str">
        <x:v>C0107</x:v>
      </x:c>
      <x:c r="C123" s="5" t="str">
        <x:v>Crossref pilot</x:v>
      </x:c>
      <x:c r="D123" s="5" t="str">
        <x:v>PILOT-20261013-01</x:v>
      </x:c>
      <x:c r="E123" s="5" t="str">
        <x:v>S07</x:v>
      </x:c>
      <x:c r="F123" s="5" t="n">
        <x:v>16</x:v>
      </x:c>
      <x:c r="G123" s="5" t="str">
        <x:v>10.3390/electronics13010158</x:v>
      </x:c>
      <x:c r="H123" s="5" t="str"/>
      <x:c r="I123" s="5" t="n">
        <x:v>0</x:v>
      </x:c>
      <x:c r="J123" s="5" t="str">
        <x:v>Dynamic Data Abstraction-Based Anomaly Detection for Industrial Control Systems</x:v>
      </x:c>
    </x:row>
    <x:row r="124" ht="40" customHeight="1">
      <x:c r="A124" s="5" t="str">
        <x:v>PILOT-20261013-01-S07-017</x:v>
      </x:c>
      <x:c r="B124" s="5" t="str">
        <x:v>C0108</x:v>
      </x:c>
      <x:c r="C124" s="5" t="str">
        <x:v>Crossref pilot</x:v>
      </x:c>
      <x:c r="D124" s="5" t="str">
        <x:v>PILOT-20261013-01</x:v>
      </x:c>
      <x:c r="E124" s="5" t="str">
        <x:v>S07</x:v>
      </x:c>
      <x:c r="F124" s="5" t="n">
        <x:v>17</x:v>
      </x:c>
      <x:c r="G124" s="5" t="str">
        <x:v>10.1016/j.ress.2026.112417</x:v>
      </x:c>
      <x:c r="H124" s="5" t="str"/>
      <x:c r="I124" s="5" t="n">
        <x:v>0</x:v>
      </x:c>
      <x:c r="J124" s="5" t="str">
        <x:v>Conformal machine learning for reliable anomaly detection in industrial cyber-physical systems</x:v>
      </x:c>
    </x:row>
    <x:row r="125" ht="40" customHeight="1">
      <x:c r="A125" s="5" t="str">
        <x:v>PILOT-20261013-01-S07-018</x:v>
      </x:c>
      <x:c r="B125" s="5" t="str">
        <x:v>C0109</x:v>
      </x:c>
      <x:c r="C125" s="5" t="str">
        <x:v>Crossref pilot</x:v>
      </x:c>
      <x:c r="D125" s="5" t="str">
        <x:v>PILOT-20261013-01</x:v>
      </x:c>
      <x:c r="E125" s="5" t="str">
        <x:v>S07</x:v>
      </x:c>
      <x:c r="F125" s="5" t="n">
        <x:v>18</x:v>
      </x:c>
      <x:c r="G125" s="5" t="str">
        <x:v>10.1109/vcc63113.2024.10914427</x:v>
      </x:c>
      <x:c r="H125" s="5" t="str"/>
      <x:c r="I125" s="5" t="n">
        <x:v>0</x:v>
      </x:c>
      <x:c r="J125" s="5" t="str">
        <x:v>Intelligent Anomaly Detection System for Industrial Control Systems</x:v>
      </x:c>
    </x:row>
    <x:row r="126" ht="40" customHeight="1">
      <x:c r="A126" s="5" t="str">
        <x:v>PILOT-20261013-01-S07-019</x:v>
      </x:c>
      <x:c r="B126" s="5" t="str">
        <x:v>C0110</x:v>
      </x:c>
      <x:c r="C126" s="5" t="str">
        <x:v>Crossref pilot</x:v>
      </x:c>
      <x:c r="D126" s="5" t="str">
        <x:v>PILOT-20261013-01</x:v>
      </x:c>
      <x:c r="E126" s="5" t="str">
        <x:v>S07</x:v>
      </x:c>
      <x:c r="F126" s="5" t="n">
        <x:v>19</x:v>
      </x:c>
      <x:c r="G126" s="5" t="str">
        <x:v>10.2139/ssrn.5367630</x:v>
      </x:c>
      <x:c r="H126" s="5" t="str"/>
      <x:c r="I126" s="5" t="n">
        <x:v>0</x:v>
      </x:c>
      <x:c r="J126" s="5" t="str">
        <x:v>A Decoupled Spatio-Temporal Autoencoder for Anomaly Detection in Industrial Control Systems</x:v>
      </x:c>
    </x:row>
    <x:row r="127" ht="40" customHeight="1">
      <x:c r="A127" s="5" t="str">
        <x:v>PILOT-20261013-01-S07-020</x:v>
      </x:c>
      <x:c r="B127" s="5" t="str">
        <x:v>C0111</x:v>
      </x:c>
      <x:c r="C127" s="5" t="str">
        <x:v>Crossref pilot</x:v>
      </x:c>
      <x:c r="D127" s="5" t="str">
        <x:v>PILOT-20261013-01</x:v>
      </x:c>
      <x:c r="E127" s="5" t="str">
        <x:v>S07</x:v>
      </x:c>
      <x:c r="F127" s="5" t="n">
        <x:v>20</x:v>
      </x:c>
      <x:c r="G127" s="5" t="str">
        <x:v>10.1016/j.conengprac.2024.106164</x:v>
      </x:c>
      <x:c r="H127" s="5" t="str"/>
      <x:c r="I127" s="5" t="n">
        <x:v>0</x:v>
      </x:c>
      <x:c r="J127" s="5" t="str">
        <x:v>Anomaly detection using invariant rules in Industrial Control Systems</x:v>
      </x:c>
    </x:row>
    <x:row r="128" ht="53" customHeight="1">
      <x:c r="A128" s="5" t="str">
        <x:v>PILOT-20261013-01-S07-021</x:v>
      </x:c>
      <x:c r="B128" s="5" t="str">
        <x:v>C0112</x:v>
      </x:c>
      <x:c r="C128" s="5" t="str">
        <x:v>Crossref pilot</x:v>
      </x:c>
      <x:c r="D128" s="5" t="str">
        <x:v>PILOT-20261013-01</x:v>
      </x:c>
      <x:c r="E128" s="5" t="str">
        <x:v>S07</x:v>
      </x:c>
      <x:c r="F128" s="5" t="n">
        <x:v>21</x:v>
      </x:c>
      <x:c r="G128" s="5" t="str">
        <x:v>10.2139/ssrn.6996737</x:v>
      </x:c>
      <x:c r="H128" s="5" t="str"/>
      <x:c r="I128" s="5" t="n">
        <x:v>0</x:v>
      </x:c>
      <x:c r="J128" s="5" t="str">
        <x:v>Redundancy-Aware Incremental Learning for Scalable Anomaly Detection in Resource-Constrained Industrial Control Systems</x:v>
      </x:c>
    </x:row>
    <x:row r="129" ht="40" customHeight="1">
      <x:c r="A129" s="5" t="str">
        <x:v>PILOT-20261013-01-S07-022</x:v>
      </x:c>
      <x:c r="B129" s="5" t="str">
        <x:v>C0113</x:v>
      </x:c>
      <x:c r="C129" s="5" t="str">
        <x:v>Crossref pilot</x:v>
      </x:c>
      <x:c r="D129" s="5" t="str">
        <x:v>PILOT-20261013-01</x:v>
      </x:c>
      <x:c r="E129" s="5" t="str">
        <x:v>S07</x:v>
      </x:c>
      <x:c r="F129" s="5" t="n">
        <x:v>22</x:v>
      </x:c>
      <x:c r="G129" s="5" t="str">
        <x:v>10.1016/j.eswa.2022.116864</x:v>
      </x:c>
      <x:c r="H129" s="5" t="str"/>
      <x:c r="I129" s="5" t="n">
        <x:v>0</x:v>
      </x:c>
      <x:c r="J129" s="5" t="str">
        <x:v>A conformal anomaly detection based industrial fleet monitoring framework: A case study in district heating</x:v>
      </x:c>
    </x:row>
    <x:row r="130" ht="40" customHeight="1">
      <x:c r="A130" s="5" t="str">
        <x:v>PILOT-20261013-01-S07-023</x:v>
      </x:c>
      <x:c r="B130" s="5" t="str">
        <x:v>C0114</x:v>
      </x:c>
      <x:c r="C130" s="5" t="str">
        <x:v>Crossref pilot</x:v>
      </x:c>
      <x:c r="D130" s="5" t="str">
        <x:v>PILOT-20261013-01</x:v>
      </x:c>
      <x:c r="E130" s="5" t="str">
        <x:v>S07</x:v>
      </x:c>
      <x:c r="F130" s="5" t="n">
        <x:v>23</x:v>
      </x:c>
      <x:c r="G130" s="5" t="str">
        <x:v>10.23919/ccc58697.2023.10241095</x:v>
      </x:c>
      <x:c r="H130" s="5" t="str"/>
      <x:c r="I130" s="5" t="n">
        <x:v>0</x:v>
      </x:c>
      <x:c r="J130" s="5" t="str">
        <x:v>Deep Learning-Based Anomaly Detection for Time-Series Data in Industrial Control Systems</x:v>
      </x:c>
    </x:row>
    <x:row r="131" ht="40" customHeight="1">
      <x:c r="A131" s="5" t="str">
        <x:v>PILOT-20261013-01-S07-024</x:v>
      </x:c>
      <x:c r="B131" s="5" t="str">
        <x:v>C0115</x:v>
      </x:c>
      <x:c r="C131" s="5" t="str">
        <x:v>Crossref pilot</x:v>
      </x:c>
      <x:c r="D131" s="5" t="str">
        <x:v>PILOT-20261013-01</x:v>
      </x:c>
      <x:c r="E131" s="5" t="str">
        <x:v>S07</x:v>
      </x:c>
      <x:c r="F131" s="5" t="n">
        <x:v>24</x:v>
      </x:c>
      <x:c r="G131" s="5" t="str">
        <x:v>10.1109/redundancy68069.2025.11301475</x:v>
      </x:c>
      <x:c r="H131" s="5" t="str"/>
      <x:c r="I131" s="5" t="n">
        <x:v>0</x:v>
      </x:c>
      <x:c r="J131" s="5" t="str">
        <x:v>Adaptive Aggregation for Distributed Industrial Control Systems Anomaly Detection</x:v>
      </x:c>
    </x:row>
    <x:row r="132" ht="40" customHeight="1">
      <x:c r="A132" s="5" t="str">
        <x:v>PILOT-20261013-01-S07-025</x:v>
      </x:c>
      <x:c r="B132" s="5" t="str">
        <x:v>C0116</x:v>
      </x:c>
      <x:c r="C132" s="5" t="str">
        <x:v>Crossref pilot</x:v>
      </x:c>
      <x:c r="D132" s="5" t="str">
        <x:v>PILOT-20261013-01</x:v>
      </x:c>
      <x:c r="E132" s="5" t="str">
        <x:v>S07</x:v>
      </x:c>
      <x:c r="F132" s="5" t="n">
        <x:v>25</x:v>
      </x:c>
      <x:c r="G132" s="5" t="str">
        <x:v>10.1117/12.3122767</x:v>
      </x:c>
      <x:c r="H132" s="5" t="str"/>
      <x:c r="I132" s="5" t="n">
        <x:v>0</x:v>
      </x:c>
      <x:c r="J132" s="5" t="str">
        <x:v>Multiprototype representation and controllable anomaly generation for industrial anomaly detection</x:v>
      </x:c>
    </x:row>
    <x:row r="133" ht="40" customHeight="1">
      <x:c r="A133" s="5" t="str">
        <x:v>PILOT-20261013-01-S08-001</x:v>
      </x:c>
      <x:c r="B133" s="5" t="str">
        <x:v>C0117</x:v>
      </x:c>
      <x:c r="C133" s="5" t="str">
        <x:v>Crossref pilot</x:v>
      </x:c>
      <x:c r="D133" s="5" t="str">
        <x:v>PILOT-20261013-01</x:v>
      </x:c>
      <x:c r="E133" s="5" t="str">
        <x:v>S08</x:v>
      </x:c>
      <x:c r="F133" s="5" t="n">
        <x:v>1</x:v>
      </x:c>
      <x:c r="G133" s="5" t="str">
        <x:v>10.1201/9781003230373-34</x:v>
      </x:c>
      <x:c r="H133" s="5" t="str"/>
      <x:c r="I133" s="5" t="n">
        <x:v>0</x:v>
      </x:c>
      <x:c r="J133" s="5" t="str">
        <x:v>Corrosion detection with computer vision and deep learning</x:v>
      </x:c>
    </x:row>
    <x:row r="134" ht="40" customHeight="1">
      <x:c r="A134" s="5" t="str">
        <x:v>PILOT-20261013-01-S08-002</x:v>
      </x:c>
      <x:c r="B134" s="5" t="str">
        <x:v>C0118</x:v>
      </x:c>
      <x:c r="C134" s="5" t="str">
        <x:v>Crossref pilot</x:v>
      </x:c>
      <x:c r="D134" s="5" t="str">
        <x:v>PILOT-20261013-01</x:v>
      </x:c>
      <x:c r="E134" s="5" t="str">
        <x:v>S08</x:v>
      </x:c>
      <x:c r="F134" s="5" t="n">
        <x:v>2</x:v>
      </x:c>
      <x:c r="G134" s="5" t="str">
        <x:v>10.5121/csit.2016.60608</x:v>
      </x:c>
      <x:c r="H134" s="5" t="str"/>
      <x:c r="I134" s="5" t="n">
        <x:v>0</x:v>
      </x:c>
      <x:c r="J134" s="5" t="str">
        <x:v>Corrosion Detection Using A.I : A Comparison of Standard Computer Vision Techniques and Deep Learning Model</x:v>
      </x:c>
    </x:row>
    <x:row r="135" ht="40" customHeight="1">
      <x:c r="A135" s="5" t="str">
        <x:v>PILOT-20261013-01-S08-003</x:v>
      </x:c>
      <x:c r="B135" s="5" t="str">
        <x:v>C0119</x:v>
      </x:c>
      <x:c r="C135" s="5" t="str">
        <x:v>Crossref pilot</x:v>
      </x:c>
      <x:c r="D135" s="5" t="str">
        <x:v>PILOT-20261013-01</x:v>
      </x:c>
      <x:c r="E135" s="5" t="str">
        <x:v>S08</x:v>
      </x:c>
      <x:c r="F135" s="5" t="n">
        <x:v>3</x:v>
      </x:c>
      <x:c r="G135" s="5" t="str">
        <x:v>10.51903/bxvt9389</x:v>
      </x:c>
      <x:c r="H135" s="5" t="str"/>
      <x:c r="I135" s="5" t="n">
        <x:v>0</x:v>
      </x:c>
      <x:c r="J135" s="5" t="str">
        <x:v>Deep Learning-Based Road Damage Detection and Classification Using Computer Vision</x:v>
      </x:c>
    </x:row>
    <x:row r="136" ht="40" customHeight="1">
      <x:c r="A136" s="5" t="str">
        <x:v>PILOT-20261013-01-S08-004</x:v>
      </x:c>
      <x:c r="B136" s="5" t="str">
        <x:v>C0120</x:v>
      </x:c>
      <x:c r="C136" s="5" t="str">
        <x:v>Crossref pilot</x:v>
      </x:c>
      <x:c r="D136" s="5" t="str">
        <x:v>PILOT-20261013-01</x:v>
      </x:c>
      <x:c r="E136" s="5" t="str">
        <x:v>S08</x:v>
      </x:c>
      <x:c r="F136" s="5" t="n">
        <x:v>4</x:v>
      </x:c>
      <x:c r="G136" s="5" t="str">
        <x:v>10.1007/s42107-023-00684-4</x:v>
      </x:c>
      <x:c r="H136" s="5" t="str"/>
      <x:c r="I136" s="5" t="n">
        <x:v>0</x:v>
      </x:c>
      <x:c r="J136" s="5" t="str">
        <x:v>Automated corrosion detection using deep learning and computer vision</x:v>
      </x:c>
    </x:row>
    <x:row r="137" ht="40" customHeight="1">
      <x:c r="A137" s="5" t="str">
        <x:v>PILOT-20261013-01-S08-005</x:v>
      </x:c>
      <x:c r="B137" s="5" t="str">
        <x:v>C0121</x:v>
      </x:c>
      <x:c r="C137" s="5" t="str">
        <x:v>Crossref pilot</x:v>
      </x:c>
      <x:c r="D137" s="5" t="str">
        <x:v>PILOT-20261013-01</x:v>
      </x:c>
      <x:c r="E137" s="5" t="str">
        <x:v>S08</x:v>
      </x:c>
      <x:c r="F137" s="5" t="n">
        <x:v>5</x:v>
      </x:c>
      <x:c r="G137" s="5" t="str">
        <x:v>10.1007/978-1-4842-6616-8_5</x:v>
      </x:c>
      <x:c r="H137" s="5" t="str"/>
      <x:c r="I137" s="5" t="n">
        <x:v>0</x:v>
      </x:c>
      <x:c r="J137" s="5" t="str">
        <x:v>Object Detection Using Deep Learning</x:v>
      </x:c>
    </x:row>
    <x:row r="138" ht="40" customHeight="1">
      <x:c r="A138" s="5" t="str">
        <x:v>PILOT-20261013-01-S08-006</x:v>
      </x:c>
      <x:c r="B138" s="5" t="str">
        <x:v>C0122</x:v>
      </x:c>
      <x:c r="C138" s="5" t="str">
        <x:v>Crossref pilot</x:v>
      </x:c>
      <x:c r="D138" s="5" t="str">
        <x:v>PILOT-20261013-01</x:v>
      </x:c>
      <x:c r="E138" s="5" t="str">
        <x:v>S08</x:v>
      </x:c>
      <x:c r="F138" s="5" t="n">
        <x:v>6</x:v>
      </x:c>
      <x:c r="G138" s="5" t="str">
        <x:v>10.14293/s2199-1006.1.sor-uncat.clzwyuz.v1</x:v>
      </x:c>
      <x:c r="H138" s="5" t="str"/>
      <x:c r="I138" s="5" t="n">
        <x:v>0</x:v>
      </x:c>
      <x:c r="J138" s="5" t="str">
        <x:v>Computer Vision, Deep Learning, Deep Reinforcement Learning</x:v>
      </x:c>
    </x:row>
    <x:row r="139" ht="40" customHeight="1">
      <x:c r="A139" s="5" t="str">
        <x:v>PILOT-20261013-01-S08-007</x:v>
      </x:c>
      <x:c r="B139" s="5" t="str">
        <x:v>C0123</x:v>
      </x:c>
      <x:c r="C139" s="5" t="str">
        <x:v>Crossref pilot</x:v>
      </x:c>
      <x:c r="D139" s="5" t="str">
        <x:v>PILOT-20261013-01</x:v>
      </x:c>
      <x:c r="E139" s="5" t="str">
        <x:v>S08</x:v>
      </x:c>
      <x:c r="F139" s="5" t="n">
        <x:v>7</x:v>
      </x:c>
      <x:c r="G139" s="5" t="str">
        <x:v>10.1109/cvidl70130.2026.11637584</x:v>
      </x:c>
      <x:c r="H139" s="5" t="str"/>
      <x:c r="I139" s="5" t="n">
        <x:v>0</x:v>
      </x:c>
      <x:c r="J139" s="5" t="str">
        <x:v>Research Review on Deep Learning Based Target Detection Methods</x:v>
      </x:c>
    </x:row>
    <x:row r="140" ht="40" customHeight="1">
      <x:c r="A140" s="5" t="str">
        <x:v>PILOT-20261013-01-S08-008</x:v>
      </x:c>
      <x:c r="B140" s="5" t="str">
        <x:v>C0124</x:v>
      </x:c>
      <x:c r="C140" s="5" t="str">
        <x:v>Crossref pilot</x:v>
      </x:c>
      <x:c r="D140" s="5" t="str">
        <x:v>PILOT-20261013-01</x:v>
      </x:c>
      <x:c r="E140" s="5" t="str">
        <x:v>S08</x:v>
      </x:c>
      <x:c r="F140" s="5" t="n">
        <x:v>8</x:v>
      </x:c>
      <x:c r="G140" s="5" t="str">
        <x:v>10.5220/0009168005060513</x:v>
      </x:c>
      <x:c r="H140" s="5" t="str"/>
      <x:c r="I140" s="5" t="n">
        <x:v>0</x:v>
      </x:c>
      <x:c r="J140" s="5" t="str">
        <x:v>Defect Detection using Deep Learning from Minimal Annotations</x:v>
      </x:c>
    </x:row>
    <x:row r="141" ht="40" customHeight="1">
      <x:c r="A141" s="5" t="str">
        <x:v>PILOT-20261013-01-S08-009</x:v>
      </x:c>
      <x:c r="B141" s="5" t="str">
        <x:v>C0125</x:v>
      </x:c>
      <x:c r="C141" s="5" t="str">
        <x:v>Crossref pilot</x:v>
      </x:c>
      <x:c r="D141" s="5" t="str">
        <x:v>PILOT-20261013-01</x:v>
      </x:c>
      <x:c r="E141" s="5" t="str">
        <x:v>S08</x:v>
      </x:c>
      <x:c r="F141" s="5" t="n">
        <x:v>9</x:v>
      </x:c>
      <x:c r="G141" s="5" t="str">
        <x:v>10.5220/0007248601810190</x:v>
      </x:c>
      <x:c r="H141" s="5" t="str"/>
      <x:c r="I141" s="5" t="n">
        <x:v>0</x:v>
      </x:c>
      <x:c r="J141" s="5" t="str">
        <x:v>Active Learning for Deep Object Detection</x:v>
      </x:c>
    </x:row>
    <x:row r="142" ht="40" customHeight="1">
      <x:c r="A142" s="5" t="str">
        <x:v>PILOT-20261013-01-S08-010</x:v>
      </x:c>
      <x:c r="B142" s="5" t="str">
        <x:v>C0126</x:v>
      </x:c>
      <x:c r="C142" s="5" t="str">
        <x:v>Crossref pilot</x:v>
      </x:c>
      <x:c r="D142" s="5" t="str">
        <x:v>PILOT-20261013-01</x:v>
      </x:c>
      <x:c r="E142" s="5" t="str">
        <x:v>S08</x:v>
      </x:c>
      <x:c r="F142" s="5" t="n">
        <x:v>10</x:v>
      </x:c>
      <x:c r="G142" s="5" t="str">
        <x:v>10.5220/0005272202890296</x:v>
      </x:c>
      <x:c r="H142" s="5" t="str"/>
      <x:c r="I142" s="5" t="n">
        <x:v>0</x:v>
      </x:c>
      <x:c r="J142" s="5" t="str">
        <x:v>Deep Learning for Facial Keypoints Detection</x:v>
      </x:c>
    </x:row>
    <x:row r="143" ht="40" customHeight="1">
      <x:c r="A143" s="5" t="str">
        <x:v>PILOT-20261013-01-S08-011</x:v>
      </x:c>
      <x:c r="B143" s="5" t="str">
        <x:v>C0127</x:v>
      </x:c>
      <x:c r="C143" s="5" t="str">
        <x:v>Crossref pilot</x:v>
      </x:c>
      <x:c r="D143" s="5" t="str">
        <x:v>PILOT-20261013-01</x:v>
      </x:c>
      <x:c r="E143" s="5" t="str">
        <x:v>S08</x:v>
      </x:c>
      <x:c r="F143" s="5" t="n">
        <x:v>11</x:v>
      </x:c>
      <x:c r="G143" s="5" t="str">
        <x:v>10.5220/0007248600002108</x:v>
      </x:c>
      <x:c r="H143" s="5" t="str"/>
      <x:c r="I143" s="5" t="n">
        <x:v>0</x:v>
      </x:c>
      <x:c r="J143" s="5" t="str">
        <x:v>Active Learning for Deep Object Detection</x:v>
      </x:c>
    </x:row>
    <x:row r="144" ht="40" customHeight="1">
      <x:c r="A144" s="5" t="str">
        <x:v>PILOT-20261013-01-S08-012</x:v>
      </x:c>
      <x:c r="B144" s="5" t="str">
        <x:v>C0128</x:v>
      </x:c>
      <x:c r="C144" s="5" t="str">
        <x:v>Crossref pilot</x:v>
      </x:c>
      <x:c r="D144" s="5" t="str">
        <x:v>PILOT-20261013-01</x:v>
      </x:c>
      <x:c r="E144" s="5" t="str">
        <x:v>S08</x:v>
      </x:c>
      <x:c r="F144" s="5" t="n">
        <x:v>12</x:v>
      </x:c>
      <x:c r="G144" s="5" t="str">
        <x:v>10.1201/9780429289460-4</x:v>
      </x:c>
      <x:c r="H144" s="5" t="str"/>
      <x:c r="I144" s="5" t="n">
        <x:v>0</x:v>
      </x:c>
      <x:c r="J144" s="5" t="str">
        <x:v>Deep Learning-Based Aflatoxin Detection of Hyperspectral Data</x:v>
      </x:c>
    </x:row>
    <x:row r="145" ht="40" customHeight="1">
      <x:c r="A145" s="5" t="str">
        <x:v>PILOT-20261013-01-S08-013</x:v>
      </x:c>
      <x:c r="B145" s="5" t="str">
        <x:v>C0129</x:v>
      </x:c>
      <x:c r="C145" s="5" t="str">
        <x:v>Crossref pilot</x:v>
      </x:c>
      <x:c r="D145" s="5" t="str">
        <x:v>PILOT-20261013-01</x:v>
      </x:c>
      <x:c r="E145" s="5" t="str">
        <x:v>S08</x:v>
      </x:c>
      <x:c r="F145" s="5" t="n">
        <x:v>13</x:v>
      </x:c>
      <x:c r="G145" s="5" t="str">
        <x:v>10.1109/cvidl58838.2023.10166204</x:v>
      </x:c>
      <x:c r="H145" s="5" t="str"/>
      <x:c r="I145" s="5" t="n">
        <x:v>0</x:v>
      </x:c>
      <x:c r="J145" s="5" t="str">
        <x:v>Research on Vehicle Object Detection Based on Deep Learning</x:v>
      </x:c>
    </x:row>
    <x:row r="146" ht="40" customHeight="1">
      <x:c r="A146" s="5" t="str">
        <x:v>PILOT-20261013-01-S08-014</x:v>
      </x:c>
      <x:c r="B146" s="5" t="str">
        <x:v>C0130</x:v>
      </x:c>
      <x:c r="C146" s="5" t="str">
        <x:v>Crossref pilot</x:v>
      </x:c>
      <x:c r="D146" s="5" t="str">
        <x:v>PILOT-20261013-01</x:v>
      </x:c>
      <x:c r="E146" s="5" t="str">
        <x:v>S08</x:v>
      </x:c>
      <x:c r="F146" s="5" t="n">
        <x:v>14</x:v>
      </x:c>
      <x:c r="G146" s="5" t="str">
        <x:v>10.1201/9781003453406-4</x:v>
      </x:c>
      <x:c r="H146" s="5" t="str"/>
      <x:c r="I146" s="5" t="n">
        <x:v>0</x:v>
      </x:c>
      <x:c r="J146" s="5" t="str">
        <x:v>Deep learning-based object detection for computer vision tasks</x:v>
      </x:c>
    </x:row>
    <x:row r="147" ht="40" customHeight="1">
      <x:c r="A147" s="5" t="str">
        <x:v>PILOT-20261013-01-S08-015</x:v>
      </x:c>
      <x:c r="B147" s="5" t="str">
        <x:v>C0131</x:v>
      </x:c>
      <x:c r="C147" s="5" t="str">
        <x:v>Crossref pilot</x:v>
      </x:c>
      <x:c r="D147" s="5" t="str">
        <x:v>PILOT-20261013-01</x:v>
      </x:c>
      <x:c r="E147" s="5" t="str">
        <x:v>S08</x:v>
      </x:c>
      <x:c r="F147" s="5" t="n">
        <x:v>15</x:v>
      </x:c>
      <x:c r="G147" s="5" t="str">
        <x:v>10.2139/ssrn.4614072</x:v>
      </x:c>
      <x:c r="H147" s="5" t="str"/>
      <x:c r="I147" s="5" t="n">
        <x:v>0</x:v>
      </x:c>
      <x:c r="J147" s="5" t="str">
        <x:v>Detection of Safety Signs Using Computer Vision Based on Deep Learning</x:v>
      </x:c>
    </x:row>
    <x:row r="148" ht="40" customHeight="1">
      <x:c r="A148" s="5" t="str">
        <x:v>PILOT-20261013-01-S08-016</x:v>
      </x:c>
      <x:c r="B148" s="5" t="str">
        <x:v>C0132</x:v>
      </x:c>
      <x:c r="C148" s="5" t="str">
        <x:v>Crossref pilot</x:v>
      </x:c>
      <x:c r="D148" s="5" t="str">
        <x:v>PILOT-20261013-01</x:v>
      </x:c>
      <x:c r="E148" s="5" t="str">
        <x:v>S08</x:v>
      </x:c>
      <x:c r="F148" s="5" t="n">
        <x:v>16</x:v>
      </x:c>
      <x:c r="G148" s="5" t="str">
        <x:v>10.1007/978-1-4842-4261-2_3</x:v>
      </x:c>
      <x:c r="H148" s="5" t="str"/>
      <x:c r="I148" s="5" t="n">
        <x:v>0</x:v>
      </x:c>
      <x:c r="J148" s="5" t="str">
        <x:v>Deep Learning for Computer Vision</x:v>
      </x:c>
    </x:row>
    <x:row r="149" ht="40" customHeight="1">
      <x:c r="A149" s="5" t="str">
        <x:v>PILOT-20261013-01-S08-017</x:v>
      </x:c>
      <x:c r="B149" s="5" t="str">
        <x:v>C0133</x:v>
      </x:c>
      <x:c r="C149" s="5" t="str">
        <x:v>Crossref pilot</x:v>
      </x:c>
      <x:c r="D149" s="5" t="str">
        <x:v>PILOT-20261013-01</x:v>
      </x:c>
      <x:c r="E149" s="5" t="str">
        <x:v>S08</x:v>
      </x:c>
      <x:c r="F149" s="5" t="n">
        <x:v>17</x:v>
      </x:c>
      <x:c r="G149" s="5" t="str">
        <x:v>10.1109/cvidl70130.2026.11637829</x:v>
      </x:c>
      <x:c r="H149" s="5" t="str"/>
      <x:c r="I149" s="5" t="n">
        <x:v>0</x:v>
      </x:c>
      <x:c r="J149" s="5" t="str">
        <x:v>NoduleNet: A High-Precision Lung Nodule Detection Algorithm Based on Deep Learning</x:v>
      </x:c>
    </x:row>
    <x:row r="150" ht="40" customHeight="1">
      <x:c r="A150" s="5" t="str">
        <x:v>PILOT-20261013-01-S08-018</x:v>
      </x:c>
      <x:c r="B150" s="5" t="str">
        <x:v>C0134</x:v>
      </x:c>
      <x:c r="C150" s="5" t="str">
        <x:v>Crossref pilot</x:v>
      </x:c>
      <x:c r="D150" s="5" t="str">
        <x:v>PILOT-20261013-01</x:v>
      </x:c>
      <x:c r="E150" s="5" t="str">
        <x:v>S08</x:v>
      </x:c>
      <x:c r="F150" s="5" t="n">
        <x:v>18</x:v>
      </x:c>
      <x:c r="G150" s="5" t="str">
        <x:v>10.5220/0014206100004932</x:v>
      </x:c>
      <x:c r="H150" s="5" t="str"/>
      <x:c r="I150" s="5" t="n">
        <x:v>0</x:v>
      </x:c>
      <x:c r="J150" s="5" t="str">
        <x:v>Machine Vision in Healthcare: Deep Learning for Oral Cancer Detection and Classification</x:v>
      </x:c>
    </x:row>
    <x:row r="151" ht="40" customHeight="1">
      <x:c r="A151" s="5" t="str">
        <x:v>PILOT-20261013-01-S08-019</x:v>
      </x:c>
      <x:c r="B151" s="5" t="str">
        <x:v>C0135</x:v>
      </x:c>
      <x:c r="C151" s="5" t="str">
        <x:v>Crossref pilot</x:v>
      </x:c>
      <x:c r="D151" s="5" t="str">
        <x:v>PILOT-20261013-01</x:v>
      </x:c>
      <x:c r="E151" s="5" t="str">
        <x:v>S08</x:v>
      </x:c>
      <x:c r="F151" s="5" t="n">
        <x:v>19</x:v>
      </x:c>
      <x:c r="G151" s="5" t="str">
        <x:v>10.1201/9780429289460-24</x:v>
      </x:c>
      <x:c r="H151" s="5" t="str"/>
      <x:c r="I151" s="5" t="n">
        <x:v>0</x:v>
      </x:c>
      <x:c r="J151" s="5" t="str">
        <x:v>Using Deep Learning for Image-Based Plant Disease Detection</x:v>
      </x:c>
    </x:row>
    <x:row r="152" ht="40" customHeight="1">
      <x:c r="A152" s="5" t="str">
        <x:v>PILOT-20261013-01-S08-020</x:v>
      </x:c>
      <x:c r="B152" s="5" t="str">
        <x:v>C0136</x:v>
      </x:c>
      <x:c r="C152" s="5" t="str">
        <x:v>Crossref pilot</x:v>
      </x:c>
      <x:c r="D152" s="5" t="str">
        <x:v>PILOT-20261013-01</x:v>
      </x:c>
      <x:c r="E152" s="5" t="str">
        <x:v>S08</x:v>
      </x:c>
      <x:c r="F152" s="5" t="n">
        <x:v>20</x:v>
      </x:c>
      <x:c r="G152" s="5" t="str">
        <x:v>10.1109/iccv.2013.257</x:v>
      </x:c>
      <x:c r="H152" s="5" t="str"/>
      <x:c r="I152" s="5" t="n">
        <x:v>0</x:v>
      </x:c>
      <x:c r="J152" s="5" t="str">
        <x:v>Joint Deep Learning for Pedestrian Detection</x:v>
      </x:c>
    </x:row>
    <x:row r="153" ht="40" customHeight="1">
      <x:c r="A153" s="5" t="str">
        <x:v>PILOT-20261013-01-S08-021</x:v>
      </x:c>
      <x:c r="B153" s="5" t="str">
        <x:v>C0137</x:v>
      </x:c>
      <x:c r="C153" s="5" t="str">
        <x:v>Crossref pilot</x:v>
      </x:c>
      <x:c r="D153" s="5" t="str">
        <x:v>PILOT-20261013-01</x:v>
      </x:c>
      <x:c r="E153" s="5" t="str">
        <x:v>S08</x:v>
      </x:c>
      <x:c r="F153" s="5" t="n">
        <x:v>21</x:v>
      </x:c>
      <x:c r="G153" s="5" t="str">
        <x:v>10.5220/0011792300003417</x:v>
      </x:c>
      <x:c r="H153" s="5" t="str"/>
      <x:c r="I153" s="5" t="n">
        <x:v>0</x:v>
      </x:c>
      <x:c r="J153" s="5" t="str">
        <x:v>Colonoscopic Polyp Detection with Deep Learning Assist</x:v>
      </x:c>
    </x:row>
    <x:row r="154" ht="40" customHeight="1">
      <x:c r="A154" s="5" t="str">
        <x:v>PILOT-20261013-01-S08-022</x:v>
      </x:c>
      <x:c r="B154" s="5" t="str">
        <x:v>C0138</x:v>
      </x:c>
      <x:c r="C154" s="5" t="str">
        <x:v>Crossref pilot</x:v>
      </x:c>
      <x:c r="D154" s="5" t="str">
        <x:v>PILOT-20261013-01</x:v>
      </x:c>
      <x:c r="E154" s="5" t="str">
        <x:v>S08</x:v>
      </x:c>
      <x:c r="F154" s="5" t="n">
        <x:v>22</x:v>
      </x:c>
      <x:c r="G154" s="5" t="str">
        <x:v>10.58532/nbennurdcsa9</x:v>
      </x:c>
      <x:c r="H154" s="5" t="str"/>
      <x:c r="I154" s="5" t="n">
        <x:v>0</x:v>
      </x:c>
      <x:c r="J154" s="5" t="str">
        <x:v>DEEP LEARNING FOR DETECTION OF BREAST CANCER CELLS IN INDIA</x:v>
      </x:c>
    </x:row>
    <x:row r="155" ht="40" customHeight="1">
      <x:c r="A155" s="5" t="str">
        <x:v>PILOT-20261013-01-S08-023</x:v>
      </x:c>
      <x:c r="B155" s="5" t="str">
        <x:v>C0139</x:v>
      </x:c>
      <x:c r="C155" s="5" t="str">
        <x:v>Crossref pilot</x:v>
      </x:c>
      <x:c r="D155" s="5" t="str">
        <x:v>PILOT-20261013-01</x:v>
      </x:c>
      <x:c r="E155" s="5" t="str">
        <x:v>S08</x:v>
      </x:c>
      <x:c r="F155" s="5" t="n">
        <x:v>23</x:v>
      </x:c>
      <x:c r="G155" s="5" t="str">
        <x:v>10.1109/cvidl62147.2024.10603466</x:v>
      </x:c>
      <x:c r="H155" s="5" t="str"/>
      <x:c r="I155" s="5" t="n">
        <x:v>0</x:v>
      </x:c>
      <x:c r="J155" s="5" t="str">
        <x:v>Jetson nano based YOLOV5 deep learning pavement pothole detection</x:v>
      </x:c>
    </x:row>
    <x:row r="156" ht="40" customHeight="1">
      <x:c r="A156" s="5" t="str">
        <x:v>PILOT-20261013-01-S08-024</x:v>
      </x:c>
      <x:c r="B156" s="5" t="str">
        <x:v>C0140</x:v>
      </x:c>
      <x:c r="C156" s="5" t="str">
        <x:v>Crossref pilot</x:v>
      </x:c>
      <x:c r="D156" s="5" t="str">
        <x:v>PILOT-20261013-01</x:v>
      </x:c>
      <x:c r="E156" s="5" t="str">
        <x:v>S08</x:v>
      </x:c>
      <x:c r="F156" s="5" t="n">
        <x:v>24</x:v>
      </x:c>
      <x:c r="G156" s="5" t="str">
        <x:v>10.1109/cvidl58838.2023.10166470</x:v>
      </x:c>
      <x:c r="H156" s="5" t="str"/>
      <x:c r="I156" s="5" t="n">
        <x:v>0</x:v>
      </x:c>
      <x:c r="J156" s="5" t="str">
        <x:v>Deep learning-based vehicle tracking and traffic event detection</x:v>
      </x:c>
    </x:row>
    <x:row r="157" ht="40" customHeight="1">
      <x:c r="A157" s="5" t="str">
        <x:v>PILOT-20261013-01-S08-025</x:v>
      </x:c>
      <x:c r="B157" s="5" t="str">
        <x:v>C0141</x:v>
      </x:c>
      <x:c r="C157" s="5" t="str">
        <x:v>Crossref pilot</x:v>
      </x:c>
      <x:c r="D157" s="5" t="str">
        <x:v>PILOT-20261013-01</x:v>
      </x:c>
      <x:c r="E157" s="5" t="str">
        <x:v>S08</x:v>
      </x:c>
      <x:c r="F157" s="5" t="n">
        <x:v>25</x:v>
      </x:c>
      <x:c r="G157" s="5" t="str">
        <x:v>10.1109/cvidl70130.2026.11637954</x:v>
      </x:c>
      <x:c r="H157" s="5" t="str"/>
      <x:c r="I157" s="5" t="n">
        <x:v>0</x:v>
      </x:c>
      <x:c r="J157" s="5" t="str">
        <x:v>Research on Image Object Detection and Intelligent Visual Recognition Based on Deep Learning</x:v>
      </x:c>
    </x:row>
    <x:row r="158" ht="53" customHeight="1">
      <x:c r="A158" s="5" t="str">
        <x:v>PILOT-20261013-01-S09-001</x:v>
      </x:c>
      <x:c r="B158" s="5" t="str">
        <x:v>C0142</x:v>
      </x:c>
      <x:c r="C158" s="5" t="str">
        <x:v>Crossref pilot</x:v>
      </x:c>
      <x:c r="D158" s="5" t="str">
        <x:v>PILOT-20261013-01</x:v>
      </x:c>
      <x:c r="E158" s="5" t="str">
        <x:v>S09</x:v>
      </x:c>
      <x:c r="F158" s="5" t="n">
        <x:v>1</x:v>
      </x:c>
      <x:c r="G158" s="5" t="str">
        <x:v>10.1016/j.media.2024.103422</x:v>
      </x:c>
      <x:c r="H158" s="5" t="str"/>
      <x:c r="I158" s="5" t="n">
        <x:v>0</x:v>
      </x:c>
      <x:c r="J158" s="5" t="str">
        <x:v>Improving cross-domain generalizability of medical image segmentation using uncertainty and shape-aware continual test-time domain adaptation</x:v>
      </x:c>
    </x:row>
    <x:row r="159" ht="40" customHeight="1">
      <x:c r="A159" s="5" t="str">
        <x:v>PILOT-20261013-01-S09-002</x:v>
      </x:c>
      <x:c r="B159" s="5" t="str">
        <x:v>C0143</x:v>
      </x:c>
      <x:c r="C159" s="5" t="str">
        <x:v>Crossref pilot</x:v>
      </x:c>
      <x:c r="D159" s="5" t="str">
        <x:v>PILOT-20261013-01</x:v>
      </x:c>
      <x:c r="E159" s="5" t="str">
        <x:v>S09</x:v>
      </x:c>
      <x:c r="F159" s="5" t="n">
        <x:v>2</x:v>
      </x:c>
      <x:c r="G159" s="5" t="str">
        <x:v>10.1016/j.imavis.2024.105132</x:v>
      </x:c>
      <x:c r="H159" s="5" t="str"/>
      <x:c r="I159" s="5" t="n">
        <x:v>0</x:v>
      </x:c>
      <x:c r="J159" s="5" t="str">
        <x:v>Active domain adaptation for semantic segmentation via dynamically balancing domainness and uncertainty</x:v>
      </x:c>
    </x:row>
    <x:row r="160" ht="40" customHeight="1">
      <x:c r="A160" s="5" t="str">
        <x:v>PILOT-20261013-01-S09-003</x:v>
      </x:c>
      <x:c r="B160" s="5" t="str">
        <x:v>C0144</x:v>
      </x:c>
      <x:c r="C160" s="5" t="str">
        <x:v>Crossref pilot</x:v>
      </x:c>
      <x:c r="D160" s="5" t="str">
        <x:v>PILOT-20261013-01</x:v>
      </x:c>
      <x:c r="E160" s="5" t="str">
        <x:v>S09</x:v>
      </x:c>
      <x:c r="F160" s="5" t="n">
        <x:v>3</x:v>
      </x:c>
      <x:c r="G160" s="5" t="str">
        <x:v>10.51202/9783186890108-62</x:v>
      </x:c>
      <x:c r="H160" s="5" t="str"/>
      <x:c r="I160" s="5" t="n">
        <x:v>0</x:v>
      </x:c>
      <x:c r="J160" s="5" t="str">
        <x:v>5 Domain Adaptation Via Style Transfer in the Frequency Domain</x:v>
      </x:c>
    </x:row>
    <x:row r="161" ht="53" customHeight="1">
      <x:c r="A161" s="5" t="str">
        <x:v>PILOT-20261013-01-S09-004</x:v>
      </x:c>
      <x:c r="B161" s="5" t="str">
        <x:v>C0145</x:v>
      </x:c>
      <x:c r="C161" s="5" t="str">
        <x:v>Crossref pilot</x:v>
      </x:c>
      <x:c r="D161" s="5" t="str">
        <x:v>PILOT-20261013-01</x:v>
      </x:c>
      <x:c r="E161" s="5" t="str">
        <x:v>S09</x:v>
      </x:c>
      <x:c r="F161" s="5" t="n">
        <x:v>4</x:v>
      </x:c>
      <x:c r="G161" s="5" t="str">
        <x:v>10.1088/1361-6501/ae5416/v1/review1</x:v>
      </x:c>
      <x:c r="H161" s="5" t="str"/>
      <x:c r="I161" s="5" t="n">
        <x:v>0</x:v>
      </x:c>
      <x:c r="J161" s="5" t="str">
        <x:v>Review for "Uncertainty-aware domain adaptation: a novel framework for cross domain intelligent bearing fault diagnosis"</x:v>
      </x:c>
    </x:row>
    <x:row r="162" ht="53" customHeight="1">
      <x:c r="A162" s="5" t="str">
        <x:v>PILOT-20261013-01-S09-005</x:v>
      </x:c>
      <x:c r="B162" s="5" t="str">
        <x:v>C0146</x:v>
      </x:c>
      <x:c r="C162" s="5" t="str">
        <x:v>Crossref pilot</x:v>
      </x:c>
      <x:c r="D162" s="5" t="str">
        <x:v>PILOT-20261013-01</x:v>
      </x:c>
      <x:c r="E162" s="5" t="str">
        <x:v>S09</x:v>
      </x:c>
      <x:c r="F162" s="5" t="n">
        <x:v>5</x:v>
      </x:c>
      <x:c r="G162" s="5" t="str">
        <x:v>10.1088/1361-6501/ae5416/v2/review1</x:v>
      </x:c>
      <x:c r="H162" s="5" t="str"/>
      <x:c r="I162" s="5" t="n">
        <x:v>0</x:v>
      </x:c>
      <x:c r="J162" s="5" t="str">
        <x:v>Review for "Uncertainty-aware domain adaptation: a novel framework for cross domain intelligent bearing fault diagnosis"</x:v>
      </x:c>
    </x:row>
    <x:row r="163" ht="53" customHeight="1">
      <x:c r="A163" s="5" t="str">
        <x:v>PILOT-20261013-01-S09-006</x:v>
      </x:c>
      <x:c r="B163" s="5" t="str">
        <x:v>C0147</x:v>
      </x:c>
      <x:c r="C163" s="5" t="str">
        <x:v>Crossref pilot</x:v>
      </x:c>
      <x:c r="D163" s="5" t="str">
        <x:v>PILOT-20261013-01</x:v>
      </x:c>
      <x:c r="E163" s="5" t="str">
        <x:v>S09</x:v>
      </x:c>
      <x:c r="F163" s="5" t="n">
        <x:v>6</x:v>
      </x:c>
      <x:c r="G163" s="5" t="str">
        <x:v>10.1088/1361-6501/ae5416/v2/review2</x:v>
      </x:c>
      <x:c r="H163" s="5" t="str"/>
      <x:c r="I163" s="5" t="n">
        <x:v>0</x:v>
      </x:c>
      <x:c r="J163" s="5" t="str">
        <x:v>Review for "Uncertainty-aware domain adaptation: a novel framework for cross domain intelligent bearing fault diagnosis"</x:v>
      </x:c>
    </x:row>
    <x:row r="164" ht="53" customHeight="1">
      <x:c r="A164" s="5" t="str">
        <x:v>PILOT-20261013-01-S09-007</x:v>
      </x:c>
      <x:c r="B164" s="5" t="str">
        <x:v>C0148</x:v>
      </x:c>
      <x:c r="C164" s="5" t="str">
        <x:v>Crossref pilot</x:v>
      </x:c>
      <x:c r="D164" s="5" t="str">
        <x:v>PILOT-20261013-01</x:v>
      </x:c>
      <x:c r="E164" s="5" t="str">
        <x:v>S09</x:v>
      </x:c>
      <x:c r="F164" s="5" t="n">
        <x:v>7</x:v>
      </x:c>
      <x:c r="G164" s="5" t="str">
        <x:v>10.1088/1361-6501/ae5416/v1/review2</x:v>
      </x:c>
      <x:c r="H164" s="5" t="str"/>
      <x:c r="I164" s="5" t="n">
        <x:v>0</x:v>
      </x:c>
      <x:c r="J164" s="5" t="str">
        <x:v>Review for "Uncertainty-aware domain adaptation: a novel framework for cross domain intelligent bearing fault diagnosis"</x:v>
      </x:c>
    </x:row>
    <x:row r="165" ht="53" customHeight="1">
      <x:c r="A165" s="5" t="str">
        <x:v>PILOT-20261013-01-S09-008</x:v>
      </x:c>
      <x:c r="B165" s="5" t="str">
        <x:v>C0149</x:v>
      </x:c>
      <x:c r="C165" s="5" t="str">
        <x:v>Crossref pilot</x:v>
      </x:c>
      <x:c r="D165" s="5" t="str">
        <x:v>PILOT-20261013-01</x:v>
      </x:c>
      <x:c r="E165" s="5" t="str">
        <x:v>S09</x:v>
      </x:c>
      <x:c r="F165" s="5" t="n">
        <x:v>8</x:v>
      </x:c>
      <x:c r="G165" s="5" t="str">
        <x:v>10.1109/swc57546.2023.10449168</x:v>
      </x:c>
      <x:c r="H165" s="5" t="str"/>
      <x:c r="I165" s="5" t="n">
        <x:v>0</x:v>
      </x:c>
      <x:c r="J165" s="5" t="str">
        <x:v>UASSDA-Net: Uncertainty-aware Semi-supervised Domain Adaptation network for choroidal neovascularization segmentation</x:v>
      </x:c>
    </x:row>
    <x:row r="166" ht="40" customHeight="1">
      <x:c r="A166" s="5" t="str">
        <x:v>PILOT-20261013-01-S09-009</x:v>
      </x:c>
      <x:c r="B166" s="5" t="str">
        <x:v>C0150</x:v>
      </x:c>
      <x:c r="C166" s="5" t="str">
        <x:v>Crossref pilot</x:v>
      </x:c>
      <x:c r="D166" s="5" t="str">
        <x:v>PILOT-20261013-01</x:v>
      </x:c>
      <x:c r="E166" s="5" t="str">
        <x:v>S09</x:v>
      </x:c>
      <x:c r="F166" s="5" t="n">
        <x:v>9</x:v>
      </x:c>
      <x:c r="G166" s="5" t="str">
        <x:v>10.3390/brainsci16030300</x:v>
      </x:c>
      <x:c r="H166" s="5" t="str"/>
      <x:c r="I166" s="5" t="n">
        <x:v>0</x:v>
      </x:c>
      <x:c r="J166" s="5" t="str">
        <x:v>Source-Free Active Domain Adaptation for Brain Tumor Segmentation via Mamba and Region-Level Uncertainty</x:v>
      </x:c>
    </x:row>
    <x:row r="167" ht="40" customHeight="1">
      <x:c r="A167" s="5" t="str">
        <x:v>PILOT-20261013-01-S09-010</x:v>
      </x:c>
      <x:c r="B167" s="5" t="str">
        <x:v>C0151</x:v>
      </x:c>
      <x:c r="C167" s="5" t="str">
        <x:v>Crossref pilot</x:v>
      </x:c>
      <x:c r="D167" s="5" t="str">
        <x:v>PILOT-20261013-01</x:v>
      </x:c>
      <x:c r="E167" s="5" t="str">
        <x:v>S09</x:v>
      </x:c>
      <x:c r="F167" s="5" t="n">
        <x:v>10</x:v>
      </x:c>
      <x:c r="G167" s="5" t="str">
        <x:v>10.5220/0013613500004664</x:v>
      </x:c>
      <x:c r="H167" s="5" t="str"/>
      <x:c r="I167" s="5" t="n">
        <x:v>0</x:v>
      </x:c>
      <x:c r="J167" s="5" t="str">
        <x:v>Bridging the Synthetic-Real Gap: Unsupervised Domain Adaptation for Cross-Domain Image Segmentation</x:v>
      </x:c>
    </x:row>
    <x:row r="168" ht="40" customHeight="1">
      <x:c r="A168" s="5" t="str">
        <x:v>PILOT-20261013-01-S09-011</x:v>
      </x:c>
      <x:c r="B168" s="5" t="str">
        <x:v>C0152</x:v>
      </x:c>
      <x:c r="C168" s="5" t="str">
        <x:v>Crossref pilot</x:v>
      </x:c>
      <x:c r="D168" s="5" t="str">
        <x:v>PILOT-20261013-01</x:v>
      </x:c>
      <x:c r="E168" s="5" t="str">
        <x:v>S09</x:v>
      </x:c>
      <x:c r="F168" s="5" t="n">
        <x:v>11</x:v>
      </x:c>
      <x:c r="G168" s="5" t="str">
        <x:v>10.32920/26871346</x:v>
      </x:c>
      <x:c r="H168" s="5" t="str"/>
      <x:c r="I168" s="5" t="n">
        <x:v>0</x:v>
      </x:c>
      <x:c r="J168" s="5" t="str">
        <x:v>Unsupervised Domain Adaptation With Boundary-Aware GAN for Medical Image Segmentation</x:v>
      </x:c>
    </x:row>
    <x:row r="169" ht="40" customHeight="1">
      <x:c r="A169" s="5" t="str">
        <x:v>PILOT-20261013-01-S09-012</x:v>
      </x:c>
      <x:c r="B169" s="5" t="str">
        <x:v>C0153</x:v>
      </x:c>
      <x:c r="C169" s="5" t="str">
        <x:v>Crossref pilot</x:v>
      </x:c>
      <x:c r="D169" s="5" t="str">
        <x:v>PILOT-20261013-01</x:v>
      </x:c>
      <x:c r="E169" s="5" t="str">
        <x:v>S09</x:v>
      </x:c>
      <x:c r="F169" s="5" t="n">
        <x:v>12</x:v>
      </x:c>
      <x:c r="G169" s="5" t="str">
        <x:v>10.32920/26871346.v1</x:v>
      </x:c>
      <x:c r="H169" s="5" t="str"/>
      <x:c r="I169" s="5" t="n">
        <x:v>0</x:v>
      </x:c>
      <x:c r="J169" s="5" t="str">
        <x:v>Unsupervised Domain Adaptation With Boundary-Aware GAN for Medical Image Segmentation</x:v>
      </x:c>
    </x:row>
    <x:row r="170" ht="40" customHeight="1">
      <x:c r="A170" s="5" t="str">
        <x:v>PILOT-20261013-01-S09-013</x:v>
      </x:c>
      <x:c r="B170" s="5" t="str">
        <x:v>C0154</x:v>
      </x:c>
      <x:c r="C170" s="5" t="str">
        <x:v>Crossref pilot</x:v>
      </x:c>
      <x:c r="D170" s="5" t="str">
        <x:v>PILOT-20261013-01</x:v>
      </x:c>
      <x:c r="E170" s="5" t="str">
        <x:v>S09</x:v>
      </x:c>
      <x:c r="F170" s="5" t="n">
        <x:v>13</x:v>
      </x:c>
      <x:c r="G170" s="5" t="str">
        <x:v>10.55277/researchhub.5bktj0o6.1</x:v>
      </x:c>
      <x:c r="H170" s="5" t="str"/>
      <x:c r="I170" s="5" t="n">
        <x:v>0</x:v>
      </x:c>
      <x:c r="J170" s="5" t="str">
        <x:v>ADVENT: Adversarial Entropy Minimization for Domain Adaptation in Semantic Segmentation</x:v>
      </x:c>
    </x:row>
    <x:row r="171" ht="53" customHeight="1">
      <x:c r="A171" s="5" t="str">
        <x:v>PILOT-20261013-01-S09-014</x:v>
      </x:c>
      <x:c r="B171" s="5" t="str">
        <x:v>C0155</x:v>
      </x:c>
      <x:c r="C171" s="5" t="str">
        <x:v>Crossref pilot</x:v>
      </x:c>
      <x:c r="D171" s="5" t="str">
        <x:v>PILOT-20261013-01</x:v>
      </x:c>
      <x:c r="E171" s="5" t="str">
        <x:v>S09</x:v>
      </x:c>
      <x:c r="F171" s="5" t="n">
        <x:v>14</x:v>
      </x:c>
      <x:c r="G171" s="5" t="str">
        <x:v>10.1088/1361-6501/ae5416/v1/decision1</x:v>
      </x:c>
      <x:c r="H171" s="5" t="str"/>
      <x:c r="I171" s="5" t="n">
        <x:v>0</x:v>
      </x:c>
      <x:c r="J171" s="5" t="str">
        <x:v>Decision letter for "Uncertainty-aware domain adaptation: a novel framework for cross domain intelligent bearing fault diagnosis"</x:v>
      </x:c>
    </x:row>
    <x:row r="172" ht="53" customHeight="1">
      <x:c r="A172" s="5" t="str">
        <x:v>PILOT-20261013-01-S09-015</x:v>
      </x:c>
      <x:c r="B172" s="5" t="str">
        <x:v>C0156</x:v>
      </x:c>
      <x:c r="C172" s="5" t="str">
        <x:v>Crossref pilot</x:v>
      </x:c>
      <x:c r="D172" s="5" t="str">
        <x:v>PILOT-20261013-01</x:v>
      </x:c>
      <x:c r="E172" s="5" t="str">
        <x:v>S09</x:v>
      </x:c>
      <x:c r="F172" s="5" t="n">
        <x:v>15</x:v>
      </x:c>
      <x:c r="G172" s="5" t="str">
        <x:v>10.1088/1361-6501/ae5416/v2/decision1</x:v>
      </x:c>
      <x:c r="H172" s="5" t="str"/>
      <x:c r="I172" s="5" t="n">
        <x:v>0</x:v>
      </x:c>
      <x:c r="J172" s="5" t="str">
        <x:v>Decision letter for "Uncertainty-aware domain adaptation: a novel framework for cross domain intelligent bearing fault diagnosis"</x:v>
      </x:c>
    </x:row>
    <x:row r="173" ht="40" customHeight="1">
      <x:c r="A173" s="5" t="str">
        <x:v>PILOT-20261013-01-S09-016</x:v>
      </x:c>
      <x:c r="B173" s="5" t="str">
        <x:v>C0157</x:v>
      </x:c>
      <x:c r="C173" s="5" t="str">
        <x:v>Crossref pilot</x:v>
      </x:c>
      <x:c r="D173" s="5" t="str">
        <x:v>PILOT-20261013-01</x:v>
      </x:c>
      <x:c r="E173" s="5" t="str">
        <x:v>S09</x:v>
      </x:c>
      <x:c r="F173" s="5" t="n">
        <x:v>16</x:v>
      </x:c>
      <x:c r="G173" s="5" t="str">
        <x:v>10.1088/2057-1976/ad1663/v1/review2</x:v>
      </x:c>
      <x:c r="H173" s="5" t="str"/>
      <x:c r="I173" s="5" t="n">
        <x:v>0</x:v>
      </x:c>
      <x:c r="J173" s="5" t="str">
        <x:v>Review for "Rib Segmentation in Chest X-ray Images based on Unsupervised Domain Adaptation"</x:v>
      </x:c>
    </x:row>
    <x:row r="174" ht="40" customHeight="1">
      <x:c r="A174" s="5" t="str">
        <x:v>PILOT-20261013-01-S09-017</x:v>
      </x:c>
      <x:c r="B174" s="5" t="str">
        <x:v>C0158</x:v>
      </x:c>
      <x:c r="C174" s="5" t="str">
        <x:v>Crossref pilot</x:v>
      </x:c>
      <x:c r="D174" s="5" t="str">
        <x:v>PILOT-20261013-01</x:v>
      </x:c>
      <x:c r="E174" s="5" t="str">
        <x:v>S09</x:v>
      </x:c>
      <x:c r="F174" s="5" t="n">
        <x:v>17</x:v>
      </x:c>
      <x:c r="G174" s="5" t="str">
        <x:v>10.31219/osf.io/3rtgu</x:v>
      </x:c>
      <x:c r="H174" s="5" t="str"/>
      <x:c r="I174" s="5" t="n">
        <x:v>0</x:v>
      </x:c>
      <x:c r="J174" s="5" t="str">
        <x:v>Unsupervised Camouﬂaged Object Segmentation as Domain Adaptation</x:v>
      </x:c>
    </x:row>
    <x:row r="175" ht="40" customHeight="1">
      <x:c r="A175" s="5" t="str">
        <x:v>PILOT-20261013-01-S09-018</x:v>
      </x:c>
      <x:c r="B175" s="5" t="str">
        <x:v>C0159</x:v>
      </x:c>
      <x:c r="C175" s="5" t="str">
        <x:v>Crossref pilot</x:v>
      </x:c>
      <x:c r="D175" s="5" t="str">
        <x:v>PILOT-20261013-01</x:v>
      </x:c>
      <x:c r="E175" s="5" t="str">
        <x:v>S09</x:v>
      </x:c>
      <x:c r="F175" s="5" t="n">
        <x:v>18</x:v>
      </x:c>
      <x:c r="G175" s="5" t="str">
        <x:v>10.1088/2057-1976/ad1663/v1/review1</x:v>
      </x:c>
      <x:c r="H175" s="5" t="str"/>
      <x:c r="I175" s="5" t="n">
        <x:v>0</x:v>
      </x:c>
      <x:c r="J175" s="5" t="str">
        <x:v>Review for "Rib Segmentation in Chest X-ray Images based on Unsupervised Domain Adaptation"</x:v>
      </x:c>
    </x:row>
    <x:row r="176" ht="40" customHeight="1">
      <x:c r="A176" s="5" t="str">
        <x:v>PILOT-20261013-01-S09-019</x:v>
      </x:c>
      <x:c r="B176" s="5" t="str">
        <x:v>C0160</x:v>
      </x:c>
      <x:c r="C176" s="5" t="str">
        <x:v>Crossref pilot</x:v>
      </x:c>
      <x:c r="D176" s="5" t="str">
        <x:v>PILOT-20261013-01</x:v>
      </x:c>
      <x:c r="E176" s="5" t="str">
        <x:v>S09</x:v>
      </x:c>
      <x:c r="F176" s="5" t="n">
        <x:v>19</x:v>
      </x:c>
      <x:c r="G176" s="5" t="str">
        <x:v>10.32920/26871343.v1</x:v>
      </x:c>
      <x:c r="H176" s="5" t="str"/>
      <x:c r="I176" s="5" t="n">
        <x:v>0</x:v>
      </x:c>
      <x:c r="J176" s="5" t="str">
        <x:v>Segmentation Cycle-GAN Loss for Structure-Preserving Domain Adaptation of Medical Images</x:v>
      </x:c>
    </x:row>
    <x:row r="177" ht="40" customHeight="1">
      <x:c r="A177" s="5" t="str">
        <x:v>PILOT-20261013-01-S09-020</x:v>
      </x:c>
      <x:c r="B177" s="5" t="str">
        <x:v>C0161</x:v>
      </x:c>
      <x:c r="C177" s="5" t="str">
        <x:v>Crossref pilot</x:v>
      </x:c>
      <x:c r="D177" s="5" t="str">
        <x:v>PILOT-20261013-01</x:v>
      </x:c>
      <x:c r="E177" s="5" t="str">
        <x:v>S09</x:v>
      </x:c>
      <x:c r="F177" s="5" t="n">
        <x:v>20</x:v>
      </x:c>
      <x:c r="G177" s="5" t="str">
        <x:v>10.32920/22734362.v1</x:v>
      </x:c>
      <x:c r="H177" s="5" t="str"/>
      <x:c r="I177" s="5" t="n">
        <x:v>0</x:v>
      </x:c>
      <x:c r="J177" s="5" t="str">
        <x:v>Edge-preserving Domain Adaptation for semantic segmentation of Medical Images</x:v>
      </x:c>
    </x:row>
    <x:row r="178" ht="40" customHeight="1">
      <x:c r="A178" s="5" t="str">
        <x:v>PILOT-20261013-01-S09-021</x:v>
      </x:c>
      <x:c r="B178" s="5" t="str">
        <x:v>C0162</x:v>
      </x:c>
      <x:c r="C178" s="5" t="str">
        <x:v>Crossref pilot</x:v>
      </x:c>
      <x:c r="D178" s="5" t="str">
        <x:v>PILOT-20261013-01</x:v>
      </x:c>
      <x:c r="E178" s="5" t="str">
        <x:v>S09</x:v>
      </x:c>
      <x:c r="F178" s="5" t="n">
        <x:v>21</x:v>
      </x:c>
      <x:c r="G178" s="5" t="str">
        <x:v>10.32920/26871343</x:v>
      </x:c>
      <x:c r="H178" s="5" t="str"/>
      <x:c r="I178" s="5" t="n">
        <x:v>0</x:v>
      </x:c>
      <x:c r="J178" s="5" t="str">
        <x:v>Segmentation Cycle-GAN Loss for Structure-Preserving Domain Adaptation of Medical Images</x:v>
      </x:c>
    </x:row>
    <x:row r="179" ht="40" customHeight="1">
      <x:c r="A179" s="5" t="str">
        <x:v>PILOT-20261013-01-S09-022</x:v>
      </x:c>
      <x:c r="B179" s="5" t="str">
        <x:v>C0163</x:v>
      </x:c>
      <x:c r="C179" s="5" t="str">
        <x:v>Crossref pilot</x:v>
      </x:c>
      <x:c r="D179" s="5" t="str">
        <x:v>PILOT-20261013-01</x:v>
      </x:c>
      <x:c r="E179" s="5" t="str">
        <x:v>S09</x:v>
      </x:c>
      <x:c r="F179" s="5" t="n">
        <x:v>22</x:v>
      </x:c>
      <x:c r="G179" s="5" t="str">
        <x:v>10.32920/22734362</x:v>
      </x:c>
      <x:c r="H179" s="5" t="str"/>
      <x:c r="I179" s="5" t="n">
        <x:v>0</x:v>
      </x:c>
      <x:c r="J179" s="5" t="str">
        <x:v>Edge-preserving Domain Adaptation for semantic segmentation of Medical Images</x:v>
      </x:c>
    </x:row>
    <x:row r="180" ht="40" customHeight="1">
      <x:c r="A180" s="5" t="str">
        <x:v>PILOT-20261013-01-S09-023</x:v>
      </x:c>
      <x:c r="B180" s="5" t="str">
        <x:v>C0164</x:v>
      </x:c>
      <x:c r="C180" s="5" t="str">
        <x:v>Crossref pilot</x:v>
      </x:c>
      <x:c r="D180" s="5" t="str">
        <x:v>PILOT-20261013-01</x:v>
      </x:c>
      <x:c r="E180" s="5" t="str">
        <x:v>S09</x:v>
      </x:c>
      <x:c r="F180" s="5" t="n">
        <x:v>23</x:v>
      </x:c>
      <x:c r="G180" s="5" t="str">
        <x:v>10.1088/2057-1976/ad1663/v2/review1</x:v>
      </x:c>
      <x:c r="H180" s="5" t="str"/>
      <x:c r="I180" s="5" t="n">
        <x:v>0</x:v>
      </x:c>
      <x:c r="J180" s="5" t="str">
        <x:v>Review for "Rib Segmentation in Chest X-ray Images based on Unsupervised Domain Adaptation"</x:v>
      </x:c>
    </x:row>
    <x:row r="181" ht="40" customHeight="1">
      <x:c r="A181" s="5" t="str">
        <x:v>PILOT-20261013-01-S09-024</x:v>
      </x:c>
      <x:c r="B181" s="5" t="str">
        <x:v>C0165</x:v>
      </x:c>
      <x:c r="C181" s="5" t="str">
        <x:v>Crossref pilot</x:v>
      </x:c>
      <x:c r="D181" s="5" t="str">
        <x:v>PILOT-20261013-01</x:v>
      </x:c>
      <x:c r="E181" s="5" t="str">
        <x:v>S09</x:v>
      </x:c>
      <x:c r="F181" s="5" t="n">
        <x:v>24</x:v>
      </x:c>
      <x:c r="G181" s="5" t="str">
        <x:v>10.1016/j.engappai.2024.108860</x:v>
      </x:c>
      <x:c r="H181" s="5" t="str"/>
      <x:c r="I181" s="5" t="n">
        <x:v>0</x:v>
      </x:c>
      <x:c r="J181" s="5" t="str">
        <x:v>Uncertainty inspired domain adaptation network for rail surface defect segmentation</x:v>
      </x:c>
    </x:row>
    <x:row r="182" ht="40" customHeight="1">
      <x:c r="A182" s="5" t="str">
        <x:v>PILOT-20261013-01-S09-025</x:v>
      </x:c>
      <x:c r="B182" s="5" t="str">
        <x:v>C0166</x:v>
      </x:c>
      <x:c r="C182" s="5" t="str">
        <x:v>Crossref pilot</x:v>
      </x:c>
      <x:c r="D182" s="5" t="str">
        <x:v>PILOT-20261013-01</x:v>
      </x:c>
      <x:c r="E182" s="5" t="str">
        <x:v>S09</x:v>
      </x:c>
      <x:c r="F182" s="5" t="n">
        <x:v>25</x:v>
      </x:c>
      <x:c r="G182" s="5" t="str">
        <x:v>10.5220/0010610703300337</x:v>
      </x:c>
      <x:c r="H182" s="5" t="str"/>
      <x:c r="I182" s="5" t="n">
        <x:v>0</x:v>
      </x:c>
      <x:c r="J182" s="5" t="str">
        <x:v>Domain Adaptation in LiDAR Semantic Segmentation by Aligning Class Distributions</x:v>
      </x:c>
    </x:row>
    <x:row r="183" ht="40" customHeight="1">
      <x:c r="A183" s="5" t="str">
        <x:v>PILOT-20261013-01-S10-001</x:v>
      </x:c>
      <x:c r="B183" s="5" t="str">
        <x:v>C0003</x:v>
      </x:c>
      <x:c r="C183" s="5" t="str">
        <x:v>Crossref pilot</x:v>
      </x:c>
      <x:c r="D183" s="5" t="str">
        <x:v>PILOT-20261013-01</x:v>
      </x:c>
      <x:c r="E183" s="5" t="str">
        <x:v>S10</x:v>
      </x:c>
      <x:c r="F183" s="5" t="n">
        <x:v>1</x:v>
      </x:c>
      <x:c r="G183" s="5" t="str">
        <x:v>10.47852/bonviewaia52026321</x:v>
      </x:c>
      <x:c r="H183" s="5" t="str">
        <x:v>PILOT-20261013-01-S01-003</x:v>
      </x:c>
      <x:c r="I183" s="5" t="n">
        <x:v>1</x:v>
      </x:c>
      <x:c r="J183" s="5" t="str">
        <x:v>Anomaly Detection Utilizing PatchCore for Reimagining Industrial Visual Inspection</x:v>
      </x:c>
    </x:row>
    <x:row r="184" ht="40" customHeight="1">
      <x:c r="A184" s="5" t="str">
        <x:v>PILOT-20261013-01-S10-002</x:v>
      </x:c>
      <x:c r="B184" s="5" t="str">
        <x:v>C0167</x:v>
      </x:c>
      <x:c r="C184" s="5" t="str">
        <x:v>Crossref pilot</x:v>
      </x:c>
      <x:c r="D184" s="5" t="str">
        <x:v>PILOT-20261013-01</x:v>
      </x:c>
      <x:c r="E184" s="5" t="str">
        <x:v>S10</x:v>
      </x:c>
      <x:c r="F184" s="5" t="n">
        <x:v>2</x:v>
      </x:c>
      <x:c r="G184" s="5" t="str">
        <x:v>10.2139/ssrn.7011192</x:v>
      </x:c>
      <x:c r="H184" s="5" t="str"/>
      <x:c r="I184" s="5" t="n">
        <x:v>0</x:v>
      </x:c>
      <x:c r="J184" s="5" t="str">
        <x:v>Self-Supervised Contrastive Learning for Unsupervised Anomaly Detection in Industrial Surface Inspection</x:v>
      </x:c>
    </x:row>
    <x:row r="185" ht="40" customHeight="1">
      <x:c r="A185" s="5" t="str">
        <x:v>PILOT-20261013-01-S10-003</x:v>
      </x:c>
      <x:c r="B185" s="5" t="str">
        <x:v>C0168</x:v>
      </x:c>
      <x:c r="C185" s="5" t="str">
        <x:v>Crossref pilot</x:v>
      </x:c>
      <x:c r="D185" s="5" t="str">
        <x:v>PILOT-20261013-01</x:v>
      </x:c>
      <x:c r="E185" s="5" t="str">
        <x:v>S10</x:v>
      </x:c>
      <x:c r="F185" s="5" t="n">
        <x:v>3</x:v>
      </x:c>
      <x:c r="G185" s="5" t="str">
        <x:v>10.1016/j.asoc.2020.106539</x:v>
      </x:c>
      <x:c r="H185" s="5" t="str"/>
      <x:c r="I185" s="5" t="n">
        <x:v>0</x:v>
      </x:c>
      <x:c r="J185" s="5" t="str">
        <x:v>Cognitive visual anomaly detection with constrained latent representations for industrial inspection robot</x:v>
      </x:c>
    </x:row>
    <x:row r="186" ht="40" customHeight="1">
      <x:c r="A186" s="5" t="str">
        <x:v>PILOT-20261013-01-S10-004</x:v>
      </x:c>
      <x:c r="B186" s="5" t="str">
        <x:v>C0169</x:v>
      </x:c>
      <x:c r="C186" s="5" t="str">
        <x:v>Crossref pilot</x:v>
      </x:c>
      <x:c r="D186" s="5" t="str">
        <x:v>PILOT-20261013-01</x:v>
      </x:c>
      <x:c r="E186" s="5" t="str">
        <x:v>S10</x:v>
      </x:c>
      <x:c r="F186" s="5" t="n">
        <x:v>4</x:v>
      </x:c>
      <x:c r="G186" s="5" t="str">
        <x:v>10.1117/12.969297</x:v>
      </x:c>
      <x:c r="H186" s="5" t="str"/>
      <x:c r="I186" s="5" t="n">
        <x:v>0</x:v>
      </x:c>
      <x:c r="J186" s="5" t="str">
        <x:v>Analysis Of Thermal Infrared And Visual Images For Industrial Inspection Tasks</x:v>
      </x:c>
    </x:row>
    <x:row r="187" ht="40" customHeight="1">
      <x:c r="A187" s="5" t="str">
        <x:v>PILOT-20261013-01-S10-005</x:v>
      </x:c>
      <x:c r="B187" s="5" t="str">
        <x:v>C0170</x:v>
      </x:c>
      <x:c r="C187" s="5" t="str">
        <x:v>Crossref pilot</x:v>
      </x:c>
      <x:c r="D187" s="5" t="str">
        <x:v>PILOT-20261013-01</x:v>
      </x:c>
      <x:c r="E187" s="5" t="str">
        <x:v>S10</x:v>
      </x:c>
      <x:c r="F187" s="5" t="n">
        <x:v>5</x:v>
      </x:c>
      <x:c r="G187" s="5" t="str">
        <x:v>10.1117/12.3052174</x:v>
      </x:c>
      <x:c r="H187" s="5" t="str"/>
      <x:c r="I187" s="5" t="n">
        <x:v>0</x:v>
      </x:c>
      <x:c r="J187" s="5" t="str">
        <x:v>Die-to-prompt: visual language model-based defect inspection and anomaly detection</x:v>
      </x:c>
    </x:row>
    <x:row r="188" ht="40" customHeight="1">
      <x:c r="A188" s="5" t="str">
        <x:v>PILOT-20261013-01-S10-006</x:v>
      </x:c>
      <x:c r="B188" s="5" t="str">
        <x:v>C0171</x:v>
      </x:c>
      <x:c r="C188" s="5" t="str">
        <x:v>Crossref pilot</x:v>
      </x:c>
      <x:c r="D188" s="5" t="str">
        <x:v>PILOT-20261013-01</x:v>
      </x:c>
      <x:c r="E188" s="5" t="str">
        <x:v>S10</x:v>
      </x:c>
      <x:c r="F188" s="5" t="n">
        <x:v>6</x:v>
      </x:c>
      <x:c r="G188" s="5" t="str">
        <x:v>10.1117/12.3057380</x:v>
      </x:c>
      <x:c r="H188" s="5" t="str"/>
      <x:c r="I188" s="5" t="n">
        <x:v>0</x:v>
      </x:c>
      <x:c r="J188" s="5" t="str">
        <x:v>Inverse rendering of a digital twin for visual inspection via anomaly detection</x:v>
      </x:c>
    </x:row>
    <x:row r="189" ht="40" customHeight="1">
      <x:c r="A189" s="5" t="str">
        <x:v>PILOT-20261013-01-S10-007</x:v>
      </x:c>
      <x:c r="B189" s="5" t="str">
        <x:v>C0001</x:v>
      </x:c>
      <x:c r="C189" s="5" t="str">
        <x:v>Crossref pilot</x:v>
      </x:c>
      <x:c r="D189" s="5" t="str">
        <x:v>PILOT-20261013-01</x:v>
      </x:c>
      <x:c r="E189" s="5" t="str">
        <x:v>S10</x:v>
      </x:c>
      <x:c r="F189" s="5" t="n">
        <x:v>7</x:v>
      </x:c>
      <x:c r="G189" s="5" t="str">
        <x:v>10.2139/ssrn.7230717</x:v>
      </x:c>
      <x:c r="H189" s="5" t="str">
        <x:v>PILOT-20261013-01-S01-001</x:v>
      </x:c>
      <x:c r="I189" s="5" t="n">
        <x:v>1</x:v>
      </x:c>
      <x:c r="J189" s="5" t="str">
        <x:v>Calibrated few-shot industrial anomaly detection with frozen visual features</x:v>
      </x:c>
    </x:row>
    <x:row r="190" ht="53" customHeight="1">
      <x:c r="A190" s="5" t="str">
        <x:v>PILOT-20261013-01-S10-008</x:v>
      </x:c>
      <x:c r="B190" s="5" t="str">
        <x:v>C0037</x:v>
      </x:c>
      <x:c r="C190" s="5" t="str">
        <x:v>Crossref pilot</x:v>
      </x:c>
      <x:c r="D190" s="5" t="str">
        <x:v>PILOT-20261013-01</x:v>
      </x:c>
      <x:c r="E190" s="5" t="str">
        <x:v>S10</x:v>
      </x:c>
      <x:c r="F190" s="5" t="n">
        <x:v>8</x:v>
      </x:c>
      <x:c r="G190" s="5" t="str">
        <x:v>10.20944/preprints202607.0655.v1</x:v>
      </x:c>
      <x:c r="H190" s="5" t="str">
        <x:v>PILOT-20261013-01-S03-014</x:v>
      </x:c>
      <x:c r="I190" s="5" t="n">
        <x:v>1</x:v>
      </x:c>
      <x:c r="J190" s="5" t="str">
        <x:v>Lightweight One-Class Anomaly Detection for Industrial Image Inspection Using Enhanced Unified Feature Representation</x:v>
      </x:c>
    </x:row>
    <x:row r="191" ht="40" customHeight="1">
      <x:c r="A191" s="5" t="str">
        <x:v>PILOT-20261013-01-S10-009</x:v>
      </x:c>
      <x:c r="B191" s="5" t="str">
        <x:v>C0172</x:v>
      </x:c>
      <x:c r="C191" s="5" t="str">
        <x:v>Crossref pilot</x:v>
      </x:c>
      <x:c r="D191" s="5" t="str">
        <x:v>PILOT-20261013-01</x:v>
      </x:c>
      <x:c r="E191" s="5" t="str">
        <x:v>S10</x:v>
      </x:c>
      <x:c r="F191" s="5" t="n">
        <x:v>9</x:v>
      </x:c>
      <x:c r="G191" s="5" t="str">
        <x:v>10.1117/12.2672541</x:v>
      </x:c>
      <x:c r="H191" s="5" t="str"/>
      <x:c r="I191" s="5" t="n">
        <x:v>0</x:v>
      </x:c>
      <x:c r="J191" s="5" t="str">
        <x:v>Unsupervised anomaly detection for industrial manufacturing using multiple perspectives of free falling parts</x:v>
      </x:c>
    </x:row>
    <x:row r="192" ht="53" customHeight="1">
      <x:c r="A192" s="5" t="str">
        <x:v>PILOT-20261013-01-S10-010</x:v>
      </x:c>
      <x:c r="B192" s="5" t="str">
        <x:v>C0173</x:v>
      </x:c>
      <x:c r="C192" s="5" t="str">
        <x:v>Crossref pilot</x:v>
      </x:c>
      <x:c r="D192" s="5" t="str">
        <x:v>PILOT-20261013-01</x:v>
      </x:c>
      <x:c r="E192" s="5" t="str">
        <x:v>S10</x:v>
      </x:c>
      <x:c r="F192" s="5" t="n">
        <x:v>10</x:v>
      </x:c>
      <x:c r="G192" s="5" t="str">
        <x:v>10.5220/0010780200003124</x:v>
      </x:c>
      <x:c r="H192" s="5" t="str"/>
      <x:c r="I192" s="5" t="n">
        <x:v>0</x:v>
      </x:c>
      <x:c r="J192" s="5" t="str">
        <x:v>Anomaly Detection for Industrial Inspection using Convolutional Autoencoder and Deep Feature-based One-class Classification</x:v>
      </x:c>
    </x:row>
    <x:row r="193" ht="40" customHeight="1">
      <x:c r="A193" s="5" t="str">
        <x:v>PILOT-20261013-01-S10-011</x:v>
      </x:c>
      <x:c r="B193" s="5" t="str">
        <x:v>C0174</x:v>
      </x:c>
      <x:c r="C193" s="5" t="str">
        <x:v>Crossref pilot</x:v>
      </x:c>
      <x:c r="D193" s="5" t="str">
        <x:v>PILOT-20261013-01</x:v>
      </x:c>
      <x:c r="E193" s="5" t="str">
        <x:v>S10</x:v>
      </x:c>
      <x:c r="F193" s="5" t="n">
        <x:v>11</x:v>
      </x:c>
      <x:c r="G193" s="5" t="str">
        <x:v>10.1016/j.aei.2023.102161</x:v>
      </x:c>
      <x:c r="H193" s="5" t="str"/>
      <x:c r="I193" s="5" t="n">
        <x:v>0</x:v>
      </x:c>
      <x:c r="J193" s="5" t="str">
        <x:v>Component-aware anomaly detection framework for adjustable and logical industrial visual inspection</x:v>
      </x:c>
    </x:row>
    <x:row r="194" ht="40" customHeight="1">
      <x:c r="A194" s="5" t="str">
        <x:v>PILOT-20261013-01-S10-012</x:v>
      </x:c>
      <x:c r="B194" s="5" t="str">
        <x:v>C0175</x:v>
      </x:c>
      <x:c r="C194" s="5" t="str">
        <x:v>Crossref pilot</x:v>
      </x:c>
      <x:c r="D194" s="5" t="str">
        <x:v>PILOT-20261013-01</x:v>
      </x:c>
      <x:c r="E194" s="5" t="str">
        <x:v>S10</x:v>
      </x:c>
      <x:c r="F194" s="5" t="n">
        <x:v>12</x:v>
      </x:c>
      <x:c r="G194" s="5" t="str">
        <x:v>10.22541/au.169028989.93419503/v1</x:v>
      </x:c>
      <x:c r="H194" s="5" t="str"/>
      <x:c r="I194" s="5" t="n">
        <x:v>0</x:v>
      </x:c>
      <x:c r="J194" s="5" t="str">
        <x:v>Thermal Anomaly Area Intelligent Recognition Method Based on Infrared Inspection Image of Electrical Equipment</x:v>
      </x:c>
    </x:row>
    <x:row r="195" ht="40" customHeight="1">
      <x:c r="A195" s="5" t="str">
        <x:v>PILOT-20261013-01-S10-013</x:v>
      </x:c>
      <x:c r="B195" s="5" t="str">
        <x:v>C0176</x:v>
      </x:c>
      <x:c r="C195" s="5" t="str">
        <x:v>Crossref pilot</x:v>
      </x:c>
      <x:c r="D195" s="5" t="str">
        <x:v>PILOT-20261013-01</x:v>
      </x:c>
      <x:c r="E195" s="5" t="str">
        <x:v>S10</x:v>
      </x:c>
      <x:c r="F195" s="5" t="n">
        <x:v>13</x:v>
      </x:c>
      <x:c r="G195" s="5" t="str">
        <x:v>10.21203/rs.3.rs-9502784/v1</x:v>
      </x:c>
      <x:c r="H195" s="5" t="str"/>
      <x:c r="I195" s="5" t="n">
        <x:v>0</x:v>
      </x:c>
      <x:c r="J195" s="5" t="str">
        <x:v>Dual-Branch Collaborative Framework for Robust Visual Anomaly Detection in Mobile Robot Inspection</x:v>
      </x:c>
    </x:row>
    <x:row r="196" ht="40" customHeight="1">
      <x:c r="A196" s="5" t="str">
        <x:v>PILOT-20261013-01-S10-014</x:v>
      </x:c>
      <x:c r="B196" s="5" t="str">
        <x:v>C0177</x:v>
      </x:c>
      <x:c r="C196" s="5" t="str">
        <x:v>Crossref pilot</x:v>
      </x:c>
      <x:c r="D196" s="5" t="str">
        <x:v>PILOT-20261013-01</x:v>
      </x:c>
      <x:c r="E196" s="5" t="str">
        <x:v>S10</x:v>
      </x:c>
      <x:c r="F196" s="5" t="n">
        <x:v>14</x:v>
      </x:c>
      <x:c r="G196" s="5" t="str">
        <x:v>10.1007/s00371-026-04746-x</x:v>
      </x:c>
      <x:c r="H196" s="5" t="str"/>
      <x:c r="I196" s="5" t="n">
        <x:v>0</x:v>
      </x:c>
      <x:c r="J196" s="5" t="str">
        <x:v>A reproducible and edge-oriented industrial visual anomaly inspection framework</x:v>
      </x:c>
    </x:row>
    <x:row r="197" ht="40" customHeight="1">
      <x:c r="A197" s="5" t="str">
        <x:v>PILOT-20261013-01-S10-015</x:v>
      </x:c>
      <x:c r="B197" s="5" t="str">
        <x:v>C0178</x:v>
      </x:c>
      <x:c r="C197" s="5" t="str">
        <x:v>Crossref pilot</x:v>
      </x:c>
      <x:c r="D197" s="5" t="str">
        <x:v>PILOT-20261013-01</x:v>
      </x:c>
      <x:c r="E197" s="5" t="str">
        <x:v>S10</x:v>
      </x:c>
      <x:c r="F197" s="5" t="n">
        <x:v>15</x:v>
      </x:c>
      <x:c r="G197" s="5" t="str">
        <x:v>10.1109/access.2025.3570075</x:v>
      </x:c>
      <x:c r="H197" s="5" t="str"/>
      <x:c r="I197" s="5" t="n">
        <x:v>0</x:v>
      </x:c>
      <x:c r="J197" s="5" t="str">
        <x:v>Anomaly-Focused Augmentation Method for Industrial Visual Inspection</x:v>
      </x:c>
    </x:row>
    <x:row r="198" ht="40" customHeight="1">
      <x:c r="A198" s="5" t="str">
        <x:v>PILOT-20261013-01-S10-016</x:v>
      </x:c>
      <x:c r="B198" s="5" t="str">
        <x:v>C0179</x:v>
      </x:c>
      <x:c r="C198" s="5" t="str">
        <x:v>Crossref pilot</x:v>
      </x:c>
      <x:c r="D198" s="5" t="str">
        <x:v>PILOT-20261013-01</x:v>
      </x:c>
      <x:c r="E198" s="5" t="str">
        <x:v>S10</x:v>
      </x:c>
      <x:c r="F198" s="5" t="n">
        <x:v>16</x:v>
      </x:c>
      <x:c r="G198" s="5" t="str">
        <x:v>10.1016/j.neucom.2026.134313</x:v>
      </x:c>
      <x:c r="H198" s="5" t="str"/>
      <x:c r="I198" s="5" t="n">
        <x:v>0</x:v>
      </x:c>
      <x:c r="J198" s="5" t="str">
        <x:v>Industrial anomaly generation via mask-guided dual reverse inpainting for visual inspection</x:v>
      </x:c>
    </x:row>
    <x:row r="199" ht="40" customHeight="1">
      <x:c r="A199" s="5" t="str">
        <x:v>PILOT-20261013-01-S10-017</x:v>
      </x:c>
      <x:c r="B199" s="5" t="str">
        <x:v>C0180</x:v>
      </x:c>
      <x:c r="C199" s="5" t="str">
        <x:v>Crossref pilot</x:v>
      </x:c>
      <x:c r="D199" s="5" t="str">
        <x:v>PILOT-20261013-01</x:v>
      </x:c>
      <x:c r="E199" s="5" t="str">
        <x:v>S10</x:v>
      </x:c>
      <x:c r="F199" s="5" t="n">
        <x:v>17</x:v>
      </x:c>
      <x:c r="G199" s="5" t="str">
        <x:v>10.5772/27558</x:v>
      </x:c>
      <x:c r="H199" s="5" t="str"/>
      <x:c r="I199" s="5" t="n">
        <x:v>0</x:v>
      </x:c>
      <x:c r="J199" s="5" t="str">
        <x:v>Thermal Imaging for Enhancing Inspection Reliability: Detection and Characterization</x:v>
      </x:c>
    </x:row>
    <x:row r="200" ht="40" customHeight="1">
      <x:c r="A200" s="5" t="str">
        <x:v>PILOT-20261013-01-S10-018</x:v>
      </x:c>
      <x:c r="B200" s="5" t="str">
        <x:v>C0002</x:v>
      </x:c>
      <x:c r="C200" s="5" t="str">
        <x:v>Crossref pilot</x:v>
      </x:c>
      <x:c r="D200" s="5" t="str">
        <x:v>PILOT-20261013-01</x:v>
      </x:c>
      <x:c r="E200" s="5" t="str">
        <x:v>S10</x:v>
      </x:c>
      <x:c r="F200" s="5" t="n">
        <x:v>18</x:v>
      </x:c>
      <x:c r="G200" s="5" t="str">
        <x:v>10.5220/0014500500005024</x:v>
      </x:c>
      <x:c r="H200" s="5" t="str">
        <x:v>PILOT-20261013-01-S01-002</x:v>
      </x:c>
      <x:c r="I200" s="5" t="n">
        <x:v>1</x:v>
      </x:c>
      <x:c r="J200" s="5" t="str">
        <x:v>SSVIT-4.0: A Self-Supervised Hybrid CNN-Transformer Framework for Industrial Visual Anomaly Detection</x:v>
      </x:c>
    </x:row>
    <x:row r="201" ht="68" customHeight="1">
      <x:c r="A201" s="5" t="str">
        <x:v>PILOT-20261013-01-S10-019</x:v>
      </x:c>
      <x:c r="B201" s="5" t="str">
        <x:v>C0181</x:v>
      </x:c>
      <x:c r="C201" s="5" t="str">
        <x:v>Crossref pilot</x:v>
      </x:c>
      <x:c r="D201" s="5" t="str">
        <x:v>PILOT-20261013-01</x:v>
      </x:c>
      <x:c r="E201" s="5" t="str">
        <x:v>S10</x:v>
      </x:c>
      <x:c r="F201" s="5" t="n">
        <x:v>19</x:v>
      </x:c>
      <x:c r="G201" s="5" t="str">
        <x:v>10.1016/j.compind.2024.104198</x:v>
      </x:c>
      <x:c r="H201" s="5" t="str"/>
      <x:c r="I201" s="5" t="n">
        <x:v>0</x:v>
      </x:c>
      <x:c r="J201" s="5" t="str">
        <x:v>A novel FuseDecode Autoencoder for industrial visual inspection: Incremental anomaly detection improvement with gradual transition from unsupervised to mixed-supervision learning with reduced human effort</x:v>
      </x:c>
    </x:row>
    <x:row r="202" ht="40" customHeight="1">
      <x:c r="A202" s="5" t="str">
        <x:v>PILOT-20261013-01-S10-020</x:v>
      </x:c>
      <x:c r="B202" s="5" t="str">
        <x:v>C0182</x:v>
      </x:c>
      <x:c r="C202" s="5" t="str">
        <x:v>Crossref pilot</x:v>
      </x:c>
      <x:c r="D202" s="5" t="str">
        <x:v>PILOT-20261013-01</x:v>
      </x:c>
      <x:c r="E202" s="5" t="str">
        <x:v>S10</x:v>
      </x:c>
      <x:c r="F202" s="5" t="n">
        <x:v>20</x:v>
      </x:c>
      <x:c r="G202" s="5" t="str">
        <x:v>10.1109/icdcece65353.2025.11035252</x:v>
      </x:c>
      <x:c r="H202" s="5" t="str"/>
      <x:c r="I202" s="5" t="n">
        <x:v>0</x:v>
      </x:c>
      <x:c r="J202" s="5" t="str">
        <x:v>Anomaly Detection in Industrial Inspection Visual Systems using Swin Transformer with Bayesian Optimization</x:v>
      </x:c>
    </x:row>
    <x:row r="203" ht="40" customHeight="1">
      <x:c r="A203" s="5" t="str">
        <x:v>PILOT-20261013-01-S10-021</x:v>
      </x:c>
      <x:c r="B203" s="5" t="str">
        <x:v>C0183</x:v>
      </x:c>
      <x:c r="C203" s="5" t="str">
        <x:v>Crossref pilot</x:v>
      </x:c>
      <x:c r="D203" s="5" t="str">
        <x:v>PILOT-20261013-01</x:v>
      </x:c>
      <x:c r="E203" s="5" t="str">
        <x:v>S10</x:v>
      </x:c>
      <x:c r="F203" s="5" t="n">
        <x:v>21</x:v>
      </x:c>
      <x:c r="G203" s="5" t="str">
        <x:v>10.1016/j.infrared.2013.07.007</x:v>
      </x:c>
      <x:c r="H203" s="5" t="str"/>
      <x:c r="I203" s="5" t="n">
        <x:v>0</x:v>
      </x:c>
      <x:c r="J203" s="5" t="str">
        <x:v>Automatic metal parts inspection: Use of thermographic images and anomaly detection algorithms</x:v>
      </x:c>
    </x:row>
    <x:row r="204" ht="40" customHeight="1">
      <x:c r="A204" s="5" t="str">
        <x:v>PILOT-20261013-01-S10-022</x:v>
      </x:c>
      <x:c r="B204" s="5" t="str">
        <x:v>P04</x:v>
      </x:c>
      <x:c r="C204" s="5" t="str">
        <x:v>Crossref pilot</x:v>
      </x:c>
      <x:c r="D204" s="5" t="str">
        <x:v>PILOT-20261013-01</x:v>
      </x:c>
      <x:c r="E204" s="5" t="str">
        <x:v>S10</x:v>
      </x:c>
      <x:c r="F204" s="5" t="n">
        <x:v>22</x:v>
      </x:c>
      <x:c r="G204" s="5" t="str">
        <x:v>10.1109/csrswtc71154.2026.11669645</x:v>
      </x:c>
      <x:c r="H204" s="5" t="str"/>
      <x:c r="I204" s="5" t="n">
        <x:v>0</x:v>
      </x:c>
      <x:c r="J204" s="5" t="str">
        <x:v>Risk-Calibrated Multimodal Inspection for Full-Coverage Industrial Anomaly Detection</x:v>
      </x:c>
    </x:row>
    <x:row r="205" ht="40" customHeight="1">
      <x:c r="A205" s="5" t="str">
        <x:v>PILOT-20261013-01-S10-023</x:v>
      </x:c>
      <x:c r="B205" s="5" t="str">
        <x:v>C0184</x:v>
      </x:c>
      <x:c r="C205" s="5" t="str">
        <x:v>Crossref pilot</x:v>
      </x:c>
      <x:c r="D205" s="5" t="str">
        <x:v>PILOT-20261013-01</x:v>
      </x:c>
      <x:c r="E205" s="5" t="str">
        <x:v>S10</x:v>
      </x:c>
      <x:c r="F205" s="5" t="n">
        <x:v>23</x:v>
      </x:c>
      <x:c r="G205" s="5" t="str">
        <x:v>10.1016/j.procir.2020.04.114</x:v>
      </x:c>
      <x:c r="H205" s="5" t="str"/>
      <x:c r="I205" s="5" t="n">
        <x:v>0</x:v>
      </x:c>
      <x:c r="J205" s="5" t="str">
        <x:v>Visual Inspection System for Anomaly Detection on KTL Coatings Using Variational Autoencoders</x:v>
      </x:c>
    </x:row>
    <x:row r="206" ht="40" customHeight="1">
      <x:c r="A206" s="5" t="str">
        <x:v>PILOT-20261013-01-S10-024</x:v>
      </x:c>
      <x:c r="B206" s="5" t="str">
        <x:v>C0185</x:v>
      </x:c>
      <x:c r="C206" s="5" t="str">
        <x:v>Crossref pilot</x:v>
      </x:c>
      <x:c r="D206" s="5" t="str">
        <x:v>PILOT-20261013-01</x:v>
      </x:c>
      <x:c r="E206" s="5" t="str">
        <x:v>S10</x:v>
      </x:c>
      <x:c r="F206" s="5" t="n">
        <x:v>24</x:v>
      </x:c>
      <x:c r="G206" s="5" t="str">
        <x:v>10.1016/j.eswa.2021.115275</x:v>
      </x:c>
      <x:c r="H206" s="5" t="str"/>
      <x:c r="I206" s="5" t="n">
        <x:v>0</x:v>
      </x:c>
      <x:c r="J206" s="5" t="str">
        <x:v>Semi-supervised anomaly detection for visual quality inspection</x:v>
      </x:c>
    </x:row>
    <x:row r="207" ht="40" customHeight="1">
      <x:c r="A207" s="5" t="str">
        <x:v>PILOT-20261013-01-S10-025</x:v>
      </x:c>
      <x:c r="B207" s="5" t="str">
        <x:v>C0186</x:v>
      </x:c>
      <x:c r="C207" s="5" t="str">
        <x:v>Crossref pilot</x:v>
      </x:c>
      <x:c r="D207" s="5" t="str">
        <x:v>PILOT-20261013-01</x:v>
      </x:c>
      <x:c r="E207" s="5" t="str">
        <x:v>S10</x:v>
      </x:c>
      <x:c r="F207" s="5" t="n">
        <x:v>25</x:v>
      </x:c>
      <x:c r="G207" s="5" t="str">
        <x:v>10.1016/j.cie.2024.109928</x:v>
      </x:c>
      <x:c r="H207" s="5" t="str"/>
      <x:c r="I207" s="5" t="n">
        <x:v>0</x:v>
      </x:c>
      <x:c r="J207" s="5" t="str">
        <x:v>Enhancing anomaly detection with adaptive node inspection in large-scale networks with binary sensors</x:v>
      </x:c>
    </x:row>
    <x:row r="208" ht="40" customHeight="1">
      <x:c r="A208" s="5" t="str">
        <x:v>PILOT-20261013-01-S12-001</x:v>
      </x:c>
      <x:c r="B208" s="5" t="str">
        <x:v>C0001</x:v>
      </x:c>
      <x:c r="C208" s="5" t="str">
        <x:v>Crossref pilot</x:v>
      </x:c>
      <x:c r="D208" s="5" t="str">
        <x:v>PILOT-20261013-01</x:v>
      </x:c>
      <x:c r="E208" s="5" t="str">
        <x:v>S12</x:v>
      </x:c>
      <x:c r="F208" s="5" t="n">
        <x:v>1</x:v>
      </x:c>
      <x:c r="G208" s="5" t="str">
        <x:v>10.2139/ssrn.7230717</x:v>
      </x:c>
      <x:c r="H208" s="5" t="str">
        <x:v>PILOT-20261013-01-S01-001</x:v>
      </x:c>
      <x:c r="I208" s="5" t="n">
        <x:v>1</x:v>
      </x:c>
      <x:c r="J208" s="5" t="str">
        <x:v>Calibrated few-shot industrial anomaly detection with frozen visual features</x:v>
      </x:c>
    </x:row>
    <x:row r="209" ht="40" customHeight="1">
      <x:c r="A209" s="5" t="str">
        <x:v>PILOT-20261013-01-S12-002</x:v>
      </x:c>
      <x:c r="B209" s="5" t="str">
        <x:v>C0187</x:v>
      </x:c>
      <x:c r="C209" s="5" t="str">
        <x:v>Crossref pilot</x:v>
      </x:c>
      <x:c r="D209" s="5" t="str">
        <x:v>PILOT-20261013-01</x:v>
      </x:c>
      <x:c r="E209" s="5" t="str">
        <x:v>S12</x:v>
      </x:c>
      <x:c r="F209" s="5" t="n">
        <x:v>2</x:v>
      </x:c>
      <x:c r="G209" s="5" t="str">
        <x:v>10.5220/0011894100003393</x:v>
      </x:c>
      <x:c r="H209" s="5" t="str"/>
      <x:c r="I209" s="5" t="n">
        <x:v>0</x:v>
      </x:c>
      <x:c r="J209" s="5" t="str">
        <x:v>Anomaly Detection for Multivariate Industrial Sensor Data via Decoupled Generative Adversarial Network</x:v>
      </x:c>
    </x:row>
    <x:row r="210" ht="40" customHeight="1">
      <x:c r="A210" s="5" t="str">
        <x:v>PILOT-20261013-01-S12-003</x:v>
      </x:c>
      <x:c r="B210" s="5" t="str">
        <x:v>C0002</x:v>
      </x:c>
      <x:c r="C210" s="5" t="str">
        <x:v>Crossref pilot</x:v>
      </x:c>
      <x:c r="D210" s="5" t="str">
        <x:v>PILOT-20261013-01</x:v>
      </x:c>
      <x:c r="E210" s="5" t="str">
        <x:v>S12</x:v>
      </x:c>
      <x:c r="F210" s="5" t="n">
        <x:v>3</x:v>
      </x:c>
      <x:c r="G210" s="5" t="str">
        <x:v>10.5220/0014500500005024</x:v>
      </x:c>
      <x:c r="H210" s="5" t="str">
        <x:v>PILOT-20261013-01-S01-002</x:v>
      </x:c>
      <x:c r="I210" s="5" t="n">
        <x:v>1</x:v>
      </x:c>
      <x:c r="J210" s="5" t="str">
        <x:v>SSVIT-4.0: A Self-Supervised Hybrid CNN-Transformer Framework for Industrial Visual Anomaly Detection</x:v>
      </x:c>
    </x:row>
    <x:row r="211" ht="40" customHeight="1">
      <x:c r="A211" s="5" t="str">
        <x:v>PILOT-20261013-01-S12-004</x:v>
      </x:c>
      <x:c r="B211" s="5" t="str">
        <x:v>C0188</x:v>
      </x:c>
      <x:c r="C211" s="5" t="str">
        <x:v>Crossref pilot</x:v>
      </x:c>
      <x:c r="D211" s="5" t="str">
        <x:v>PILOT-20261013-01</x:v>
      </x:c>
      <x:c r="E211" s="5" t="str">
        <x:v>S12</x:v>
      </x:c>
      <x:c r="F211" s="5" t="n">
        <x:v>4</x:v>
      </x:c>
      <x:c r="G211" s="5" t="str">
        <x:v>10.36227/techrxiv.14540061.v1</x:v>
      </x:c>
      <x:c r="H211" s="5" t="str"/>
      <x:c r="I211" s="5" t="n">
        <x:v>0</x:v>
      </x:c>
      <x:c r="J211" s="5" t="str">
        <x:v>Fault detection and classification in Industrial IoT in case of missing sensor data</x:v>
      </x:c>
    </x:row>
    <x:row r="212" ht="40" customHeight="1">
      <x:c r="A212" s="5" t="str">
        <x:v>PILOT-20261013-01-S12-005</x:v>
      </x:c>
      <x:c r="B212" s="5" t="str">
        <x:v>C0189</x:v>
      </x:c>
      <x:c r="C212" s="5" t="str">
        <x:v>Crossref pilot</x:v>
      </x:c>
      <x:c r="D212" s="5" t="str">
        <x:v>PILOT-20261013-01</x:v>
      </x:c>
      <x:c r="E212" s="5" t="str">
        <x:v>S12</x:v>
      </x:c>
      <x:c r="F212" s="5" t="n">
        <x:v>5</x:v>
      </x:c>
      <x:c r="G212" s="5" t="str">
        <x:v>10.36227/techrxiv.14540061</x:v>
      </x:c>
      <x:c r="H212" s="5" t="str"/>
      <x:c r="I212" s="5" t="n">
        <x:v>0</x:v>
      </x:c>
      <x:c r="J212" s="5" t="str">
        <x:v>Fault detection and classification in Industrial IoT in case of missing sensor data</x:v>
      </x:c>
    </x:row>
    <x:row r="213" ht="40" customHeight="1">
      <x:c r="A213" s="5" t="str">
        <x:v>PILOT-20261013-01-S12-006</x:v>
      </x:c>
      <x:c r="B213" s="5" t="str">
        <x:v>C0003</x:v>
      </x:c>
      <x:c r="C213" s="5" t="str">
        <x:v>Crossref pilot</x:v>
      </x:c>
      <x:c r="D213" s="5" t="str">
        <x:v>PILOT-20261013-01</x:v>
      </x:c>
      <x:c r="E213" s="5" t="str">
        <x:v>S12</x:v>
      </x:c>
      <x:c r="F213" s="5" t="n">
        <x:v>6</x:v>
      </x:c>
      <x:c r="G213" s="5" t="str">
        <x:v>10.47852/bonviewaia52026321</x:v>
      </x:c>
      <x:c r="H213" s="5" t="str">
        <x:v>PILOT-20261013-01-S01-003</x:v>
      </x:c>
      <x:c r="I213" s="5" t="n">
        <x:v>1</x:v>
      </x:c>
      <x:c r="J213" s="5" t="str">
        <x:v>Anomaly Detection Utilizing PatchCore for Reimagining Industrial Visual Inspection</x:v>
      </x:c>
    </x:row>
    <x:row r="214" ht="40" customHeight="1">
      <x:c r="A214" s="5" t="str">
        <x:v>PILOT-20261013-01-S12-007</x:v>
      </x:c>
      <x:c r="B214" s="5" t="str">
        <x:v>C0004</x:v>
      </x:c>
      <x:c r="C214" s="5" t="str">
        <x:v>Crossref pilot</x:v>
      </x:c>
      <x:c r="D214" s="5" t="str">
        <x:v>PILOT-20261013-01</x:v>
      </x:c>
      <x:c r="E214" s="5" t="str">
        <x:v>S12</x:v>
      </x:c>
      <x:c r="F214" s="5" t="n">
        <x:v>7</x:v>
      </x:c>
      <x:c r="G214" s="5" t="str">
        <x:v>10.2139/ssrn.6597747</x:v>
      </x:c>
      <x:c r="H214" s="5" t="str">
        <x:v>PILOT-20261013-01-S01-004</x:v>
      </x:c>
      <x:c r="I214" s="5" t="n">
        <x:v>1</x:v>
      </x:c>
      <x:c r="J214" s="5" t="str">
        <x:v>Dynamic Anomaly-Aware Segmentation: Enabling Contextual Text-Visual Alignment for Industrial Defect Detection</x:v>
      </x:c>
    </x:row>
    <x:row r="215" ht="40" customHeight="1">
      <x:c r="A215" s="5" t="str">
        <x:v>PILOT-20261013-01-S12-008</x:v>
      </x:c>
      <x:c r="B215" s="5" t="str">
        <x:v>C0190</x:v>
      </x:c>
      <x:c r="C215" s="5" t="str">
        <x:v>Crossref pilot</x:v>
      </x:c>
      <x:c r="D215" s="5" t="str">
        <x:v>PILOT-20261013-01</x:v>
      </x:c>
      <x:c r="E215" s="5" t="str">
        <x:v>S12</x:v>
      </x:c>
      <x:c r="F215" s="5" t="n">
        <x:v>8</x:v>
      </x:c>
      <x:c r="G215" s="5" t="str">
        <x:v>10.1007/978-981-96-8728-2_18</x:v>
      </x:c>
      <x:c r="H215" s="5" t="str"/>
      <x:c r="I215" s="5" t="n">
        <x:v>0</x:v>
      </x:c>
      <x:c r="J215" s="5" t="str">
        <x:v>MissingClip: An Industrial Anomaly Detection Method Under Modality Missing</x:v>
      </x:c>
    </x:row>
    <x:row r="216" ht="40" customHeight="1">
      <x:c r="A216" s="5" t="str">
        <x:v>PILOT-20261013-01-S12-009</x:v>
      </x:c>
      <x:c r="B216" s="5" t="str">
        <x:v>C0005</x:v>
      </x:c>
      <x:c r="C216" s="5" t="str">
        <x:v>Crossref pilot</x:v>
      </x:c>
      <x:c r="D216" s="5" t="str">
        <x:v>PILOT-20261013-01</x:v>
      </x:c>
      <x:c r="E216" s="5" t="str">
        <x:v>S12</x:v>
      </x:c>
      <x:c r="F216" s="5" t="n">
        <x:v>9</x:v>
      </x:c>
      <x:c r="G216" s="5" t="str">
        <x:v>10.1201/9781003644972-11</x:v>
      </x:c>
      <x:c r="H216" s="5" t="str">
        <x:v>PILOT-20261013-01-S01-005</x:v>
      </x:c>
      <x:c r="I216" s="5" t="n">
        <x:v>1</x:v>
      </x:c>
      <x:c r="J216" s="5" t="str">
        <x:v>Unsupervised Learning Paradigm for Industrial Visual Anomaly Detection</x:v>
      </x:c>
    </x:row>
    <x:row r="217" ht="40" customHeight="1">
      <x:c r="A217" s="5" t="str">
        <x:v>PILOT-20261013-01-S12-010</x:v>
      </x:c>
      <x:c r="B217" s="5" t="str">
        <x:v>C0006</x:v>
      </x:c>
      <x:c r="C217" s="5" t="str">
        <x:v>Crossref pilot</x:v>
      </x:c>
      <x:c r="D217" s="5" t="str">
        <x:v>PILOT-20261013-01</x:v>
      </x:c>
      <x:c r="E217" s="5" t="str">
        <x:v>S12</x:v>
      </x:c>
      <x:c r="F217" s="5" t="n">
        <x:v>10</x:v>
      </x:c>
      <x:c r="G217" s="5" t="str">
        <x:v>10.21203/rs.3.rs-10598232/v1</x:v>
      </x:c>
      <x:c r="H217" s="5" t="str">
        <x:v>PILOT-20261013-01-S01-006</x:v>
      </x:c>
      <x:c r="I217" s="5" t="n">
        <x:v>1</x:v>
      </x:c>
      <x:c r="J217" s="5" t="str">
        <x:v>Foundation Models for Cold-Start Industrial Visual Anomaly Detection: A Survey</x:v>
      </x:c>
    </x:row>
    <x:row r="218" ht="53" customHeight="1">
      <x:c r="A218" s="5" t="str">
        <x:v>PILOT-20261013-01-S12-011</x:v>
      </x:c>
      <x:c r="B218" s="5" t="str">
        <x:v>C0191</x:v>
      </x:c>
      <x:c r="C218" s="5" t="str">
        <x:v>Crossref pilot</x:v>
      </x:c>
      <x:c r="D218" s="5" t="str">
        <x:v>PILOT-20261013-01</x:v>
      </x:c>
      <x:c r="E218" s="5" t="str">
        <x:v>S12</x:v>
      </x:c>
      <x:c r="F218" s="5" t="n">
        <x:v>11</x:v>
      </x:c>
      <x:c r="G218" s="5" t="str">
        <x:v>10.3390/s25216529</x:v>
      </x:c>
      <x:c r="H218" s="5" t="str"/>
      <x:c r="I218" s="5" t="n">
        <x:v>0</x:v>
      </x:c>
      <x:c r="J218" s="5" t="str">
        <x:v>Modality-Resilient Multimodal Industrial Anomaly Detection via Cross-Modal Knowledge Transfer and Dynamic Edge-Preserving Voxelization</x:v>
      </x:c>
    </x:row>
    <x:row r="219" ht="40" customHeight="1">
      <x:c r="A219" s="5" t="str">
        <x:v>PILOT-20261013-01-S12-012</x:v>
      </x:c>
      <x:c r="B219" s="5" t="str">
        <x:v>C0192</x:v>
      </x:c>
      <x:c r="C219" s="5" t="str">
        <x:v>Crossref pilot</x:v>
      </x:c>
      <x:c r="D219" s="5" t="str">
        <x:v>PILOT-20261013-01</x:v>
      </x:c>
      <x:c r="E219" s="5" t="str">
        <x:v>S12</x:v>
      </x:c>
      <x:c r="F219" s="5" t="n">
        <x:v>12</x:v>
      </x:c>
      <x:c r="G219" s="5" t="str">
        <x:v>10.2139/ssrn.7218470</x:v>
      </x:c>
      <x:c r="H219" s="5" t="str"/>
      <x:c r="I219" s="5" t="n">
        <x:v>0</x:v>
      </x:c>
      <x:c r="J219" s="5" t="str">
        <x:v>Reliability-Aware Missing-Modality SAR–Optical Change Detection for Rapid Disaster Damage Mapping</x:v>
      </x:c>
    </x:row>
    <x:row r="220" ht="40" customHeight="1">
      <x:c r="A220" s="5" t="str">
        <x:v>PILOT-20261013-01-S12-013</x:v>
      </x:c>
      <x:c r="B220" s="5" t="str">
        <x:v>C0193</x:v>
      </x:c>
      <x:c r="C220" s="5" t="str">
        <x:v>Crossref pilot</x:v>
      </x:c>
      <x:c r="D220" s="5" t="str">
        <x:v>PILOT-20261013-01</x:v>
      </x:c>
      <x:c r="E220" s="5" t="str">
        <x:v>S12</x:v>
      </x:c>
      <x:c r="F220" s="5" t="n">
        <x:v>13</x:v>
      </x:c>
      <x:c r="G220" s="5" t="str">
        <x:v>10.3390/s26185751</x:v>
      </x:c>
      <x:c r="H220" s="5" t="str"/>
      <x:c r="I220" s="5" t="n">
        <x:v>0</x:v>
      </x:c>
      <x:c r="J220" s="5" t="str">
        <x:v>Causal Wavelet Residual Learning with Observation-Support Gating for Industrial Sensor Anomaly Detection</x:v>
      </x:c>
    </x:row>
    <x:row r="221" ht="53" customHeight="1">
      <x:c r="A221" s="5" t="str">
        <x:v>PILOT-20261013-01-S12-014</x:v>
      </x:c>
      <x:c r="B221" s="5" t="str">
        <x:v>C0194</x:v>
      </x:c>
      <x:c r="C221" s="5" t="str">
        <x:v>Crossref pilot</x:v>
      </x:c>
      <x:c r="D221" s="5" t="str">
        <x:v>PILOT-20261013-01</x:v>
      </x:c>
      <x:c r="E221" s="5" t="str">
        <x:v>S12</x:v>
      </x:c>
      <x:c r="F221" s="5" t="n">
        <x:v>14</x:v>
      </x:c>
      <x:c r="G221" s="5" t="str">
        <x:v>10.3390/e28010014</x:v>
      </x:c>
      <x:c r="H221" s="5" t="str"/>
      <x:c r="I221" s="5" t="n">
        <x:v>0</x:v>
      </x:c>
      <x:c r="J221" s="5" t="str">
        <x:v>Improving Multivariate Time-Series Anomaly Detection in Industrial Sensor Networks Using Entropy-Based Feature Aggregation</x:v>
      </x:c>
    </x:row>
    <x:row r="222" ht="40" customHeight="1">
      <x:c r="A222" s="5" t="str">
        <x:v>PILOT-20261013-01-S12-015</x:v>
      </x:c>
      <x:c r="B222" s="5" t="str">
        <x:v>C0195</x:v>
      </x:c>
      <x:c r="C222" s="5" t="str">
        <x:v>Crossref pilot</x:v>
      </x:c>
      <x:c r="D222" s="5" t="str">
        <x:v>PILOT-20261013-01</x:v>
      </x:c>
      <x:c r="E222" s="5" t="str">
        <x:v>S12</x:v>
      </x:c>
      <x:c r="F222" s="5" t="n">
        <x:v>15</x:v>
      </x:c>
      <x:c r="G222" s="5" t="str">
        <x:v>10.1038/s41598-026-61786-y</x:v>
      </x:c>
      <x:c r="H222" s="5" t="str"/>
      <x:c r="I222" s="5" t="n">
        <x:v>0</x:v>
      </x:c>
      <x:c r="J222" s="5" t="str">
        <x:v>Hybrid quantum-classical machine learning for industrial multi-anomaly detection via single acoustic sensor</x:v>
      </x:c>
    </x:row>
    <x:row r="223" ht="40" customHeight="1">
      <x:c r="A223" s="5" t="str">
        <x:v>PILOT-20261013-01-S12-016</x:v>
      </x:c>
      <x:c r="B223" s="5" t="str">
        <x:v>C0196</x:v>
      </x:c>
      <x:c r="C223" s="5" t="str">
        <x:v>Crossref pilot</x:v>
      </x:c>
      <x:c r="D223" s="5" t="str">
        <x:v>PILOT-20261013-01</x:v>
      </x:c>
      <x:c r="E223" s="5" t="str">
        <x:v>S12</x:v>
      </x:c>
      <x:c r="F223" s="5" t="n">
        <x:v>16</x:v>
      </x:c>
      <x:c r="G223" s="5" t="str">
        <x:v>10.1109/iv55156.2024.10588587</x:v>
      </x:c>
      <x:c r="H223" s="5" t="str"/>
      <x:c r="I223" s="5" t="n">
        <x:v>0</x:v>
      </x:c>
      <x:c r="J223" s="5" t="str">
        <x:v>Uncertainty-aware Sensor Data Anomaly Detection for Autonomous Vehicles</x:v>
      </x:c>
    </x:row>
    <x:row r="224" ht="40" customHeight="1">
      <x:c r="A224" s="5" t="str">
        <x:v>PILOT-20261013-01-S12-017</x:v>
      </x:c>
      <x:c r="B224" s="5" t="str">
        <x:v>C0197</x:v>
      </x:c>
      <x:c r="C224" s="5" t="str">
        <x:v>Crossref pilot</x:v>
      </x:c>
      <x:c r="D224" s="5" t="str">
        <x:v>PILOT-20261013-01</x:v>
      </x:c>
      <x:c r="E224" s="5" t="str">
        <x:v>S12</x:v>
      </x:c>
      <x:c r="F224" s="5" t="n">
        <x:v>17</x:v>
      </x:c>
      <x:c r="G224" s="5" t="str">
        <x:v>10.1117/12.2621146</x:v>
      </x:c>
      <x:c r="H224" s="5" t="str"/>
      <x:c r="I224" s="5" t="n">
        <x:v>0</x:v>
      </x:c>
      <x:c r="J224" s="5" t="str">
        <x:v>Visual inspection via anomaly detection by automated uncertainty propagation</x:v>
      </x:c>
    </x:row>
    <x:row r="225" ht="40" customHeight="1">
      <x:c r="A225" s="5" t="str">
        <x:v>PILOT-20261013-01-S12-018</x:v>
      </x:c>
      <x:c r="B225" s="5" t="str">
        <x:v>C0198</x:v>
      </x:c>
      <x:c r="C225" s="5" t="str">
        <x:v>Crossref pilot</x:v>
      </x:c>
      <x:c r="D225" s="5" t="str">
        <x:v>PILOT-20261013-01</x:v>
      </x:c>
      <x:c r="E225" s="5" t="str">
        <x:v>S12</x:v>
      </x:c>
      <x:c r="F225" s="5" t="n">
        <x:v>18</x:v>
      </x:c>
      <x:c r="G225" s="5" t="str">
        <x:v>10.1109/jiot.2026.3725660</x:v>
      </x:c>
      <x:c r="H225" s="5" t="str"/>
      <x:c r="I225" s="5" t="n">
        <x:v>0</x:v>
      </x:c>
      <x:c r="J225" s="5" t="str">
        <x:v>ARMA-Net: Adaptive Reliability-Aware Modality Attention for Missing-Modality Multisource IoT Sensor Fusion</x:v>
      </x:c>
    </x:row>
    <x:row r="226" ht="40" customHeight="1">
      <x:c r="A226" s="5" t="str">
        <x:v>PILOT-20261013-01-S12-019</x:v>
      </x:c>
      <x:c r="B226" s="5" t="str">
        <x:v>C0007</x:v>
      </x:c>
      <x:c r="C226" s="5" t="str">
        <x:v>Crossref pilot</x:v>
      </x:c>
      <x:c r="D226" s="5" t="str">
        <x:v>PILOT-20261013-01</x:v>
      </x:c>
      <x:c r="E226" s="5" t="str">
        <x:v>S12</x:v>
      </x:c>
      <x:c r="F226" s="5" t="n">
        <x:v>19</x:v>
      </x:c>
      <x:c r="G226" s="5" t="str">
        <x:v>10.2139/ssrn.4742821</x:v>
      </x:c>
      <x:c r="H226" s="5" t="str">
        <x:v>PILOT-20261013-01-S01-007</x:v>
      </x:c>
      <x:c r="I226" s="5" t="n">
        <x:v>1</x:v>
      </x:c>
      <x:c r="J226" s="5" t="str">
        <x:v>Fair: Frequency-Aware Image Restoration for Industrial Visual Anomaly Detection</x:v>
      </x:c>
    </x:row>
    <x:row r="227" ht="40" customHeight="1">
      <x:c r="A227" s="5" t="str">
        <x:v>PILOT-20261013-01-S12-020</x:v>
      </x:c>
      <x:c r="B227" s="5" t="str">
        <x:v>C0008</x:v>
      </x:c>
      <x:c r="C227" s="5" t="str">
        <x:v>Crossref pilot</x:v>
      </x:c>
      <x:c r="D227" s="5" t="str">
        <x:v>PILOT-20261013-01</x:v>
      </x:c>
      <x:c r="E227" s="5" t="str">
        <x:v>S12</x:v>
      </x:c>
      <x:c r="F227" s="5" t="n">
        <x:v>20</x:v>
      </x:c>
      <x:c r="G227" s="5" t="str">
        <x:v>10.1109/icmlt69916.2026.11688969</x:v>
      </x:c>
      <x:c r="H227" s="5" t="str">
        <x:v>PILOT-20261013-01-S01-008</x:v>
      </x:c>
      <x:c r="I227" s="5" t="n">
        <x:v>1</x:v>
      </x:c>
      <x:c r="J227" s="5" t="str">
        <x:v>Embedding Stability-Guided Early-Stopping for Industrial Visual Anomaly Detection</x:v>
      </x:c>
    </x:row>
    <x:row r="228" ht="40" customHeight="1">
      <x:c r="A228" s="5" t="str">
        <x:v>PILOT-20261013-01-S12-021</x:v>
      </x:c>
      <x:c r="B228" s="5" t="str">
        <x:v>C0199</x:v>
      </x:c>
      <x:c r="C228" s="5" t="str">
        <x:v>Crossref pilot</x:v>
      </x:c>
      <x:c r="D228" s="5" t="str">
        <x:v>PILOT-20261013-01</x:v>
      </x:c>
      <x:c r="E228" s="5" t="str">
        <x:v>S12</x:v>
      </x:c>
      <x:c r="F228" s="5" t="n">
        <x:v>21</x:v>
      </x:c>
      <x:c r="G228" s="5" t="str">
        <x:v>10.2139/ssrn.4634735</x:v>
      </x:c>
      <x:c r="H228" s="5" t="str"/>
      <x:c r="I228" s="5" t="n">
        <x:v>0</x:v>
      </x:c>
      <x:c r="J228" s="5" t="str">
        <x:v>Cross-Modality Integration Framework for Anomaly Detection in Surveillance Videos</x:v>
      </x:c>
    </x:row>
    <x:row r="229" ht="40" customHeight="1">
      <x:c r="A229" s="5" t="str">
        <x:v>PILOT-20261013-01-S12-022</x:v>
      </x:c>
      <x:c r="B229" s="5" t="str">
        <x:v>C0009</x:v>
      </x:c>
      <x:c r="C229" s="5" t="str">
        <x:v>Crossref pilot</x:v>
      </x:c>
      <x:c r="D229" s="5" t="str">
        <x:v>PILOT-20261013-01</x:v>
      </x:c>
      <x:c r="E229" s="5" t="str">
        <x:v>S12</x:v>
      </x:c>
      <x:c r="F229" s="5" t="n">
        <x:v>22</x:v>
      </x:c>
      <x:c r="G229" s="5" t="str">
        <x:v>10.1109/icdmw65004.2024.00008</x:v>
      </x:c>
      <x:c r="H229" s="5" t="str">
        <x:v>PILOT-20261013-01-S01-009</x:v>
      </x:c>
      <x:c r="I229" s="5" t="n">
        <x:v>1</x:v>
      </x:c>
      <x:c r="J229" s="5" t="str">
        <x:v>Outlier Exposure in Visual Industrial Anomaly Detection - Survey</x:v>
      </x:c>
    </x:row>
    <x:row r="230" ht="53" customHeight="1">
      <x:c r="A230" s="5" t="str">
        <x:v>PILOT-20261013-01-S12-023</x:v>
      </x:c>
      <x:c r="B230" s="5" t="str">
        <x:v>C0200</x:v>
      </x:c>
      <x:c r="C230" s="5" t="str">
        <x:v>Crossref pilot</x:v>
      </x:c>
      <x:c r="D230" s="5" t="str">
        <x:v>PILOT-20261013-01</x:v>
      </x:c>
      <x:c r="E230" s="5" t="str">
        <x:v>S12</x:v>
      </x:c>
      <x:c r="F230" s="5" t="n">
        <x:v>23</x:v>
      </x:c>
      <x:c r="G230" s="5" t="str">
        <x:v>10.1109/access.2026.3702052</x:v>
      </x:c>
      <x:c r="H230" s="5" t="str"/>
      <x:c r="I230" s="5" t="n">
        <x:v>0</x:v>
      </x:c>
      <x:c r="J230" s="5" t="str">
        <x:v>Beyond Heuristic Thresholds: Uncertainty-Aware Industrial Anomaly Detection With Last-Layer Laplace Approximation</x:v>
      </x:c>
    </x:row>
    <x:row r="231" ht="53" customHeight="1">
      <x:c r="A231" s="5" t="str">
        <x:v>PILOT-20261013-01-S12-024</x:v>
      </x:c>
      <x:c r="B231" s="5" t="str">
        <x:v>C0201</x:v>
      </x:c>
      <x:c r="C231" s="5" t="str">
        <x:v>Crossref pilot</x:v>
      </x:c>
      <x:c r="D231" s="5" t="str">
        <x:v>PILOT-20261013-01</x:v>
      </x:c>
      <x:c r="E231" s="5" t="str">
        <x:v>S12</x:v>
      </x:c>
      <x:c r="F231" s="5" t="n">
        <x:v>24</x:v>
      </x:c>
      <x:c r="G231" s="5" t="str">
        <x:v>10.56975/jetir.v13i9.585694</x:v>
      </x:c>
      <x:c r="H231" s="5" t="str"/>
      <x:c r="I231" s="5" t="n">
        <x:v>0</x:v>
      </x:c>
      <x:c r="J231" s="5" t="str">
        <x:v>Anomaly Detection in Industrial IoT Sensor Streams: A Systematic Review of Data Engineering Pipelines and Detection Mechanisms</x:v>
      </x:c>
    </x:row>
    <x:row r="232" ht="40" customHeight="1">
      <x:c r="A232" s="5" t="str">
        <x:v>PILOT-20261013-01-S12-025</x:v>
      </x:c>
      <x:c r="B232" s="5" t="str">
        <x:v>C0010</x:v>
      </x:c>
      <x:c r="C232" s="5" t="str">
        <x:v>Crossref pilot</x:v>
      </x:c>
      <x:c r="D232" s="5" t="str">
        <x:v>PILOT-20261013-01</x:v>
      </x:c>
      <x:c r="E232" s="5" t="str">
        <x:v>S12</x:v>
      </x:c>
      <x:c r="F232" s="5" t="n">
        <x:v>25</x:v>
      </x:c>
      <x:c r="G232" s="5" t="str">
        <x:v>10.1016/j.jvcir.2023.103983</x:v>
      </x:c>
      <x:c r="H232" s="5" t="str">
        <x:v>PILOT-20261013-01-S01-010</x:v>
      </x:c>
      <x:c r="I232" s="5" t="n">
        <x:v>1</x:v>
      </x:c>
      <x:c r="J232" s="5" t="str">
        <x:v>Unsupervised industrial anomaly detection with diffusion models</x:v>
      </x:c>
    </x:row>
    <x:row r="233" ht="53" customHeight="1">
      <x:c r="A233" s="5" t="str">
        <x:v>PILOT-20261013-01-S13-001</x:v>
      </x:c>
      <x:c r="B233" s="5" t="str">
        <x:v>C0202</x:v>
      </x:c>
      <x:c r="C233" s="5" t="str">
        <x:v>Crossref pilot</x:v>
      </x:c>
      <x:c r="D233" s="5" t="str">
        <x:v>PILOT-20261013-01</x:v>
      </x:c>
      <x:c r="E233" s="5" t="str">
        <x:v>S13</x:v>
      </x:c>
      <x:c r="F233" s="5" t="n">
        <x:v>1</x:v>
      </x:c>
      <x:c r="G233" s="5" t="str">
        <x:v>10.2139/ssrn.5745634</x:v>
      </x:c>
      <x:c r="H233" s="5" t="str"/>
      <x:c r="I233" s="5" t="n">
        <x:v>0</x:v>
      </x:c>
      <x:c r="J233" s="5" t="str">
        <x:v>Language Meets Vision: A Vision–Language Guided Multimodal Framework for Explainable Industrial Anomaly Segmentation</x:v>
      </x:c>
    </x:row>
    <x:row r="234" ht="53" customHeight="1">
      <x:c r="A234" s="5" t="str">
        <x:v>PILOT-20261013-01-S13-002</x:v>
      </x:c>
      <x:c r="B234" s="5" t="str">
        <x:v>C0173</x:v>
      </x:c>
      <x:c r="C234" s="5" t="str">
        <x:v>Crossref pilot</x:v>
      </x:c>
      <x:c r="D234" s="5" t="str">
        <x:v>PILOT-20261013-01</x:v>
      </x:c>
      <x:c r="E234" s="5" t="str">
        <x:v>S13</x:v>
      </x:c>
      <x:c r="F234" s="5" t="n">
        <x:v>2</x:v>
      </x:c>
      <x:c r="G234" s="5" t="str">
        <x:v>10.5220/0010780200003124</x:v>
      </x:c>
      <x:c r="H234" s="5" t="str">
        <x:v>PILOT-20261013-01-S10-010</x:v>
      </x:c>
      <x:c r="I234" s="5" t="n">
        <x:v>1</x:v>
      </x:c>
      <x:c r="J234" s="5" t="str">
        <x:v>Anomaly Detection for Industrial Inspection using Convolutional Autoencoder and Deep Feature-based One-class Classification</x:v>
      </x:c>
    </x:row>
    <x:row r="235" ht="40" customHeight="1">
      <x:c r="A235" s="5" t="str">
        <x:v>PILOT-20261013-01-S13-003</x:v>
      </x:c>
      <x:c r="B235" s="5" t="str">
        <x:v>C0203</x:v>
      </x:c>
      <x:c r="C235" s="5" t="str">
        <x:v>Crossref pilot</x:v>
      </x:c>
      <x:c r="D235" s="5" t="str">
        <x:v>PILOT-20261013-01</x:v>
      </x:c>
      <x:c r="E235" s="5" t="str">
        <x:v>S13</x:v>
      </x:c>
      <x:c r="F235" s="5" t="n">
        <x:v>3</x:v>
      </x:c>
      <x:c r="G235" s="5" t="str">
        <x:v>10.3390/s25154853</x:v>
      </x:c>
      <x:c r="H235" s="5" t="str"/>
      <x:c r="I235" s="5" t="n">
        <x:v>0</x:v>
      </x:c>
      <x:c r="J235" s="5" t="str">
        <x:v>Fast Anomaly Detection for Vision-Based Industrial Inspection Using Cascades of Null Subspace PCA Detectors</x:v>
      </x:c>
    </x:row>
    <x:row r="236" ht="40" customHeight="1">
      <x:c r="A236" s="5" t="str">
        <x:v>PILOT-20261013-01-S13-004</x:v>
      </x:c>
      <x:c r="B236" s="5" t="str">
        <x:v>C0204</x:v>
      </x:c>
      <x:c r="C236" s="5" t="str">
        <x:v>Crossref pilot</x:v>
      </x:c>
      <x:c r="D236" s="5" t="str">
        <x:v>PILOT-20261013-01</x:v>
      </x:c>
      <x:c r="E236" s="5" t="str">
        <x:v>S13</x:v>
      </x:c>
      <x:c r="F236" s="5" t="n">
        <x:v>4</x:v>
      </x:c>
      <x:c r="G236" s="5" t="str">
        <x:v>10.2139/ssrn.6840298</x:v>
      </x:c>
      <x:c r="H236" s="5" t="str"/>
      <x:c r="I236" s="5" t="n">
        <x:v>0</x:v>
      </x:c>
      <x:c r="J236" s="5" t="str">
        <x:v>Vision-Guided Grounding for Reducing Hallucinations in Vision-Language Models</x:v>
      </x:c>
    </x:row>
    <x:row r="237" ht="40" customHeight="1">
      <x:c r="A237" s="5" t="str">
        <x:v>PILOT-20261013-01-S13-005</x:v>
      </x:c>
      <x:c r="B237" s="5" t="str">
        <x:v>C0205</x:v>
      </x:c>
      <x:c r="C237" s="5" t="str">
        <x:v>Crossref pilot</x:v>
      </x:c>
      <x:c r="D237" s="5" t="str">
        <x:v>PILOT-20261013-01</x:v>
      </x:c>
      <x:c r="E237" s="5" t="str">
        <x:v>S13</x:v>
      </x:c>
      <x:c r="F237" s="5" t="n">
        <x:v>5</x:v>
      </x:c>
      <x:c r="G237" s="5" t="str">
        <x:v>10.1016/j.inffus.2025.103910</x:v>
      </x:c>
      <x:c r="H237" s="5" t="str"/>
      <x:c r="I237" s="5" t="n">
        <x:v>0</x:v>
      </x:c>
      <x:c r="J237" s="5" t="str">
        <x:v>Zoom-Anomaly: Multimodal vision-Language fusion industrial anomaly detection with synthetic data</x:v>
      </x:c>
    </x:row>
    <x:row r="238" ht="40" customHeight="1">
      <x:c r="A238" s="5" t="str">
        <x:v>PILOT-20261013-01-S13-006</x:v>
      </x:c>
      <x:c r="B238" s="5" t="str">
        <x:v>C0206</x:v>
      </x:c>
      <x:c r="C238" s="5" t="str">
        <x:v>Crossref pilot</x:v>
      </x:c>
      <x:c r="D238" s="5" t="str">
        <x:v>PILOT-20261013-01</x:v>
      </x:c>
      <x:c r="E238" s="5" t="str">
        <x:v>S13</x:v>
      </x:c>
      <x:c r="F238" s="5" t="n">
        <x:v>6</x:v>
      </x:c>
      <x:c r="G238" s="5" t="str">
        <x:v>10.2514/6.2025-3793</x:v>
      </x:c>
      <x:c r="H238" s="5" t="str"/>
      <x:c r="I238" s="5" t="n">
        <x:v>0</x:v>
      </x:c>
      <x:c r="J238" s="5" t="str">
        <x:v>Large Vision Language Models for Anomaly Detection in Aircraft Inspection with Inspectors in the Loop</x:v>
      </x:c>
    </x:row>
    <x:row r="239" ht="40" customHeight="1">
      <x:c r="A239" s="5" t="str">
        <x:v>PILOT-20261013-01-S13-007</x:v>
      </x:c>
      <x:c r="B239" s="5" t="str">
        <x:v>C0207</x:v>
      </x:c>
      <x:c r="C239" s="5" t="str">
        <x:v>Crossref pilot</x:v>
      </x:c>
      <x:c r="D239" s="5" t="str">
        <x:v>PILOT-20261013-01</x:v>
      </x:c>
      <x:c r="E239" s="5" t="str">
        <x:v>S13</x:v>
      </x:c>
      <x:c r="F239" s="5" t="n">
        <x:v>7</x:v>
      </x:c>
      <x:c r="G239" s="5" t="str">
        <x:v>10.1093/acprof:oso/9780199554201.003.0012</x:v>
      </x:c>
      <x:c r="H239" s="5" t="str"/>
      <x:c r="I239" s="5" t="n">
        <x:v>0</x:v>
      </x:c>
      <x:c r="J239" s="5" t="str">
        <x:v>Grounding Information in Route Explanation Dialogues</x:v>
      </x:c>
    </x:row>
    <x:row r="240" ht="40" customHeight="1">
      <x:c r="A240" s="5" t="str">
        <x:v>PILOT-20261013-01-S13-008</x:v>
      </x:c>
      <x:c r="B240" s="5" t="str">
        <x:v>C0208</x:v>
      </x:c>
      <x:c r="C240" s="5" t="str">
        <x:v>Crossref pilot</x:v>
      </x:c>
      <x:c r="D240" s="5" t="str">
        <x:v>PILOT-20261013-01</x:v>
      </x:c>
      <x:c r="E240" s="5" t="str">
        <x:v>S13</x:v>
      </x:c>
      <x:c r="F240" s="5" t="n">
        <x:v>8</x:v>
      </x:c>
      <x:c r="G240" s="5" t="str">
        <x:v>10.1371/journal.pone.0353291</x:v>
      </x:c>
      <x:c r="H240" s="5" t="str"/>
      <x:c r="I240" s="5" t="n">
        <x:v>0</x:v>
      </x:c>
      <x:c r="J240" s="5" t="str">
        <x:v>Vision expert guided inspection for industrial anomaly detection</x:v>
      </x:c>
    </x:row>
    <x:row r="241" ht="40" customHeight="1">
      <x:c r="A241" s="5" t="str">
        <x:v>PILOT-20261013-01-S13-009</x:v>
      </x:c>
      <x:c r="B241" s="5" t="str">
        <x:v>C0209</x:v>
      </x:c>
      <x:c r="C241" s="5" t="str">
        <x:v>Crossref pilot</x:v>
      </x:c>
      <x:c r="D241" s="5" t="str">
        <x:v>PILOT-20261013-01</x:v>
      </x:c>
      <x:c r="E241" s="5" t="str">
        <x:v>S13</x:v>
      </x:c>
      <x:c r="F241" s="5" t="n">
        <x:v>9</x:v>
      </x:c>
      <x:c r="G241" s="5" t="str">
        <x:v>10.1093/oso/9780198857303.003.0005</x:v>
      </x:c>
      <x:c r="H241" s="5" t="str"/>
      <x:c r="I241" s="5" t="n">
        <x:v>0</x:v>
      </x:c>
      <x:c r="J241" s="5" t="str">
        <x:v>Grounding-Based Accounts of Everyday Metaphysical Explanation</x:v>
      </x:c>
    </x:row>
    <x:row r="242" ht="40" customHeight="1">
      <x:c r="A242" s="5" t="str">
        <x:v>PILOT-20261013-01-S13-010</x:v>
      </x:c>
      <x:c r="B242" s="5" t="str">
        <x:v>C0210</x:v>
      </x:c>
      <x:c r="C242" s="5" t="str">
        <x:v>Crossref pilot</x:v>
      </x:c>
      <x:c r="D242" s="5" t="str">
        <x:v>PILOT-20261013-01</x:v>
      </x:c>
      <x:c r="E242" s="5" t="str">
        <x:v>S13</x:v>
      </x:c>
      <x:c r="F242" s="5" t="n">
        <x:v>10</x:v>
      </x:c>
      <x:c r="G242" s="5" t="str">
        <x:v>10.1109/cvprw63382.2024.00396</x:v>
      </x:c>
      <x:c r="H242" s="5" t="str"/>
      <x:c r="I242" s="5" t="n">
        <x:v>0</x:v>
      </x:c>
      <x:c r="J242" s="5" t="str">
        <x:v>TAB: Text-Align Anomaly Backbone Model for Industrial Inspection Tasks</x:v>
      </x:c>
    </x:row>
    <x:row r="243" ht="40" customHeight="1">
      <x:c r="A243" s="5" t="str">
        <x:v>PILOT-20261013-01-S13-011</x:v>
      </x:c>
      <x:c r="B243" s="5" t="str">
        <x:v>C0211</x:v>
      </x:c>
      <x:c r="C243" s="5" t="str">
        <x:v>Crossref pilot</x:v>
      </x:c>
      <x:c r="D243" s="5" t="str">
        <x:v>PILOT-20261013-01</x:v>
      </x:c>
      <x:c r="E243" s="5" t="str">
        <x:v>S13</x:v>
      </x:c>
      <x:c r="F243" s="5" t="n">
        <x:v>11</x:v>
      </x:c>
      <x:c r="G243" s="5" t="str">
        <x:v>10.32920/ryerson.14665326.v1</x:v>
      </x:c>
      <x:c r="H243" s="5" t="str"/>
      <x:c r="I243" s="5" t="n">
        <x:v>0</x:v>
      </x:c>
      <x:c r="J243" s="5" t="str">
        <x:v>Studies on industrial vision inspection methods</x:v>
      </x:c>
    </x:row>
    <x:row r="244" ht="40" customHeight="1">
      <x:c r="A244" s="5" t="str">
        <x:v>PILOT-20261013-01-S13-012</x:v>
      </x:c>
      <x:c r="B244" s="5" t="str">
        <x:v>C0212</x:v>
      </x:c>
      <x:c r="C244" s="5" t="str">
        <x:v>Crossref pilot</x:v>
      </x:c>
      <x:c r="D244" s="5" t="str">
        <x:v>PILOT-20261013-01</x:v>
      </x:c>
      <x:c r="E244" s="5" t="str">
        <x:v>S13</x:v>
      </x:c>
      <x:c r="F244" s="5" t="n">
        <x:v>12</x:v>
      </x:c>
      <x:c r="G244" s="5" t="str">
        <x:v>10.47939/et.v2i8.315</x:v>
      </x:c>
      <x:c r="H244" s="5" t="str"/>
      <x:c r="I244" s="5" t="n">
        <x:v>0</x:v>
      </x:c>
      <x:c r="J244" s="5" t="str">
        <x:v>Research on Crane Protection Grounding Inspection and Detection</x:v>
      </x:c>
    </x:row>
    <x:row r="245" ht="40" customHeight="1">
      <x:c r="A245" s="5" t="str">
        <x:v>PILOT-20261013-01-S13-013</x:v>
      </x:c>
      <x:c r="B245" s="5" t="str">
        <x:v>C0213</x:v>
      </x:c>
      <x:c r="C245" s="5" t="str">
        <x:v>Crossref pilot</x:v>
      </x:c>
      <x:c r="D245" s="5" t="str">
        <x:v>PILOT-20261013-01</x:v>
      </x:c>
      <x:c r="E245" s="5" t="str">
        <x:v>S13</x:v>
      </x:c>
      <x:c r="F245" s="5" t="n">
        <x:v>13</x:v>
      </x:c>
      <x:c r="G245" s="5" t="str">
        <x:v>10.32920/ryerson.14665326</x:v>
      </x:c>
      <x:c r="H245" s="5" t="str"/>
      <x:c r="I245" s="5" t="n">
        <x:v>0</x:v>
      </x:c>
      <x:c r="J245" s="5" t="str">
        <x:v>Studies on industrial vision inspection methods</x:v>
      </x:c>
    </x:row>
    <x:row r="246" ht="40" customHeight="1">
      <x:c r="A246" s="5" t="str">
        <x:v>PILOT-20261013-01-S13-014</x:v>
      </x:c>
      <x:c r="B246" s="5" t="str">
        <x:v>C0214</x:v>
      </x:c>
      <x:c r="C246" s="5" t="str">
        <x:v>Crossref pilot</x:v>
      </x:c>
      <x:c r="D246" s="5" t="str">
        <x:v>PILOT-20261013-01</x:v>
      </x:c>
      <x:c r="E246" s="5" t="str">
        <x:v>S13</x:v>
      </x:c>
      <x:c r="F246" s="5" t="n">
        <x:v>14</x:v>
      </x:c>
      <x:c r="G246" s="5" t="str">
        <x:v>10.47939/et.v3i7(03).19</x:v>
      </x:c>
      <x:c r="H246" s="5" t="str"/>
      <x:c r="I246" s="5" t="n">
        <x:v>0</x:v>
      </x:c>
      <x:c r="J246" s="5" t="str">
        <x:v>Analysis of Common Problems in Crane Grounding Inspection</x:v>
      </x:c>
    </x:row>
    <x:row r="247" ht="40" customHeight="1">
      <x:c r="A247" s="5" t="str">
        <x:v>PILOT-20261013-01-S13-015</x:v>
      </x:c>
      <x:c r="B247" s="5" t="str">
        <x:v>C0167</x:v>
      </x:c>
      <x:c r="C247" s="5" t="str">
        <x:v>Crossref pilot</x:v>
      </x:c>
      <x:c r="D247" s="5" t="str">
        <x:v>PILOT-20261013-01</x:v>
      </x:c>
      <x:c r="E247" s="5" t="str">
        <x:v>S13</x:v>
      </x:c>
      <x:c r="F247" s="5" t="n">
        <x:v>15</x:v>
      </x:c>
      <x:c r="G247" s="5" t="str">
        <x:v>10.2139/ssrn.7011192</x:v>
      </x:c>
      <x:c r="H247" s="5" t="str">
        <x:v>PILOT-20261013-01-S10-002</x:v>
      </x:c>
      <x:c r="I247" s="5" t="n">
        <x:v>1</x:v>
      </x:c>
      <x:c r="J247" s="5" t="str">
        <x:v>Self-Supervised Contrastive Learning for Unsupervised Anomaly Detection in Industrial Surface Inspection</x:v>
      </x:c>
    </x:row>
    <x:row r="248" ht="40" customHeight="1">
      <x:c r="A248" s="5" t="str">
        <x:v>PILOT-20261013-01-S13-016</x:v>
      </x:c>
      <x:c r="B248" s="5" t="str">
        <x:v>C0215</x:v>
      </x:c>
      <x:c r="C248" s="5" t="str">
        <x:v>Crossref pilot</x:v>
      </x:c>
      <x:c r="D248" s="5" t="str">
        <x:v>PILOT-20261013-01</x:v>
      </x:c>
      <x:c r="E248" s="5" t="str">
        <x:v>S13</x:v>
      </x:c>
      <x:c r="F248" s="5" t="n">
        <x:v>16</x:v>
      </x:c>
      <x:c r="G248" s="5" t="str">
        <x:v>10.1109/iciea.2016.7603726</x:v>
      </x:c>
      <x:c r="H248" s="5" t="str"/>
      <x:c r="I248" s="5" t="n">
        <x:v>0</x:v>
      </x:c>
      <x:c r="J248" s="5" t="str">
        <x:v>3D anomaly inspection system for sewer pipes using stereo vision and novel image processing</x:v>
      </x:c>
    </x:row>
    <x:row r="249" ht="40" customHeight="1">
      <x:c r="A249" s="5" t="str">
        <x:v>PILOT-20261013-01-S13-017</x:v>
      </x:c>
      <x:c r="B249" s="5" t="str">
        <x:v>C0216</x:v>
      </x:c>
      <x:c r="C249" s="5" t="str">
        <x:v>Crossref pilot</x:v>
      </x:c>
      <x:c r="D249" s="5" t="str">
        <x:v>PILOT-20261013-01</x:v>
      </x:c>
      <x:c r="E249" s="5" t="str">
        <x:v>S13</x:v>
      </x:c>
      <x:c r="F249" s="5" t="n">
        <x:v>17</x:v>
      </x:c>
      <x:c r="G249" s="5" t="str">
        <x:v>10.1109/cvprf71909.2026.00889</x:v>
      </x:c>
      <x:c r="H249" s="5" t="str"/>
      <x:c r="I249" s="5" t="n">
        <x:v>0</x:v>
      </x:c>
      <x:c r="J249" s="5" t="str">
        <x:v>Grounding Hierarchical Vision-Language-Action Models Through Explicit Language-Action Alignment</x:v>
      </x:c>
    </x:row>
    <x:row r="250" ht="40" customHeight="1">
      <x:c r="A250" s="5" t="str">
        <x:v>PILOT-20261013-01-S13-018</x:v>
      </x:c>
      <x:c r="B250" s="5" t="str">
        <x:v>C0217</x:v>
      </x:c>
      <x:c r="C250" s="5" t="str">
        <x:v>Crossref pilot</x:v>
      </x:c>
      <x:c r="D250" s="5" t="str">
        <x:v>PILOT-20261013-01</x:v>
      </x:c>
      <x:c r="E250" s="5" t="str">
        <x:v>S13</x:v>
      </x:c>
      <x:c r="F250" s="5" t="n">
        <x:v>18</x:v>
      </x:c>
      <x:c r="G250" s="5" t="str">
        <x:v>10.1007/978-94-011-0273-5_12</x:v>
      </x:c>
      <x:c r="H250" s="5" t="str"/>
      <x:c r="I250" s="5" t="n">
        <x:v>0</x:v>
      </x:c>
      <x:c r="J250" s="5" t="str">
        <x:v>Grounding Language in Perception</x:v>
      </x:c>
    </x:row>
    <x:row r="251" ht="40" customHeight="1">
      <x:c r="A251" s="5" t="str">
        <x:v>PILOT-20261013-01-S13-019</x:v>
      </x:c>
      <x:c r="B251" s="5" t="str">
        <x:v>C0218</x:v>
      </x:c>
      <x:c r="C251" s="5" t="str">
        <x:v>Crossref pilot</x:v>
      </x:c>
      <x:c r="D251" s="5" t="str">
        <x:v>PILOT-20261013-01</x:v>
      </x:c>
      <x:c r="E251" s="5" t="str">
        <x:v>S13</x:v>
      </x:c>
      <x:c r="F251" s="5" t="n">
        <x:v>19</x:v>
      </x:c>
      <x:c r="G251" s="5" t="str">
        <x:v>10.1117/12.949229</x:v>
      </x:c>
      <x:c r="H251" s="5" t="str"/>
      <x:c r="I251" s="5" t="n">
        <x:v>0</x:v>
      </x:c>
      <x:c r="J251" s="5" t="str">
        <x:v>Vision Based Inspection And Quality Control For Use In Industrial Laundries</x:v>
      </x:c>
    </x:row>
    <x:row r="252" ht="40" customHeight="1">
      <x:c r="A252" s="5" t="str">
        <x:v>PILOT-20261013-01-S13-020</x:v>
      </x:c>
      <x:c r="B252" s="5" t="str">
        <x:v>C0219</x:v>
      </x:c>
      <x:c r="C252" s="5" t="str">
        <x:v>Crossref pilot</x:v>
      </x:c>
      <x:c r="D252" s="5" t="str">
        <x:v>PILOT-20261013-01</x:v>
      </x:c>
      <x:c r="E252" s="5" t="str">
        <x:v>S13</x:v>
      </x:c>
      <x:c r="F252" s="5" t="n">
        <x:v>20</x:v>
      </x:c>
      <x:c r="G252" s="5" t="str">
        <x:v>10.1016/j.imavis.2022.104451</x:v>
      </x:c>
      <x:c r="H252" s="5" t="str"/>
      <x:c r="I252" s="5" t="n">
        <x:v>0</x:v>
      </x:c>
      <x:c r="J252" s="5" t="str">
        <x:v>Learning language to symbol and language to vision mapping for visual grounding</x:v>
      </x:c>
    </x:row>
    <x:row r="253" ht="40" customHeight="1">
      <x:c r="A253" s="5" t="str">
        <x:v>PILOT-20261013-01-S13-021</x:v>
      </x:c>
      <x:c r="B253" s="5" t="str">
        <x:v>C0220</x:v>
      </x:c>
      <x:c r="C253" s="5" t="str">
        <x:v>Crossref pilot</x:v>
      </x:c>
      <x:c r="D253" s="5" t="str">
        <x:v>PILOT-20261013-01</x:v>
      </x:c>
      <x:c r="E253" s="5" t="str">
        <x:v>S13</x:v>
      </x:c>
      <x:c r="F253" s="5" t="n">
        <x:v>21</x:v>
      </x:c>
      <x:c r="G253" s="5" t="str">
        <x:v>10.1049/ic:19970266</x:v>
      </x:c>
      <x:c r="H253" s="5" t="str"/>
      <x:c r="I253" s="5" t="n">
        <x:v>0</x:v>
      </x:c>
      <x:c r="J253" s="5" t="str">
        <x:v>Machine vision in the inspection of patterned textile webs</x:v>
      </x:c>
    </x:row>
    <x:row r="254" ht="40" customHeight="1">
      <x:c r="A254" s="5" t="str">
        <x:v>PILOT-20261013-01-S13-022</x:v>
      </x:c>
      <x:c r="B254" s="5" t="str">
        <x:v>C0221</x:v>
      </x:c>
      <x:c r="C254" s="5" t="str">
        <x:v>Crossref pilot</x:v>
      </x:c>
      <x:c r="D254" s="5" t="str">
        <x:v>PILOT-20261013-01</x:v>
      </x:c>
      <x:c r="E254" s="5" t="str">
        <x:v>S13</x:v>
      </x:c>
      <x:c r="F254" s="5" t="n">
        <x:v>22</x:v>
      </x:c>
      <x:c r="G254" s="5" t="str">
        <x:v>10.1117/12.530683</x:v>
      </x:c>
      <x:c r="H254" s="5" t="str"/>
      <x:c r="I254" s="5" t="n">
        <x:v>0</x:v>
      </x:c>
      <x:c r="J254" s="5" t="str">
        <x:v>Machine vision system for surface inspection on brushed industrial parts</x:v>
      </x:c>
    </x:row>
    <x:row r="255" ht="40" customHeight="1">
      <x:c r="A255" s="5" t="str">
        <x:v>PILOT-20261013-01-S13-023</x:v>
      </x:c>
      <x:c r="B255" s="5" t="str">
        <x:v>C0172</x:v>
      </x:c>
      <x:c r="C255" s="5" t="str">
        <x:v>Crossref pilot</x:v>
      </x:c>
      <x:c r="D255" s="5" t="str">
        <x:v>PILOT-20261013-01</x:v>
      </x:c>
      <x:c r="E255" s="5" t="str">
        <x:v>S13</x:v>
      </x:c>
      <x:c r="F255" s="5" t="n">
        <x:v>23</x:v>
      </x:c>
      <x:c r="G255" s="5" t="str">
        <x:v>10.1117/12.2672541</x:v>
      </x:c>
      <x:c r="H255" s="5" t="str">
        <x:v>PILOT-20261013-01-S10-009</x:v>
      </x:c>
      <x:c r="I255" s="5" t="n">
        <x:v>1</x:v>
      </x:c>
      <x:c r="J255" s="5" t="str">
        <x:v>Unsupervised anomaly detection for industrial manufacturing using multiple perspectives of free falling parts</x:v>
      </x:c>
    </x:row>
    <x:row r="256" ht="53" customHeight="1">
      <x:c r="A256" s="5" t="str">
        <x:v>PILOT-20261013-01-S13-024</x:v>
      </x:c>
      <x:c r="B256" s="5" t="str">
        <x:v>C0222</x:v>
      </x:c>
      <x:c r="C256" s="5" t="str">
        <x:v>Crossref pilot</x:v>
      </x:c>
      <x:c r="D256" s="5" t="str">
        <x:v>PILOT-20261013-01</x:v>
      </x:c>
      <x:c r="E256" s="5" t="str">
        <x:v>S13</x:v>
      </x:c>
      <x:c r="F256" s="5" t="n">
        <x:v>24</x:v>
      </x:c>
      <x:c r="G256" s="5" t="str">
        <x:v>10.1007/978-1-4471-6741-9_12</x:v>
      </x:c>
      <x:c r="H256" s="5" t="str"/>
      <x:c r="I256" s="5" t="n">
        <x:v>0</x:v>
      </x:c>
      <x:c r="J256" s="5" t="str">
        <x:v>Smart Check 3D: An Industrial Inspection System Combining 3D Vision with Automatic Planning of Inspection Viewpoints</x:v>
      </x:c>
    </x:row>
    <x:row r="257" ht="53" customHeight="1">
      <x:c r="A257" s="5" t="str">
        <x:v>PILOT-20261013-01-S13-025</x:v>
      </x:c>
      <x:c r="B257" s="5" t="str">
        <x:v>C0223</x:v>
      </x:c>
      <x:c r="C257" s="5" t="str">
        <x:v>Crossref pilot</x:v>
      </x:c>
      <x:c r="D257" s="5" t="str">
        <x:v>PILOT-20261013-01</x:v>
      </x:c>
      <x:c r="E257" s="5" t="str">
        <x:v>S13</x:v>
      </x:c>
      <x:c r="F257" s="5" t="n">
        <x:v>25</x:v>
      </x:c>
      <x:c r="G257" s="5" t="str">
        <x:v>10.1007/s44163-026-02008-2</x:v>
      </x:c>
      <x:c r="H257" s="5" t="str"/>
      <x:c r="I257" s="5" t="n">
        <x:v>0</x:v>
      </x:c>
      <x:c r="J257" s="5" t="str">
        <x:v>Adaptive multimodal large language model with hierarchical cross modal grounding for real time industrial visual anomaly detection on edge devices</x:v>
      </x:c>
    </x:row>
    <x:row r="258" ht="40" customHeight="1">
      <x:c r="A258" s="5" t="str">
        <x:v>PILOT-20261013-01-S14-001</x:v>
      </x:c>
      <x:c r="B258" s="5" t="str">
        <x:v>C0224</x:v>
      </x:c>
      <x:c r="C258" s="5" t="str">
        <x:v>Crossref pilot</x:v>
      </x:c>
      <x:c r="D258" s="5" t="str">
        <x:v>PILOT-20261013-01</x:v>
      </x:c>
      <x:c r="E258" s="5" t="str">
        <x:v>S14</x:v>
      </x:c>
      <x:c r="F258" s="5" t="n">
        <x:v>1</x:v>
      </x:c>
      <x:c r="G258" s="5" t="str">
        <x:v>10.21203/rs.3.rs-9827907/v1</x:v>
      </x:c>
      <x:c r="H258" s="5" t="str"/>
      <x:c r="I258" s="5" t="n">
        <x:v>0</x:v>
      </x:c>
      <x:c r="J258" s="5" t="str">
        <x:v>Reliability-Aware Compact AI Framework for Industrial Predictive Maintenance Under Deployment Constraints</x:v>
      </x:c>
    </x:row>
    <x:row r="259" ht="40" customHeight="1">
      <x:c r="A259" s="5" t="str">
        <x:v>PILOT-20261013-01-S14-002</x:v>
      </x:c>
      <x:c r="B259" s="5" t="str">
        <x:v>C0225</x:v>
      </x:c>
      <x:c r="C259" s="5" t="str">
        <x:v>Crossref pilot</x:v>
      </x:c>
      <x:c r="D259" s="5" t="str">
        <x:v>PILOT-20261013-01</x:v>
      </x:c>
      <x:c r="E259" s="5" t="str">
        <x:v>S14</x:v>
      </x:c>
      <x:c r="F259" s="5" t="n">
        <x:v>2</x:v>
      </x:c>
      <x:c r="G259" s="5" t="str">
        <x:v>10.1007/s001380050134</x:v>
      </x:c>
      <x:c r="H259" s="5" t="str"/>
      <x:c r="I259" s="5" t="n">
        <x:v>0</x:v>
      </x:c>
      <x:c r="J259" s="5" t="str">
        <x:v>High performance computing for industrial visual inspection</x:v>
      </x:c>
    </x:row>
    <x:row r="260" ht="40" customHeight="1">
      <x:c r="A260" s="5" t="str">
        <x:v>PILOT-20261013-01-S14-003</x:v>
      </x:c>
      <x:c r="B260" s="5" t="str">
        <x:v>C0226</x:v>
      </x:c>
      <x:c r="C260" s="5" t="str">
        <x:v>Crossref pilot</x:v>
      </x:c>
      <x:c r="D260" s="5" t="str">
        <x:v>PILOT-20261013-01</x:v>
      </x:c>
      <x:c r="E260" s="5" t="str">
        <x:v>S14</x:v>
      </x:c>
      <x:c r="F260" s="5" t="n">
        <x:v>3</x:v>
      </x:c>
      <x:c r="G260" s="5" t="str">
        <x:v>10.1016/0026-2714(88)90203-x</x:v>
      </x:c>
      <x:c r="H260" s="5" t="str"/>
      <x:c r="I260" s="5" t="n">
        <x:v>0</x:v>
      </x:c>
      <x:c r="J260" s="5" t="str">
        <x:v>Illumination for visual photomask inspection</x:v>
      </x:c>
    </x:row>
    <x:row r="261" ht="40" customHeight="1">
      <x:c r="A261" s="5" t="str">
        <x:v>PILOT-20261013-01-S14-004</x:v>
      </x:c>
      <x:c r="B261" s="5" t="str">
        <x:v>C0227</x:v>
      </x:c>
      <x:c r="C261" s="5" t="str">
        <x:v>Crossref pilot</x:v>
      </x:c>
      <x:c r="D261" s="5" t="str">
        <x:v>PILOT-20261013-01</x:v>
      </x:c>
      <x:c r="E261" s="5" t="str">
        <x:v>S14</x:v>
      </x:c>
      <x:c r="F261" s="5" t="n">
        <x:v>4</x:v>
      </x:c>
      <x:c r="G261" s="5" t="str">
        <x:v>10.1117/12.477511</x:v>
      </x:c>
      <x:c r="H261" s="5" t="str"/>
      <x:c r="I261" s="5" t="n">
        <x:v>0</x:v>
      </x:c>
      <x:c r="J261" s="5" t="str">
        <x:v>Automated visual inspection for polished stone manufacture</x:v>
      </x:c>
    </x:row>
    <x:row r="262" ht="40" customHeight="1">
      <x:c r="A262" s="5" t="str">
        <x:v>PILOT-20261013-01-S14-005</x:v>
      </x:c>
      <x:c r="B262" s="5" t="str">
        <x:v>C0228</x:v>
      </x:c>
      <x:c r="C262" s="5" t="str">
        <x:v>Crossref pilot</x:v>
      </x:c>
      <x:c r="D262" s="5" t="str">
        <x:v>PILOT-20261013-01</x:v>
      </x:c>
      <x:c r="E262" s="5" t="str">
        <x:v>S14</x:v>
      </x:c>
      <x:c r="F262" s="5" t="n">
        <x:v>5</x:v>
      </x:c>
      <x:c r="G262" s="5" t="str">
        <x:v>10.1007/s00138-004-0136-7</x:v>
      </x:c>
      <x:c r="H262" s="5" t="str"/>
      <x:c r="I262" s="5" t="n">
        <x:v>0</x:v>
      </x:c>
      <x:c r="J262" s="5" t="str">
        <x:v>Deformation visual inspection of industrial parts with image sequence</x:v>
      </x:c>
    </x:row>
    <x:row r="263" ht="40" customHeight="1">
      <x:c r="A263" s="5" t="str">
        <x:v>PILOT-20261013-01-S14-006</x:v>
      </x:c>
      <x:c r="B263" s="5" t="str">
        <x:v>C0229</x:v>
      </x:c>
      <x:c r="C263" s="5" t="str">
        <x:v>Crossref pilot</x:v>
      </x:c>
      <x:c r="D263" s="5" t="str">
        <x:v>PILOT-20261013-01</x:v>
      </x:c>
      <x:c r="E263" s="5" t="str">
        <x:v>S14</x:v>
      </x:c>
      <x:c r="F263" s="5" t="n">
        <x:v>6</x:v>
      </x:c>
      <x:c r="G263" s="5" t="str">
        <x:v>10.1016/0026-2714(69)90121-8</x:v>
      </x:c>
      <x:c r="H263" s="5" t="str"/>
      <x:c r="I263" s="5" t="n">
        <x:v>0</x:v>
      </x:c>
      <x:c r="J263" s="5" t="str">
        <x:v>Visual inspection of ICs boosts reliability at little cost</x:v>
      </x:c>
    </x:row>
    <x:row r="264" ht="40" customHeight="1">
      <x:c r="A264" s="5" t="str">
        <x:v>PILOT-20261013-01-S14-007</x:v>
      </x:c>
      <x:c r="B264" s="5" t="str">
        <x:v>C0230</x:v>
      </x:c>
      <x:c r="C264" s="5" t="str">
        <x:v>Crossref pilot</x:v>
      </x:c>
      <x:c r="D264" s="5" t="str">
        <x:v>PILOT-20261013-01</x:v>
      </x:c>
      <x:c r="E264" s="5" t="str">
        <x:v>S14</x:v>
      </x:c>
      <x:c r="F264" s="5" t="n">
        <x:v>7</x:v>
      </x:c>
      <x:c r="G264" s="5" t="str">
        <x:v>10.1016/0026-2714(94)90363-8</x:v>
      </x:c>
      <x:c r="H264" s="5" t="str"/>
      <x:c r="I264" s="5" t="n">
        <x:v>0</x:v>
      </x:c>
      <x:c r="J264" s="5" t="str">
        <x:v>Reliability of multistage production systems controlled by automated visual inspection</x:v>
      </x:c>
    </x:row>
    <x:row r="265" ht="40" customHeight="1">
      <x:c r="A265" s="5" t="str">
        <x:v>PILOT-20261013-01-S14-008</x:v>
      </x:c>
      <x:c r="B265" s="5" t="str">
        <x:v>C0231</x:v>
      </x:c>
      <x:c r="C265" s="5" t="str">
        <x:v>Crossref pilot</x:v>
      </x:c>
      <x:c r="D265" s="5" t="str">
        <x:v>PILOT-20261013-01</x:v>
      </x:c>
      <x:c r="E265" s="5" t="str">
        <x:v>S14</x:v>
      </x:c>
      <x:c r="F265" s="5" t="n">
        <x:v>8</x:v>
      </x:c>
      <x:c r="G265" s="5" t="str">
        <x:v>10.1016/0026-2714(67)90102-3</x:v>
      </x:c>
      <x:c r="H265" s="5" t="str"/>
      <x:c r="I265" s="5" t="n">
        <x:v>0</x:v>
      </x:c>
      <x:c r="J265" s="5" t="str">
        <x:v>Visual inspection standards for parallel-gap soldered joints</x:v>
      </x:c>
    </x:row>
    <x:row r="266" ht="40" customHeight="1">
      <x:c r="A266" s="5" t="str">
        <x:v>PILOT-20261013-01-S14-009</x:v>
      </x:c>
      <x:c r="B266" s="5" t="str">
        <x:v>C0232</x:v>
      </x:c>
      <x:c r="C266" s="5" t="str">
        <x:v>Crossref pilot</x:v>
      </x:c>
      <x:c r="D266" s="5" t="str">
        <x:v>PILOT-20261013-01</x:v>
      </x:c>
      <x:c r="E266" s="5" t="str">
        <x:v>S14</x:v>
      </x:c>
      <x:c r="F266" s="5" t="n">
        <x:v>9</x:v>
      </x:c>
      <x:c r="G266" s="5" t="str">
        <x:v>10.1016/0026-2714(94)90325-5</x:v>
      </x:c>
      <x:c r="H266" s="5" t="str"/>
      <x:c r="I266" s="5" t="n">
        <x:v>0</x:v>
      </x:c>
      <x:c r="J266" s="5" t="str">
        <x:v>Automated visual inspection system for bonded IC wires</x:v>
      </x:c>
    </x:row>
    <x:row r="267" ht="40" customHeight="1">
      <x:c r="A267" s="5" t="str">
        <x:v>PILOT-20261013-01-S14-010</x:v>
      </x:c>
      <x:c r="B267" s="5" t="str">
        <x:v>C0233</x:v>
      </x:c>
      <x:c r="C267" s="5" t="str">
        <x:v>Crossref pilot</x:v>
      </x:c>
      <x:c r="D267" s="5" t="str">
        <x:v>PILOT-20261013-01</x:v>
      </x:c>
      <x:c r="E267" s="5" t="str">
        <x:v>S14</x:v>
      </x:c>
      <x:c r="F267" s="5" t="n">
        <x:v>10</x:v>
      </x:c>
      <x:c r="G267" s="5" t="str">
        <x:v>10.1117/12.271250</x:v>
      </x:c>
      <x:c r="H267" s="5" t="str"/>
      <x:c r="I267" s="5" t="n">
        <x:v>0</x:v>
      </x:c>
      <x:c r="J267" s="5" t="str">
        <x:v>&lt;title&gt;Image quality in automated visual web inspection&lt;/title&gt;</x:v>
      </x:c>
    </x:row>
    <x:row r="268" ht="40" customHeight="1">
      <x:c r="A268" s="5" t="str">
        <x:v>PILOT-20261013-01-S14-011</x:v>
      </x:c>
      <x:c r="B268" s="5" t="str">
        <x:v>C0234</x:v>
      </x:c>
      <x:c r="C268" s="5" t="str">
        <x:v>Crossref pilot</x:v>
      </x:c>
      <x:c r="D268" s="5" t="str">
        <x:v>PILOT-20261013-01</x:v>
      </x:c>
      <x:c r="E268" s="5" t="str">
        <x:v>S14</x:v>
      </x:c>
      <x:c r="F268" s="5" t="n">
        <x:v>11</x:v>
      </x:c>
      <x:c r="G268" s="5" t="str">
        <x:v>10.1061/9780784483893.032</x:v>
      </x:c>
      <x:c r="H268" s="5" t="str"/>
      <x:c r="I268" s="5" t="n">
        <x:v>0</x:v>
      </x:c>
      <x:c r="J268" s="5" t="str">
        <x:v>Human Reliability Analysis and Prediction for Visual Inspection in Bridge Maintenance</x:v>
      </x:c>
    </x:row>
    <x:row r="269" ht="40" customHeight="1">
      <x:c r="A269" s="5" t="str">
        <x:v>PILOT-20261013-01-S14-012</x:v>
      </x:c>
      <x:c r="B269" s="5" t="str">
        <x:v>C0235</x:v>
      </x:c>
      <x:c r="C269" s="5" t="str">
        <x:v>Crossref pilot</x:v>
      </x:c>
      <x:c r="D269" s="5" t="str">
        <x:v>PILOT-20261013-01</x:v>
      </x:c>
      <x:c r="E269" s="5" t="str">
        <x:v>S14</x:v>
      </x:c>
      <x:c r="F269" s="5" t="n">
        <x:v>12</x:v>
      </x:c>
      <x:c r="G269" s="5" t="str">
        <x:v>10.1016/0026-2714(91)90379-l</x:v>
      </x:c>
      <x:c r="H269" s="5" t="str"/>
      <x:c r="I269" s="5" t="n">
        <x:v>0</x:v>
      </x:c>
      <x:c r="J269" s="5" t="str">
        <x:v>Visual inspection of surface-mounted solder joints</x:v>
      </x:c>
    </x:row>
    <x:row r="270" ht="40" customHeight="1">
      <x:c r="A270" s="5" t="str">
        <x:v>PILOT-20261013-01-S14-013</x:v>
      </x:c>
      <x:c r="B270" s="5" t="str">
        <x:v>C0236</x:v>
      </x:c>
      <x:c r="C270" s="5" t="str">
        <x:v>Crossref pilot</x:v>
      </x:c>
      <x:c r="D270" s="5" t="str">
        <x:v>PILOT-20261013-01</x:v>
      </x:c>
      <x:c r="E270" s="5" t="str">
        <x:v>S14</x:v>
      </x:c>
      <x:c r="F270" s="5" t="n">
        <x:v>13</x:v>
      </x:c>
      <x:c r="G270" s="5" t="str">
        <x:v>10.1016/0026-2714(91)90068-i</x:v>
      </x:c>
      <x:c r="H270" s="5" t="str"/>
      <x:c r="I270" s="5" t="n">
        <x:v>0</x:v>
      </x:c>
      <x:c r="J270" s="5" t="str">
        <x:v>Automated visual inspection of bare printed circuit boards</x:v>
      </x:c>
    </x:row>
    <x:row r="271" ht="40" customHeight="1">
      <x:c r="A271" s="5" t="str">
        <x:v>PILOT-20261013-01-S14-014</x:v>
      </x:c>
      <x:c r="B271" s="5" t="str">
        <x:v>C0237</x:v>
      </x:c>
      <x:c r="C271" s="5" t="str">
        <x:v>Crossref pilot</x:v>
      </x:c>
      <x:c r="D271" s="5" t="str">
        <x:v>PILOT-20261013-01</x:v>
      </x:c>
      <x:c r="E271" s="5" t="str">
        <x:v>S14</x:v>
      </x:c>
      <x:c r="F271" s="5" t="n">
        <x:v>14</x:v>
      </x:c>
      <x:c r="G271" s="5" t="str">
        <x:v>10.1117/12.380086</x:v>
      </x:c>
      <x:c r="H271" s="5" t="str"/>
      <x:c r="I271" s="5" t="n">
        <x:v>0</x:v>
      </x:c>
      <x:c r="J271" s="5" t="str">
        <x:v>&lt;title&gt;CNN based visual processing for industrial inspection&lt;/title&gt;</x:v>
      </x:c>
    </x:row>
    <x:row r="272" ht="40" customHeight="1">
      <x:c r="A272" s="5" t="str">
        <x:v>PILOT-20261013-01-S14-015</x:v>
      </x:c>
      <x:c r="B272" s="5" t="str">
        <x:v>C0238</x:v>
      </x:c>
      <x:c r="C272" s="5" t="str">
        <x:v>Crossref pilot</x:v>
      </x:c>
      <x:c r="D272" s="5" t="str">
        <x:v>PILOT-20261013-01</x:v>
      </x:c>
      <x:c r="E272" s="5" t="str">
        <x:v>S14</x:v>
      </x:c>
      <x:c r="F272" s="5" t="n">
        <x:v>15</x:v>
      </x:c>
      <x:c r="G272" s="5" t="str">
        <x:v>10.1016/b978-0-12-206093-9.50067-8</x:v>
      </x:c>
      <x:c r="H272" s="5" t="str"/>
      <x:c r="I272" s="5" t="n">
        <x:v>0</x:v>
      </x:c>
      <x:c r="J272" s="5" t="str">
        <x:v>Automated Visual Inspection</x:v>
      </x:c>
    </x:row>
    <x:row r="273" ht="40" customHeight="1">
      <x:c r="A273" s="5" t="str">
        <x:v>PILOT-20261013-01-S14-016</x:v>
      </x:c>
      <x:c r="B273" s="5" t="str">
        <x:v>C0239</x:v>
      </x:c>
      <x:c r="C273" s="5" t="str">
        <x:v>Crossref pilot</x:v>
      </x:c>
      <x:c r="D273" s="5" t="str">
        <x:v>PILOT-20261013-01</x:v>
      </x:c>
      <x:c r="E273" s="5" t="str">
        <x:v>S14</x:v>
      </x:c>
      <x:c r="F273" s="5" t="n">
        <x:v>16</x:v>
      </x:c>
      <x:c r="G273" s="5" t="str">
        <x:v>10.1117/12.2673829</x:v>
      </x:c>
      <x:c r="H273" s="5" t="str"/>
      <x:c r="I273" s="5" t="n">
        <x:v>0</x:v>
      </x:c>
      <x:c r="J273" s="5" t="str">
        <x:v>Light field Inspection</x:v>
      </x:c>
    </x:row>
    <x:row r="274" ht="40" customHeight="1">
      <x:c r="A274" s="5" t="str">
        <x:v>PILOT-20261013-01-S14-017</x:v>
      </x:c>
      <x:c r="B274" s="5" t="str">
        <x:v>C0240</x:v>
      </x:c>
      <x:c r="C274" s="5" t="str">
        <x:v>Crossref pilot</x:v>
      </x:c>
      <x:c r="D274" s="5" t="str">
        <x:v>PILOT-20261013-01</x:v>
      </x:c>
      <x:c r="E274" s="5" t="str">
        <x:v>S14</x:v>
      </x:c>
      <x:c r="F274" s="5" t="n">
        <x:v>17</x:v>
      </x:c>
      <x:c r="G274" s="5" t="str">
        <x:v>10.1016/0967-0661(93)92254-2</x:v>
      </x:c>
      <x:c r="H274" s="5" t="str"/>
      <x:c r="I274" s="5" t="n">
        <x:v>0</x:v>
      </x:c>
      <x:c r="J274" s="5" t="str">
        <x:v>Pairing human and machine-vision in industrial inspection tasks</x:v>
      </x:c>
    </x:row>
    <x:row r="275" ht="40" customHeight="1">
      <x:c r="A275" s="5" t="str">
        <x:v>PILOT-20261013-01-S14-018</x:v>
      </x:c>
      <x:c r="B275" s="5" t="str">
        <x:v>C0241</x:v>
      </x:c>
      <x:c r="C275" s="5" t="str">
        <x:v>Crossref pilot</x:v>
      </x:c>
      <x:c r="D275" s="5" t="str">
        <x:v>PILOT-20261013-01</x:v>
      </x:c>
      <x:c r="E275" s="5" t="str">
        <x:v>S14</x:v>
      </x:c>
      <x:c r="F275" s="5" t="n">
        <x:v>18</x:v>
      </x:c>
      <x:c r="G275" s="5" t="str">
        <x:v>10.1109/iecon.2006.347916</x:v>
      </x:c>
      <x:c r="H275" s="5" t="str"/>
      <x:c r="I275" s="5" t="n">
        <x:v>0</x:v>
      </x:c>
      <x:c r="J275" s="5" t="str">
        <x:v>Human Factors of Visual Inspection Systems in Production</x:v>
      </x:c>
    </x:row>
    <x:row r="276" ht="40" customHeight="1">
      <x:c r="A276" s="5" t="str">
        <x:v>PILOT-20261013-01-S14-019</x:v>
      </x:c>
      <x:c r="B276" s="5" t="str">
        <x:v>C0242</x:v>
      </x:c>
      <x:c r="C276" s="5" t="str">
        <x:v>Crossref pilot</x:v>
      </x:c>
      <x:c r="D276" s="5" t="str">
        <x:v>PILOT-20261013-01</x:v>
      </x:c>
      <x:c r="E276" s="5" t="str">
        <x:v>S14</x:v>
      </x:c>
      <x:c r="F276" s="5" t="n">
        <x:v>19</x:v>
      </x:c>
      <x:c r="G276" s="5" t="str">
        <x:v>10.1016/0026-2714(87)90276-9</x:v>
      </x:c>
      <x:c r="H276" s="5" t="str"/>
      <x:c r="I276" s="5" t="n">
        <x:v>0</x:v>
      </x:c>
      <x:c r="J276" s="5" t="str">
        <x:v>Machine vision automates inspection of thick-film hybrids</x:v>
      </x:c>
    </x:row>
    <x:row r="277" ht="40" customHeight="1">
      <x:c r="A277" s="5" t="str">
        <x:v>PILOT-20261013-01-S14-020</x:v>
      </x:c>
      <x:c r="B277" s="5" t="str">
        <x:v>C0243</x:v>
      </x:c>
      <x:c r="C277" s="5" t="str">
        <x:v>Crossref pilot</x:v>
      </x:c>
      <x:c r="D277" s="5" t="str">
        <x:v>PILOT-20261013-01</x:v>
      </x:c>
      <x:c r="E277" s="5" t="str">
        <x:v>S14</x:v>
      </x:c>
      <x:c r="F277" s="5" t="n">
        <x:v>20</x:v>
      </x:c>
      <x:c r="G277" s="5" t="str">
        <x:v>10.1117/12.460189</x:v>
      </x:c>
      <x:c r="H277" s="5" t="str"/>
      <x:c r="I277" s="5" t="n">
        <x:v>0</x:v>
      </x:c>
      <x:c r="J277" s="5" t="str">
        <x:v>&lt;title&gt;Real-time aspects of SOM-based visual surface inspection&lt;/title&gt;</x:v>
      </x:c>
    </x:row>
    <x:row r="278" ht="40" customHeight="1">
      <x:c r="A278" s="5" t="str">
        <x:v>PILOT-20261013-01-S14-021</x:v>
      </x:c>
      <x:c r="B278" s="5" t="str">
        <x:v>C0244</x:v>
      </x:c>
      <x:c r="C278" s="5" t="str">
        <x:v>Crossref pilot</x:v>
      </x:c>
      <x:c r="D278" s="5" t="str">
        <x:v>PILOT-20261013-01</x:v>
      </x:c>
      <x:c r="E278" s="5" t="str">
        <x:v>S14</x:v>
      </x:c>
      <x:c r="F278" s="5" t="n">
        <x:v>21</x:v>
      </x:c>
      <x:c r="G278" s="5" t="str">
        <x:v>10.4271/972592</x:v>
      </x:c>
      <x:c r="H278" s="5" t="str"/>
      <x:c r="I278" s="5" t="n">
        <x:v>0</x:v>
      </x:c>
      <x:c r="J278" s="5" t="str">
        <x:v>Human Factors and the Reliability of Airframe Visual Inspection</x:v>
      </x:c>
    </x:row>
    <x:row r="279" ht="40" customHeight="1">
      <x:c r="A279" s="5" t="str">
        <x:v>PILOT-20261013-01-S14-022</x:v>
      </x:c>
      <x:c r="B279" s="5" t="str">
        <x:v>C0245</x:v>
      </x:c>
      <x:c r="C279" s="5" t="str">
        <x:v>Crossref pilot</x:v>
      </x:c>
      <x:c r="D279" s="5" t="str">
        <x:v>PILOT-20261013-01</x:v>
      </x:c>
      <x:c r="E279" s="5" t="str">
        <x:v>S14</x:v>
      </x:c>
      <x:c r="F279" s="5" t="n">
        <x:v>22</x:v>
      </x:c>
      <x:c r="G279" s="5" t="str">
        <x:v>10.1016/b978-012206093-9/50025-3</x:v>
      </x:c>
      <x:c r="H279" s="5" t="str"/>
      <x:c r="I279" s="5" t="n">
        <x:v>0</x:v>
      </x:c>
      <x:c r="J279" s="5" t="str">
        <x:v>Automated Visual Inspection</x:v>
      </x:c>
    </x:row>
    <x:row r="280" ht="40" customHeight="1">
      <x:c r="A280" s="5" t="str">
        <x:v>PILOT-20261013-01-S14-023</x:v>
      </x:c>
      <x:c r="B280" s="5" t="str">
        <x:v>C0246</x:v>
      </x:c>
      <x:c r="C280" s="5" t="str">
        <x:v>Crossref pilot</x:v>
      </x:c>
      <x:c r="D280" s="5" t="str">
        <x:v>PILOT-20261013-01</x:v>
      </x:c>
      <x:c r="E280" s="5" t="str">
        <x:v>S14</x:v>
      </x:c>
      <x:c r="F280" s="5" t="n">
        <x:v>23</x:v>
      </x:c>
      <x:c r="G280" s="5" t="str">
        <x:v>10.1016/b978-0-12-206090-8.50027-x</x:v>
      </x:c>
      <x:c r="H280" s="5" t="str"/>
      <x:c r="I280" s="5" t="n">
        <x:v>0</x:v>
      </x:c>
      <x:c r="J280" s="5" t="str">
        <x:v>Automated Visual Inspection</x:v>
      </x:c>
    </x:row>
    <x:row r="281" ht="40" customHeight="1">
      <x:c r="A281" s="5" t="str">
        <x:v>PILOT-20261013-01-S14-024</x:v>
      </x:c>
      <x:c r="B281" s="5" t="str">
        <x:v>C0247</x:v>
      </x:c>
      <x:c r="C281" s="5" t="str">
        <x:v>Crossref pilot</x:v>
      </x:c>
      <x:c r="D281" s="5" t="str">
        <x:v>PILOT-20261013-01</x:v>
      </x:c>
      <x:c r="E281" s="5" t="str">
        <x:v>S14</x:v>
      </x:c>
      <x:c r="F281" s="5" t="n">
        <x:v>24</x:v>
      </x:c>
      <x:c r="G281" s="5" t="str">
        <x:v>10.7551/mitpress/14453.003.0025</x:v>
      </x:c>
      <x:c r="H281" s="5" t="str"/>
      <x:c r="I281" s="5" t="n">
        <x:v>0</x:v>
      </x:c>
      <x:c r="J281" s="5" t="str">
        <x:v>Seagate: Improving Automated Visual Inspection of Wafers and Fab Tooling with AI</x:v>
      </x:c>
    </x:row>
    <x:row r="282" ht="40" customHeight="1">
      <x:c r="A282" s="5" t="str">
        <x:v>PILOT-20261013-01-S14-025</x:v>
      </x:c>
      <x:c r="B282" s="5" t="str">
        <x:v>C0248</x:v>
      </x:c>
      <x:c r="C282" s="5" t="str">
        <x:v>Crossref pilot</x:v>
      </x:c>
      <x:c r="D282" s="5" t="str">
        <x:v>PILOT-20261013-01</x:v>
      </x:c>
      <x:c r="E282" s="5" t="str">
        <x:v>S14</x:v>
      </x:c>
      <x:c r="F282" s="5" t="n">
        <x:v>25</x:v>
      </x:c>
      <x:c r="G282" s="5" t="str">
        <x:v>10.1177/0018720815602389</x:v>
      </x:c>
      <x:c r="H282" s="5" t="str"/>
      <x:c r="I282" s="5" t="n">
        <x:v>0</x:v>
      </x:c>
      <x:c r="J282" s="5" t="str">
        <x:v>Visual Inspection Reliability for Precision Manufactured Parts</x:v>
      </x:c>
    </x:row>
    <x:row r="283" ht="40" customHeight="1">
      <x:c r="A283" s="5" t="str">
        <x:v>PILOT-20261013-01-S15-001</x:v>
      </x:c>
      <x:c r="B283" s="5" t="str">
        <x:v>C0249</x:v>
      </x:c>
      <x:c r="C283" s="5" t="str">
        <x:v>Crossref pilot</x:v>
      </x:c>
      <x:c r="D283" s="5" t="str">
        <x:v>PILOT-20261013-01</x:v>
      </x:c>
      <x:c r="E283" s="5" t="str">
        <x:v>S15</x:v>
      </x:c>
      <x:c r="F283" s="5" t="n">
        <x:v>1</x:v>
      </x:c>
      <x:c r="G283" s="5" t="str">
        <x:v>10.2139/ssrn.5371357</x:v>
      </x:c>
      <x:c r="H283" s="5" t="str"/>
      <x:c r="I283" s="5" t="n">
        <x:v>0</x:v>
      </x:c>
      <x:c r="J283" s="5" t="str">
        <x:v>Anomaly Detection in Industrial Park: Benchmark Virtual-Real Dataset and an Improved Yolo Model</x:v>
      </x:c>
    </x:row>
    <x:row r="284" ht="40" customHeight="1">
      <x:c r="A284" s="5" t="str">
        <x:v>PILOT-20261013-01-S15-002</x:v>
      </x:c>
      <x:c r="B284" s="5" t="str">
        <x:v>C0250</x:v>
      </x:c>
      <x:c r="C284" s="5" t="str">
        <x:v>Crossref pilot</x:v>
      </x:c>
      <x:c r="D284" s="5" t="str">
        <x:v>PILOT-20261013-01</x:v>
      </x:c>
      <x:c r="E284" s="5" t="str">
        <x:v>S15</x:v>
      </x:c>
      <x:c r="F284" s="5" t="n">
        <x:v>2</x:v>
      </x:c>
      <x:c r="G284" s="5" t="str">
        <x:v>10.36227/techrxiv.171177260.01297477/v1</x:v>
      </x:c>
      <x:c r="H284" s="5" t="str"/>
      <x:c r="I284" s="5" t="n">
        <x:v>0</x:v>
      </x:c>
      <x:c r="J284" s="5" t="str">
        <x:v>Unified Spacecraft Anomaly Detection Benchmark: Aggregated and Preprocessed Dataset</x:v>
      </x:c>
    </x:row>
    <x:row r="285" ht="40" customHeight="1">
      <x:c r="A285" s="5" t="str">
        <x:v>PILOT-20261013-01-S15-003</x:v>
      </x:c>
      <x:c r="B285" s="5" t="str">
        <x:v>C0251</x:v>
      </x:c>
      <x:c r="C285" s="5" t="str">
        <x:v>Crossref pilot</x:v>
      </x:c>
      <x:c r="D285" s="5" t="str">
        <x:v>PILOT-20261013-01</x:v>
      </x:c>
      <x:c r="E285" s="5" t="str">
        <x:v>S15</x:v>
      </x:c>
      <x:c r="F285" s="5" t="n">
        <x:v>3</x:v>
      </x:c>
      <x:c r="G285" s="5" t="str">
        <x:v>10.1109/cvprf71909.2026.00202</x:v>
      </x:c>
      <x:c r="H285" s="5" t="str"/>
      <x:c r="I285" s="5" t="n">
        <x:v>0</x:v>
      </x:c>
      <x:c r="J285" s="5" t="str">
        <x:v>Real-IAD MVN: A Multi-View Normal Vector Dataset and Benchmark for High-Fidelity Industrial Anomaly Detection</x:v>
      </x:c>
    </x:row>
    <x:row r="286" ht="40" customHeight="1">
      <x:c r="A286" s="5" t="str">
        <x:v>PILOT-20261013-01-S15-004</x:v>
      </x:c>
      <x:c r="B286" s="5" t="str">
        <x:v>C0252</x:v>
      </x:c>
      <x:c r="C286" s="5" t="str">
        <x:v>Crossref pilot</x:v>
      </x:c>
      <x:c r="D286" s="5" t="str">
        <x:v>PILOT-20261013-01</x:v>
      </x:c>
      <x:c r="E286" s="5" t="str">
        <x:v>S15</x:v>
      </x:c>
      <x:c r="F286" s="5" t="n">
        <x:v>4</x:v>
      </x:c>
      <x:c r="G286" s="5" t="str">
        <x:v>10.1109/cvprw67362.2025.00389</x:v>
      </x:c>
      <x:c r="H286" s="5" t="str"/>
      <x:c r="I286" s="5" t="n">
        <x:v>0</x:v>
      </x:c>
      <x:c r="J286" s="5" t="str">
        <x:v>Robust AD: A Real World Benchmark Dataset for Robustness in Industrial Anomaly Detection</x:v>
      </x:c>
    </x:row>
    <x:row r="287" ht="40" customHeight="1">
      <x:c r="A287" s="5" t="str">
        <x:v>PILOT-20261013-01-S15-005</x:v>
      </x:c>
      <x:c r="B287" s="5" t="str">
        <x:v>C0253</x:v>
      </x:c>
      <x:c r="C287" s="5" t="str">
        <x:v>Crossref pilot</x:v>
      </x:c>
      <x:c r="D287" s="5" t="str">
        <x:v>PILOT-20261013-01</x:v>
      </x:c>
      <x:c r="E287" s="5" t="str">
        <x:v>S15</x:v>
      </x:c>
      <x:c r="F287" s="5" t="n">
        <x:v>5</x:v>
      </x:c>
      <x:c r="G287" s="5" t="str">
        <x:v>10.5220/0014210600004084</x:v>
      </x:c>
      <x:c r="H287" s="5" t="str"/>
      <x:c r="I287" s="5" t="n">
        <x:v>0</x:v>
      </x:c>
      <x:c r="J287" s="5" t="str">
        <x:v>PairAnom: A Benchmark Dataset for Pairwise Fine-Grained Multi-Class Video Anomaly Detection</x:v>
      </x:c>
    </x:row>
    <x:row r="288" ht="40" customHeight="1">
      <x:c r="A288" s="5" t="str">
        <x:v>PILOT-20261013-01-S15-006</x:v>
      </x:c>
      <x:c r="B288" s="5" t="str">
        <x:v>C0254</x:v>
      </x:c>
      <x:c r="C288" s="5" t="str">
        <x:v>Crossref pilot</x:v>
      </x:c>
      <x:c r="D288" s="5" t="str">
        <x:v>PILOT-20261013-01</x:v>
      </x:c>
      <x:c r="E288" s="5" t="str">
        <x:v>S15</x:v>
      </x:c>
      <x:c r="F288" s="5" t="n">
        <x:v>6</x:v>
      </x:c>
      <x:c r="G288" s="5" t="str">
        <x:v>10.1109/access.2026.3691935</x:v>
      </x:c>
      <x:c r="H288" s="5" t="str"/>
      <x:c r="I288" s="5" t="n">
        <x:v>0</x:v>
      </x:c>
      <x:c r="J288" s="5" t="str">
        <x:v>Beyond Random Splits: A Temporal Robustness Benchmark for Industrial Food Anomaly Detection</x:v>
      </x:c>
    </x:row>
    <x:row r="289" ht="40" customHeight="1">
      <x:c r="A289" s="5" t="str">
        <x:v>PILOT-20261013-01-S15-007</x:v>
      </x:c>
      <x:c r="B289" s="5" t="str">
        <x:v>C0255</x:v>
      </x:c>
      <x:c r="C289" s="5" t="str">
        <x:v>Crossref pilot</x:v>
      </x:c>
      <x:c r="D289" s="5" t="str">
        <x:v>PILOT-20261013-01</x:v>
      </x:c>
      <x:c r="E289" s="5" t="str">
        <x:v>S15</x:v>
      </x:c>
      <x:c r="F289" s="5" t="n">
        <x:v>7</x:v>
      </x:c>
      <x:c r="G289" s="5" t="str">
        <x:v>10.51202/9783186886101-82</x:v>
      </x:c>
      <x:c r="H289" s="5" t="str"/>
      <x:c r="I289" s="5" t="n">
        <x:v>0</x:v>
      </x:c>
      <x:c r="J289" s="5" t="str">
        <x:v>7  Voraus-AD dataset</x:v>
      </x:c>
    </x:row>
    <x:row r="290" ht="53" customHeight="1">
      <x:c r="A290" s="5" t="str">
        <x:v>PILOT-20261013-01-S15-008</x:v>
      </x:c>
      <x:c r="B290" s="5" t="str">
        <x:v>C0256</x:v>
      </x:c>
      <x:c r="C290" s="5" t="str">
        <x:v>Crossref pilot</x:v>
      </x:c>
      <x:c r="D290" s="5" t="str">
        <x:v>PILOT-20261013-01</x:v>
      </x:c>
      <x:c r="E290" s="5" t="str">
        <x:v>S15</x:v>
      </x:c>
      <x:c r="F290" s="5" t="n">
        <x:v>8</x:v>
      </x:c>
      <x:c r="G290" s="5" t="str">
        <x:v>10.3390/data11070165</x:v>
      </x:c>
      <x:c r="H290" s="5" t="str"/>
      <x:c r="I290" s="5" t="n">
        <x:v>0</x:v>
      </x:c>
      <x:c r="J290" s="5" t="str">
        <x:v>A Pilot-Real-Calibrated Indoor Robotic IoT Benchmark Dataset for Edge-Assisted Mobile Robot Navigation and Anomaly Detection</x:v>
      </x:c>
    </x:row>
    <x:row r="291" ht="40" customHeight="1">
      <x:c r="A291" s="5" t="str">
        <x:v>PILOT-20261013-01-S15-009</x:v>
      </x:c>
      <x:c r="B291" s="5" t="str">
        <x:v>C0257</x:v>
      </x:c>
      <x:c r="C291" s="5" t="str">
        <x:v>Crossref pilot</x:v>
      </x:c>
      <x:c r="D291" s="5" t="str">
        <x:v>PILOT-20261013-01</x:v>
      </x:c>
      <x:c r="E291" s="5" t="str">
        <x:v>S15</x:v>
      </x:c>
      <x:c r="F291" s="5" t="n">
        <x:v>9</x:v>
      </x:c>
      <x:c r="G291" s="5" t="str">
        <x:v>10.3390/app152010885</x:v>
      </x:c>
      <x:c r="H291" s="5" t="str"/>
      <x:c r="I291" s="5" t="n">
        <x:v>0</x:v>
      </x:c>
      <x:c r="J291" s="5" t="str">
        <x:v>Towards Realistic Industrial Anomaly Detection: MADE-Net Framework and ManuDefect-21 Benchmark</x:v>
      </x:c>
    </x:row>
    <x:row r="292" ht="40" customHeight="1">
      <x:c r="A292" s="5" t="str">
        <x:v>PILOT-20261013-01-S15-010</x:v>
      </x:c>
      <x:c r="B292" s="5" t="str">
        <x:v>C0258</x:v>
      </x:c>
      <x:c r="C292" s="5" t="str">
        <x:v>Crossref pilot</x:v>
      </x:c>
      <x:c r="D292" s="5" t="str">
        <x:v>PILOT-20261013-01</x:v>
      </x:c>
      <x:c r="E292" s="5" t="str">
        <x:v>S15</x:v>
      </x:c>
      <x:c r="F292" s="5" t="n">
        <x:v>10</x:v>
      </x:c>
      <x:c r="G292" s="5" t="str">
        <x:v>10.1109/iros58592.2024.10802194</x:v>
      </x:c>
      <x:c r="H292" s="5" t="str"/>
      <x:c r="I292" s="5" t="n">
        <x:v>0</x:v>
      </x:c>
      <x:c r="J292" s="5" t="str">
        <x:v>UMAD: University of Macau Anomaly Detection Benchmark Dataset</x:v>
      </x:c>
    </x:row>
    <x:row r="293" ht="40" customHeight="1">
      <x:c r="A293" s="5" t="str">
        <x:v>PILOT-20261013-01-S15-011</x:v>
      </x:c>
      <x:c r="B293" s="5" t="str">
        <x:v>C0259</x:v>
      </x:c>
      <x:c r="C293" s="5" t="str">
        <x:v>Crossref pilot</x:v>
      </x:c>
      <x:c r="D293" s="5" t="str">
        <x:v>PILOT-20261013-01</x:v>
      </x:c>
      <x:c r="E293" s="5" t="str">
        <x:v>S15</x:v>
      </x:c>
      <x:c r="F293" s="5" t="n">
        <x:v>11</x:v>
      </x:c>
      <x:c r="G293" s="5" t="str">
        <x:v>10.1109/asyu67174.2025.11208327</x:v>
      </x:c>
      <x:c r="H293" s="5" t="str"/>
      <x:c r="I293" s="5" t="n">
        <x:v>0</x:v>
      </x:c>
      <x:c r="J293" s="5" t="str">
        <x:v>Multi-Scenario Anomaly Detection with a Hybrid Dataset: A Benchmark and Comparative Study</x:v>
      </x:c>
    </x:row>
    <x:row r="294" ht="40" customHeight="1">
      <x:c r="A294" s="5" t="str">
        <x:v>PILOT-20261013-01-S15-012</x:v>
      </x:c>
      <x:c r="B294" s="5" t="str">
        <x:v>C0260</x:v>
      </x:c>
      <x:c r="C294" s="5" t="str">
        <x:v>Crossref pilot</x:v>
      </x:c>
      <x:c r="D294" s="5" t="str">
        <x:v>PILOT-20261013-01</x:v>
      </x:c>
      <x:c r="E294" s="5" t="str">
        <x:v>S15</x:v>
      </x:c>
      <x:c r="F294" s="5" t="n">
        <x:v>12</x:v>
      </x:c>
      <x:c r="G294" s="5" t="str">
        <x:v>10.2139/ssrn.6301399</x:v>
      </x:c>
      <x:c r="H294" s="5" t="str"/>
      <x:c r="I294" s="5" t="n">
        <x:v>0</x:v>
      </x:c>
      <x:c r="J294" s="5" t="str">
        <x:v>RGB Ensemble Strategies for Unsupervised Industrial Anomaly Detection on the AutoVI Dataset</x:v>
      </x:c>
    </x:row>
    <x:row r="295" ht="40" customHeight="1">
      <x:c r="A295" s="5" t="str">
        <x:v>PILOT-20261013-01-S15-013</x:v>
      </x:c>
      <x:c r="B295" s="5" t="str">
        <x:v>C0261</x:v>
      </x:c>
      <x:c r="C295" s="5" t="str">
        <x:v>Crossref pilot</x:v>
      </x:c>
      <x:c r="D295" s="5" t="str">
        <x:v>PILOT-20261013-01</x:v>
      </x:c>
      <x:c r="E295" s="5" t="str">
        <x:v>S15</x:v>
      </x:c>
      <x:c r="F295" s="5" t="n">
        <x:v>13</x:v>
      </x:c>
      <x:c r="G295" s="5" t="str">
        <x:v>10.5220/0010915000003120</x:v>
      </x:c>
      <x:c r="H295" s="5" t="str"/>
      <x:c r="I295" s="5" t="n">
        <x:v>0</x:v>
      </x:c>
      <x:c r="J295" s="5" t="str">
        <x:v>Who Watches the Watchers: A Multi-Task Benchmark for Anomaly Detection</x:v>
      </x:c>
    </x:row>
    <x:row r="296" ht="40" customHeight="1">
      <x:c r="A296" s="5" t="str">
        <x:v>PILOT-20261013-01-S15-014</x:v>
      </x:c>
      <x:c r="B296" s="5" t="str">
        <x:v>C0262</x:v>
      </x:c>
      <x:c r="C296" s="5" t="str">
        <x:v>Crossref pilot</x:v>
      </x:c>
      <x:c r="D296" s="5" t="str">
        <x:v>PILOT-20261013-01</x:v>
      </x:c>
      <x:c r="E296" s="5" t="str">
        <x:v>S15</x:v>
      </x:c>
      <x:c r="F296" s="5" t="n">
        <x:v>14</x:v>
      </x:c>
      <x:c r="G296" s="5" t="str">
        <x:v>10.52202/075280-1930</x:v>
      </x:c>
      <x:c r="H296" s="5" t="str"/>
      <x:c r="I296" s="5" t="n">
        <x:v>0</x:v>
      </x:c>
      <x:c r="J296" s="5" t="str">
        <x:v>PAD: A Dataset and Benchmark for Pose-agnostic Anomaly Detection</x:v>
      </x:c>
    </x:row>
    <x:row r="297" ht="40" customHeight="1">
      <x:c r="A297" s="5" t="str">
        <x:v>PILOT-20261013-01-S15-015</x:v>
      </x:c>
      <x:c r="B297" s="5" t="str">
        <x:v>C0263</x:v>
      </x:c>
      <x:c r="C297" s="5" t="str">
        <x:v>Crossref pilot</x:v>
      </x:c>
      <x:c r="D297" s="5" t="str">
        <x:v>PILOT-20261013-01</x:v>
      </x:c>
      <x:c r="E297" s="5" t="str">
        <x:v>S15</x:v>
      </x:c>
      <x:c r="F297" s="5" t="n">
        <x:v>15</x:v>
      </x:c>
      <x:c r="G297" s="5" t="str">
        <x:v>10.2139/ssrn.4266498</x:v>
      </x:c>
      <x:c r="H297" s="5" t="str"/>
      <x:c r="I297" s="5" t="n">
        <x:v>0</x:v>
      </x:c>
      <x:c r="J297" s="5" t="str">
        <x:v>ADBench: Anomaly Detection Benchmark</x:v>
      </x:c>
    </x:row>
    <x:row r="298" ht="40" customHeight="1">
      <x:c r="A298" s="5" t="str">
        <x:v>PILOT-20261013-01-S15-016</x:v>
      </x:c>
      <x:c r="B298" s="5" t="str">
        <x:v>C0264</x:v>
      </x:c>
      <x:c r="C298" s="5" t="str">
        <x:v>Crossref pilot</x:v>
      </x:c>
      <x:c r="D298" s="5" t="str">
        <x:v>PILOT-20261013-01</x:v>
      </x:c>
      <x:c r="E298" s="5" t="str">
        <x:v>S15</x:v>
      </x:c>
      <x:c r="F298" s="5" t="n">
        <x:v>16</x:v>
      </x:c>
      <x:c r="G298" s="5" t="str">
        <x:v>10.20944/preprints202604.1743.v1</x:v>
      </x:c>
      <x:c r="H298" s="5" t="str"/>
      <x:c r="I298" s="5" t="n">
        <x:v>0</x:v>
      </x:c>
      <x:c r="J298" s="5" t="str">
        <x:v>RGB Ensemble Strategies for Unsupervised Industrial Anomaly Detection on the AutoVI Dataset</x:v>
      </x:c>
    </x:row>
    <x:row r="299" ht="40" customHeight="1">
      <x:c r="A299" s="5" t="str">
        <x:v>PILOT-20261013-01-S15-017</x:v>
      </x:c>
      <x:c r="B299" s="5" t="str">
        <x:v>C0265</x:v>
      </x:c>
      <x:c r="C299" s="5" t="str">
        <x:v>Crossref pilot</x:v>
      </x:c>
      <x:c r="D299" s="5" t="str">
        <x:v>PILOT-20261013-01</x:v>
      </x:c>
      <x:c r="E299" s="5" t="str">
        <x:v>S15</x:v>
      </x:c>
      <x:c r="F299" s="5" t="n">
        <x:v>17</x:v>
      </x:c>
      <x:c r="G299" s="5" t="str">
        <x:v>10.36227/techrxiv.170768490.03836281/v1</x:v>
      </x:c>
      <x:c r="H299" s="5" t="str"/>
      <x:c r="I299" s="5" t="n">
        <x:v>0</x:v>
      </x:c>
      <x:c r="J299" s="5" t="str">
        <x:v>Revisiting Streaming Anomaly Detection: Benchmark and Evaluation</x:v>
      </x:c>
    </x:row>
    <x:row r="300" ht="53" customHeight="1">
      <x:c r="A300" s="5" t="str">
        <x:v>PILOT-20261013-01-S15-018</x:v>
      </x:c>
      <x:c r="B300" s="5" t="str">
        <x:v>C0266</x:v>
      </x:c>
      <x:c r="C300" s="5" t="str">
        <x:v>Crossref pilot</x:v>
      </x:c>
      <x:c r="D300" s="5" t="str">
        <x:v>PILOT-20261013-01</x:v>
      </x:c>
      <x:c r="E300" s="5" t="str">
        <x:v>S15</x:v>
      </x:c>
      <x:c r="F300" s="5" t="n">
        <x:v>18</x:v>
      </x:c>
      <x:c r="G300" s="5" t="str">
        <x:v>10.2139/ssrn.7536676</x:v>
      </x:c>
      <x:c r="H300" s="5" t="str"/>
      <x:c r="I300" s="5" t="n">
        <x:v>0</x:v>
      </x:c>
      <x:c r="J300" s="5" t="str">
        <x:v>Lightweight Adaptive Multi-Scale Industrial Anomaly Detection under View and Illumination Distribution Shifts: A Study on the AeBAD-S Dataset</x:v>
      </x:c>
    </x:row>
    <x:row r="301" ht="40" customHeight="1">
      <x:c r="A301" s="5" t="str">
        <x:v>PILOT-20261013-01-S15-019</x:v>
      </x:c>
      <x:c r="B301" s="5" t="str">
        <x:v>C0267</x:v>
      </x:c>
      <x:c r="C301" s="5" t="str">
        <x:v>Crossref pilot</x:v>
      </x:c>
      <x:c r="D301" s="5" t="str">
        <x:v>PILOT-20261013-01</x:v>
      </x:c>
      <x:c r="E301" s="5" t="str">
        <x:v>S15</x:v>
      </x:c>
      <x:c r="F301" s="5" t="n">
        <x:v>19</x:v>
      </x:c>
      <x:c r="G301" s="5" t="str">
        <x:v>10.1145/3813723.3813742</x:v>
      </x:c>
      <x:c r="H301" s="5" t="str"/>
      <x:c r="I301" s="5" t="n">
        <x:v>0</x:v>
      </x:c>
      <x:c r="J301" s="5" t="str">
        <x:v>Generative AI-Driven Robustness Enhancement for Industrial Anomaly Detection in Complex Lighting Scenarios</x:v>
      </x:c>
    </x:row>
    <x:row r="302" ht="40" customHeight="1">
      <x:c r="A302" s="5" t="str">
        <x:v>PILOT-20261013-01-S15-020</x:v>
      </x:c>
      <x:c r="B302" s="5" t="str">
        <x:v>C0268</x:v>
      </x:c>
      <x:c r="C302" s="5" t="str">
        <x:v>Crossref pilot</x:v>
      </x:c>
      <x:c r="D302" s="5" t="str">
        <x:v>PILOT-20261013-01</x:v>
      </x:c>
      <x:c r="E302" s="5" t="str">
        <x:v>S15</x:v>
      </x:c>
      <x:c r="F302" s="5" t="n">
        <x:v>20</x:v>
      </x:c>
      <x:c r="G302" s="5" t="str">
        <x:v>10.1109/access.2023.3320928</x:v>
      </x:c>
      <x:c r="H302" s="5" t="str"/>
      <x:c r="I302" s="5" t="n">
        <x:v>0</x:v>
      </x:c>
      <x:c r="J302" s="5" t="str">
        <x:v>Anomaly Detection Dataset for Industrial Control Systems</x:v>
      </x:c>
    </x:row>
    <x:row r="303" ht="40" customHeight="1">
      <x:c r="A303" s="5" t="str">
        <x:v>PILOT-20261013-01-S15-021</x:v>
      </x:c>
      <x:c r="B303" s="5" t="str">
        <x:v>C0269</x:v>
      </x:c>
      <x:c r="C303" s="5" t="str">
        <x:v>Crossref pilot</x:v>
      </x:c>
      <x:c r="D303" s="5" t="str">
        <x:v>PILOT-20261013-01</x:v>
      </x:c>
      <x:c r="E303" s="5" t="str">
        <x:v>S15</x:v>
      </x:c>
      <x:c r="F303" s="5" t="n">
        <x:v>21</x:v>
      </x:c>
      <x:c r="G303" s="5" t="str">
        <x:v>10.12792/icisip2024.024</x:v>
      </x:c>
      <x:c r="H303" s="5" t="str"/>
      <x:c r="I303" s="5" t="n">
        <x:v>0</x:v>
      </x:c>
      <x:c r="J303" s="5" t="str">
        <x:v>Anomaly Detection in Generic Satellite Acquisition Data Using TadGAN</x:v>
      </x:c>
    </x:row>
    <x:row r="304" ht="40" customHeight="1">
      <x:c r="A304" s="5" t="str">
        <x:v>PILOT-20261013-01-S15-022</x:v>
      </x:c>
      <x:c r="B304" s="5" t="str">
        <x:v>C0270</x:v>
      </x:c>
      <x:c r="C304" s="5" t="str">
        <x:v>Crossref pilot</x:v>
      </x:c>
      <x:c r="D304" s="5" t="str">
        <x:v>PILOT-20261013-01</x:v>
      </x:c>
      <x:c r="E304" s="5" t="str">
        <x:v>S15</x:v>
      </x:c>
      <x:c r="F304" s="5" t="n">
        <x:v>22</x:v>
      </x:c>
      <x:c r="G304" s="5" t="str">
        <x:v>10.21203/rs.3.rs-4827894/v1</x:v>
      </x:c>
      <x:c r="H304" s="5" t="str"/>
      <x:c r="I304" s="5" t="n">
        <x:v>0</x:v>
      </x:c>
      <x:c r="J304" s="5" t="str">
        <x:v>Anomaly Detection in Urban Lighting Systems Using Autoencoder and Transformer Algorithms</x:v>
      </x:c>
    </x:row>
    <x:row r="305" ht="40" customHeight="1">
      <x:c r="A305" s="5" t="str">
        <x:v>PILOT-20261013-01-S15-023</x:v>
      </x:c>
      <x:c r="B305" s="5" t="str">
        <x:v>C0271</x:v>
      </x:c>
      <x:c r="C305" s="5" t="str">
        <x:v>Crossref pilot</x:v>
      </x:c>
      <x:c r="D305" s="5" t="str">
        <x:v>PILOT-20261013-01</x:v>
      </x:c>
      <x:c r="E305" s="5" t="str">
        <x:v>S15</x:v>
      </x:c>
      <x:c r="F305" s="5" t="n">
        <x:v>23</x:v>
      </x:c>
      <x:c r="G305" s="5" t="str">
        <x:v>10.1177/136578280103300209</x:v>
      </x:c>
      <x:c r="H305" s="5" t="str"/>
      <x:c r="I305" s="5" t="n">
        <x:v>0</x:v>
      </x:c>
      <x:c r="J305" s="5" t="str">
        <x:v>The BRE-IDMP dataset: a new benchmark for the validation of illuminance prediction techniques</x:v>
      </x:c>
    </x:row>
    <x:row r="306" ht="40" customHeight="1">
      <x:c r="A306" s="5" t="str">
        <x:v>PILOT-20261013-01-S15-024</x:v>
      </x:c>
      <x:c r="B306" s="5" t="str">
        <x:v>C0272</x:v>
      </x:c>
      <x:c r="C306" s="5" t="str">
        <x:v>Crossref pilot</x:v>
      </x:c>
      <x:c r="D306" s="5" t="str">
        <x:v>PILOT-20261013-01</x:v>
      </x:c>
      <x:c r="E306" s="5" t="str">
        <x:v>S15</x:v>
      </x:c>
      <x:c r="F306" s="5" t="n">
        <x:v>24</x:v>
      </x:c>
      <x:c r="G306" s="5" t="str">
        <x:v>10.1109/access.2022.3166602</x:v>
      </x:c>
      <x:c r="H306" s="5" t="str"/>
      <x:c r="I306" s="5" t="n">
        <x:v>0</x:v>
      </x:c>
      <x:c r="J306" s="5" t="str">
        <x:v>A Large-Scale Benchmark Dataset for Anomaly Detection and Rare Event Classification for Audio Forensics</x:v>
      </x:c>
    </x:row>
    <x:row r="307" ht="53" customHeight="1">
      <x:c r="A307" s="5" t="str">
        <x:v>PILOT-20261013-01-S15-025</x:v>
      </x:c>
      <x:c r="B307" s="5" t="str">
        <x:v>C0273</x:v>
      </x:c>
      <x:c r="C307" s="5" t="str">
        <x:v>Crossref pilot</x:v>
      </x:c>
      <x:c r="D307" s="5" t="str">
        <x:v>PILOT-20261013-01</x:v>
      </x:c>
      <x:c r="E307" s="5" t="str">
        <x:v>S15</x:v>
      </x:c>
      <x:c r="F307" s="5" t="n">
        <x:v>25</x:v>
      </x:c>
      <x:c r="G307" s="5" t="str">
        <x:v>10.1038/s41597-026-07733-y</x:v>
      </x:c>
      <x:c r="H307" s="5" t="str"/>
      <x:c r="I307" s="5" t="n">
        <x:v>0</x:v>
      </x:c>
      <x:c r="J307" s="5" t="str">
        <x:v>A High-Fidelity Multi-Model Benchmark Dataset for General Aviation Anomaly Detection Generated via Physics-Based Fault Injection</x:v>
      </x:c>
    </x:row>
    <x:row r="308" ht="40" customHeight="1">
      <x:c r="A308" s="5" t="str">
        <x:v>PILOT-20261013-01-S16-001</x:v>
      </x:c>
      <x:c r="B308" s="5" t="str">
        <x:v>P04</x:v>
      </x:c>
      <x:c r="C308" s="5" t="str">
        <x:v>Crossref pilot</x:v>
      </x:c>
      <x:c r="D308" s="5" t="str">
        <x:v>PILOT-20261013-01</x:v>
      </x:c>
      <x:c r="E308" s="5" t="str">
        <x:v>S16</x:v>
      </x:c>
      <x:c r="F308" s="5" t="n">
        <x:v>1</x:v>
      </x:c>
      <x:c r="G308" s="5" t="str">
        <x:v>10.1109/csrswtc71154.2026.11669645</x:v>
      </x:c>
      <x:c r="H308" s="5" t="str">
        <x:v>PILOT-20261013-01-S10-022</x:v>
      </x:c>
      <x:c r="I308" s="5" t="n">
        <x:v>1</x:v>
      </x:c>
      <x:c r="J308" s="5" t="str">
        <x:v>Risk-Calibrated Multimodal Inspection for Full-Coverage Industrial Anomaly Detection</x:v>
      </x:c>
    </x:row>
    <x:row r="309" ht="40" customHeight="1">
      <x:c r="A309" s="5" t="str">
        <x:v>PILOT-20261013-01-S16-002</x:v>
      </x:c>
      <x:c r="B309" s="5" t="str">
        <x:v>C0081</x:v>
      </x:c>
      <x:c r="C309" s="5" t="str">
        <x:v>Crossref pilot</x:v>
      </x:c>
      <x:c r="D309" s="5" t="str">
        <x:v>PILOT-20261013-01</x:v>
      </x:c>
      <x:c r="E309" s="5" t="str">
        <x:v>S16</x:v>
      </x:c>
      <x:c r="F309" s="5" t="n">
        <x:v>2</x:v>
      </x:c>
      <x:c r="G309" s="5" t="str">
        <x:v>10.2139/ssrn.7541070</x:v>
      </x:c>
      <x:c r="H309" s="5" t="str">
        <x:v>PILOT-20261013-01-S05-011</x:v>
      </x:c>
      <x:c r="I309" s="5" t="n">
        <x:v>1</x:v>
      </x:c>
      <x:c r="J309" s="5" t="str">
        <x:v>Cross-modal prior-guided sampling with coverage-aware score calibration for 3D industrial anomaly localization</x:v>
      </x:c>
    </x:row>
    <x:row r="310" ht="40" customHeight="1">
      <x:c r="A310" s="5" t="str">
        <x:v>PILOT-20261013-01-S16-003</x:v>
      </x:c>
      <x:c r="B310" s="5" t="str">
        <x:v>C0001</x:v>
      </x:c>
      <x:c r="C310" s="5" t="str">
        <x:v>Crossref pilot</x:v>
      </x:c>
      <x:c r="D310" s="5" t="str">
        <x:v>PILOT-20261013-01</x:v>
      </x:c>
      <x:c r="E310" s="5" t="str">
        <x:v>S16</x:v>
      </x:c>
      <x:c r="F310" s="5" t="n">
        <x:v>3</x:v>
      </x:c>
      <x:c r="G310" s="5" t="str">
        <x:v>10.2139/ssrn.7230717</x:v>
      </x:c>
      <x:c r="H310" s="5" t="str">
        <x:v>PILOT-20261013-01-S01-001</x:v>
      </x:c>
      <x:c r="I310" s="5" t="n">
        <x:v>1</x:v>
      </x:c>
      <x:c r="J310" s="5" t="str">
        <x:v>Calibrated few-shot industrial anomaly detection with frozen visual features</x:v>
      </x:c>
    </x:row>
    <x:row r="311" ht="40" customHeight="1">
      <x:c r="A311" s="5" t="str">
        <x:v>PILOT-20261013-01-S16-004</x:v>
      </x:c>
      <x:c r="B311" s="5" t="str">
        <x:v>C0002</x:v>
      </x:c>
      <x:c r="C311" s="5" t="str">
        <x:v>Crossref pilot</x:v>
      </x:c>
      <x:c r="D311" s="5" t="str">
        <x:v>PILOT-20261013-01</x:v>
      </x:c>
      <x:c r="E311" s="5" t="str">
        <x:v>S16</x:v>
      </x:c>
      <x:c r="F311" s="5" t="n">
        <x:v>4</x:v>
      </x:c>
      <x:c r="G311" s="5" t="str">
        <x:v>10.5220/0014500500005024</x:v>
      </x:c>
      <x:c r="H311" s="5" t="str">
        <x:v>PILOT-20261013-01-S01-002</x:v>
      </x:c>
      <x:c r="I311" s="5" t="n">
        <x:v>1</x:v>
      </x:c>
      <x:c r="J311" s="5" t="str">
        <x:v>SSVIT-4.0: A Self-Supervised Hybrid CNN-Transformer Framework for Industrial Visual Anomaly Detection</x:v>
      </x:c>
    </x:row>
    <x:row r="312" ht="40" customHeight="1">
      <x:c r="A312" s="5" t="str">
        <x:v>PILOT-20261013-01-S16-005</x:v>
      </x:c>
      <x:c r="B312" s="5" t="str">
        <x:v>C0073</x:v>
      </x:c>
      <x:c r="C312" s="5" t="str">
        <x:v>Crossref pilot</x:v>
      </x:c>
      <x:c r="D312" s="5" t="str">
        <x:v>PILOT-20261013-01</x:v>
      </x:c>
      <x:c r="E312" s="5" t="str">
        <x:v>S16</x:v>
      </x:c>
      <x:c r="F312" s="5" t="n">
        <x:v>5</x:v>
      </x:c>
      <x:c r="G312" s="5" t="str">
        <x:v>10.2139/ssrn.5495023</x:v>
      </x:c>
      <x:c r="H312" s="5" t="str">
        <x:v>PILOT-20261013-01-S05-001</x:v>
      </x:c>
      <x:c r="I312" s="5" t="n">
        <x:v>1</x:v>
      </x:c>
      <x:c r="J312" s="5" t="str">
        <x:v>ViTranCoC: Vision Transformers and Conformal Calibration for Industrial Anomaly Detection</x:v>
      </x:c>
    </x:row>
    <x:row r="313" ht="40" customHeight="1">
      <x:c r="A313" s="5" t="str">
        <x:v>PILOT-20261013-01-S16-006</x:v>
      </x:c>
      <x:c r="B313" s="5" t="str">
        <x:v>C0003</x:v>
      </x:c>
      <x:c r="C313" s="5" t="str">
        <x:v>Crossref pilot</x:v>
      </x:c>
      <x:c r="D313" s="5" t="str">
        <x:v>PILOT-20261013-01</x:v>
      </x:c>
      <x:c r="E313" s="5" t="str">
        <x:v>S16</x:v>
      </x:c>
      <x:c r="F313" s="5" t="n">
        <x:v>6</x:v>
      </x:c>
      <x:c r="G313" s="5" t="str">
        <x:v>10.47852/bonviewaia52026321</x:v>
      </x:c>
      <x:c r="H313" s="5" t="str">
        <x:v>PILOT-20261013-01-S01-003</x:v>
      </x:c>
      <x:c r="I313" s="5" t="n">
        <x:v>1</x:v>
      </x:c>
      <x:c r="J313" s="5" t="str">
        <x:v>Anomaly Detection Utilizing PatchCore for Reimagining Industrial Visual Inspection</x:v>
      </x:c>
    </x:row>
    <x:row r="314" ht="40" customHeight="1">
      <x:c r="A314" s="5" t="str">
        <x:v>PILOT-20261013-01-S16-007</x:v>
      </x:c>
      <x:c r="B314" s="5" t="str">
        <x:v>C0004</x:v>
      </x:c>
      <x:c r="C314" s="5" t="str">
        <x:v>Crossref pilot</x:v>
      </x:c>
      <x:c r="D314" s="5" t="str">
        <x:v>PILOT-20261013-01</x:v>
      </x:c>
      <x:c r="E314" s="5" t="str">
        <x:v>S16</x:v>
      </x:c>
      <x:c r="F314" s="5" t="n">
        <x:v>7</x:v>
      </x:c>
      <x:c r="G314" s="5" t="str">
        <x:v>10.2139/ssrn.6597747</x:v>
      </x:c>
      <x:c r="H314" s="5" t="str">
        <x:v>PILOT-20261013-01-S01-004</x:v>
      </x:c>
      <x:c r="I314" s="5" t="n">
        <x:v>1</x:v>
      </x:c>
      <x:c r="J314" s="5" t="str">
        <x:v>Dynamic Anomaly-Aware Segmentation: Enabling Contextual Text-Visual Alignment for Industrial Defect Detection</x:v>
      </x:c>
    </x:row>
    <x:row r="315" ht="40" customHeight="1">
      <x:c r="A315" s="5" t="str">
        <x:v>PILOT-20261013-01-S16-008</x:v>
      </x:c>
      <x:c r="B315" s="5" t="str">
        <x:v>C0005</x:v>
      </x:c>
      <x:c r="C315" s="5" t="str">
        <x:v>Crossref pilot</x:v>
      </x:c>
      <x:c r="D315" s="5" t="str">
        <x:v>PILOT-20261013-01</x:v>
      </x:c>
      <x:c r="E315" s="5" t="str">
        <x:v>S16</x:v>
      </x:c>
      <x:c r="F315" s="5" t="n">
        <x:v>8</x:v>
      </x:c>
      <x:c r="G315" s="5" t="str">
        <x:v>10.1201/9781003644972-11</x:v>
      </x:c>
      <x:c r="H315" s="5" t="str">
        <x:v>PILOT-20261013-01-S01-005</x:v>
      </x:c>
      <x:c r="I315" s="5" t="n">
        <x:v>1</x:v>
      </x:c>
      <x:c r="J315" s="5" t="str">
        <x:v>Unsupervised Learning Paradigm for Industrial Visual Anomaly Detection</x:v>
      </x:c>
    </x:row>
    <x:row r="316" ht="40" customHeight="1">
      <x:c r="A316" s="5" t="str">
        <x:v>PILOT-20261013-01-S16-009</x:v>
      </x:c>
      <x:c r="B316" s="5" t="str">
        <x:v>C0006</x:v>
      </x:c>
      <x:c r="C316" s="5" t="str">
        <x:v>Crossref pilot</x:v>
      </x:c>
      <x:c r="D316" s="5" t="str">
        <x:v>PILOT-20261013-01</x:v>
      </x:c>
      <x:c r="E316" s="5" t="str">
        <x:v>S16</x:v>
      </x:c>
      <x:c r="F316" s="5" t="n">
        <x:v>9</x:v>
      </x:c>
      <x:c r="G316" s="5" t="str">
        <x:v>10.21203/rs.3.rs-10598232/v1</x:v>
      </x:c>
      <x:c r="H316" s="5" t="str">
        <x:v>PILOT-20261013-01-S01-006</x:v>
      </x:c>
      <x:c r="I316" s="5" t="n">
        <x:v>1</x:v>
      </x:c>
      <x:c r="J316" s="5" t="str">
        <x:v>Foundation Models for Cold-Start Industrial Visual Anomaly Detection: A Survey</x:v>
      </x:c>
    </x:row>
    <x:row r="317" ht="40" customHeight="1">
      <x:c r="A317" s="5" t="str">
        <x:v>PILOT-20261013-01-S16-010</x:v>
      </x:c>
      <x:c r="B317" s="5" t="str">
        <x:v>C0007</x:v>
      </x:c>
      <x:c r="C317" s="5" t="str">
        <x:v>Crossref pilot</x:v>
      </x:c>
      <x:c r="D317" s="5" t="str">
        <x:v>PILOT-20261013-01</x:v>
      </x:c>
      <x:c r="E317" s="5" t="str">
        <x:v>S16</x:v>
      </x:c>
      <x:c r="F317" s="5" t="n">
        <x:v>10</x:v>
      </x:c>
      <x:c r="G317" s="5" t="str">
        <x:v>10.2139/ssrn.4742821</x:v>
      </x:c>
      <x:c r="H317" s="5" t="str">
        <x:v>PILOT-20261013-01-S01-007</x:v>
      </x:c>
      <x:c r="I317" s="5" t="n">
        <x:v>1</x:v>
      </x:c>
      <x:c r="J317" s="5" t="str">
        <x:v>Fair: Frequency-Aware Image Restoration for Industrial Visual Anomaly Detection</x:v>
      </x:c>
    </x:row>
    <x:row r="318" ht="40" customHeight="1">
      <x:c r="A318" s="5" t="str">
        <x:v>PILOT-20261013-01-S16-011</x:v>
      </x:c>
      <x:c r="B318" s="5" t="str">
        <x:v>C0008</x:v>
      </x:c>
      <x:c r="C318" s="5" t="str">
        <x:v>Crossref pilot</x:v>
      </x:c>
      <x:c r="D318" s="5" t="str">
        <x:v>PILOT-20261013-01</x:v>
      </x:c>
      <x:c r="E318" s="5" t="str">
        <x:v>S16</x:v>
      </x:c>
      <x:c r="F318" s="5" t="n">
        <x:v>11</x:v>
      </x:c>
      <x:c r="G318" s="5" t="str">
        <x:v>10.1109/icmlt69916.2026.11688969</x:v>
      </x:c>
      <x:c r="H318" s="5" t="str">
        <x:v>PILOT-20261013-01-S01-008</x:v>
      </x:c>
      <x:c r="I318" s="5" t="n">
        <x:v>1</x:v>
      </x:c>
      <x:c r="J318" s="5" t="str">
        <x:v>Embedding Stability-Guided Early-Stopping for Industrial Visual Anomaly Detection</x:v>
      </x:c>
    </x:row>
    <x:row r="319" ht="40" customHeight="1">
      <x:c r="A319" s="5" t="str">
        <x:v>PILOT-20261013-01-S16-012</x:v>
      </x:c>
      <x:c r="B319" s="5" t="str">
        <x:v>C0009</x:v>
      </x:c>
      <x:c r="C319" s="5" t="str">
        <x:v>Crossref pilot</x:v>
      </x:c>
      <x:c r="D319" s="5" t="str">
        <x:v>PILOT-20261013-01</x:v>
      </x:c>
      <x:c r="E319" s="5" t="str">
        <x:v>S16</x:v>
      </x:c>
      <x:c r="F319" s="5" t="n">
        <x:v>12</x:v>
      </x:c>
      <x:c r="G319" s="5" t="str">
        <x:v>10.1109/icdmw65004.2024.00008</x:v>
      </x:c>
      <x:c r="H319" s="5" t="str">
        <x:v>PILOT-20261013-01-S01-009</x:v>
      </x:c>
      <x:c r="I319" s="5" t="n">
        <x:v>1</x:v>
      </x:c>
      <x:c r="J319" s="5" t="str">
        <x:v>Outlier Exposure in Visual Industrial Anomaly Detection - Survey</x:v>
      </x:c>
    </x:row>
    <x:row r="320" ht="40" customHeight="1">
      <x:c r="A320" s="5" t="str">
        <x:v>PILOT-20261013-01-S16-013</x:v>
      </x:c>
      <x:c r="B320" s="5" t="str">
        <x:v>C0010</x:v>
      </x:c>
      <x:c r="C320" s="5" t="str">
        <x:v>Crossref pilot</x:v>
      </x:c>
      <x:c r="D320" s="5" t="str">
        <x:v>PILOT-20261013-01</x:v>
      </x:c>
      <x:c r="E320" s="5" t="str">
        <x:v>S16</x:v>
      </x:c>
      <x:c r="F320" s="5" t="n">
        <x:v>13</x:v>
      </x:c>
      <x:c r="G320" s="5" t="str">
        <x:v>10.1016/j.jvcir.2023.103983</x:v>
      </x:c>
      <x:c r="H320" s="5" t="str">
        <x:v>PILOT-20261013-01-S01-010</x:v>
      </x:c>
      <x:c r="I320" s="5" t="n">
        <x:v>1</x:v>
      </x:c>
      <x:c r="J320" s="5" t="str">
        <x:v>Unsupervised industrial anomaly detection with diffusion models</x:v>
      </x:c>
    </x:row>
    <x:row r="321" ht="40" customHeight="1">
      <x:c r="A321" s="5" t="str">
        <x:v>PILOT-20261013-01-S16-014</x:v>
      </x:c>
      <x:c r="B321" s="5" t="str">
        <x:v>C0274</x:v>
      </x:c>
      <x:c r="C321" s="5" t="str">
        <x:v>Crossref pilot</x:v>
      </x:c>
      <x:c r="D321" s="5" t="str">
        <x:v>PILOT-20261013-01</x:v>
      </x:c>
      <x:c r="E321" s="5" t="str">
        <x:v>S16</x:v>
      </x:c>
      <x:c r="F321" s="5" t="n">
        <x:v>14</x:v>
      </x:c>
      <x:c r="G321" s="5" t="str">
        <x:v>10.2139/ssrn.4267606</x:v>
      </x:c>
      <x:c r="H321" s="5" t="str"/>
      <x:c r="I321" s="5" t="n">
        <x:v>0</x:v>
      </x:c>
      <x:c r="J321" s="5" t="str">
        <x:v>On Cyberphysical Systems And Anomaly-Detection In Title Insurance Coverage.</x:v>
      </x:c>
    </x:row>
    <x:row r="322" ht="40" customHeight="1">
      <x:c r="A322" s="5" t="str">
        <x:v>PILOT-20261013-01-S16-015</x:v>
      </x:c>
      <x:c r="B322" s="5" t="str">
        <x:v>C0011</x:v>
      </x:c>
      <x:c r="C322" s="5" t="str">
        <x:v>Crossref pilot</x:v>
      </x:c>
      <x:c r="D322" s="5" t="str">
        <x:v>PILOT-20261013-01</x:v>
      </x:c>
      <x:c r="E322" s="5" t="str">
        <x:v>S16</x:v>
      </x:c>
      <x:c r="F322" s="5" t="n">
        <x:v>15</x:v>
      </x:c>
      <x:c r="G322" s="5" t="str">
        <x:v>10.1016/j.optlastec.2023.110296</x:v>
      </x:c>
      <x:c r="H322" s="5" t="str">
        <x:v>PILOT-20261013-01-S01-011</x:v>
      </x:c>
      <x:c r="I322" s="5" t="n">
        <x:v>1</x:v>
      </x:c>
      <x:c r="J322" s="5" t="str">
        <x:v>Anomaly-prior guided inpainting for industrial visual anomaly detection</x:v>
      </x:c>
    </x:row>
    <x:row r="323" ht="53" customHeight="1">
      <x:c r="A323" s="5" t="str">
        <x:v>PILOT-20261013-01-S16-016</x:v>
      </x:c>
      <x:c r="B323" s="5" t="str">
        <x:v>C0076</x:v>
      </x:c>
      <x:c r="C323" s="5" t="str">
        <x:v>Crossref pilot</x:v>
      </x:c>
      <x:c r="D323" s="5" t="str">
        <x:v>PILOT-20261013-01</x:v>
      </x:c>
      <x:c r="E323" s="5" t="str">
        <x:v>S16</x:v>
      </x:c>
      <x:c r="F323" s="5" t="n">
        <x:v>16</x:v>
      </x:c>
      <x:c r="G323" s="5" t="str">
        <x:v>10.1109/aiea70743.2026.11632327</x:v>
      </x:c>
      <x:c r="H323" s="5" t="str">
        <x:v>PILOT-20261013-01-S05-004</x:v>
      </x:c>
      <x:c r="I323" s="5" t="n">
        <x:v>1</x:v>
      </x:c>
      <x:c r="J323" s="5" t="str">
        <x:v>FTF-GRU-AE: A Calibration-Aware Frequency-Recurrent Autoencoder for Lightweight Industrial Time-Series Anomaly Detection</x:v>
      </x:c>
    </x:row>
    <x:row r="324" ht="53" customHeight="1">
      <x:c r="A324" s="5" t="str">
        <x:v>PILOT-20261013-01-S16-017</x:v>
      </x:c>
      <x:c r="B324" s="5" t="str">
        <x:v>C0012</x:v>
      </x:c>
      <x:c r="C324" s="5" t="str">
        <x:v>Crossref pilot</x:v>
      </x:c>
      <x:c r="D324" s="5" t="str">
        <x:v>PILOT-20261013-01</x:v>
      </x:c>
      <x:c r="E324" s="5" t="str">
        <x:v>S16</x:v>
      </x:c>
      <x:c r="F324" s="5" t="n">
        <x:v>17</x:v>
      </x:c>
      <x:c r="G324" s="5" t="str">
        <x:v>10.2139/ssrn.7597210</x:v>
      </x:c>
      <x:c r="H324" s="5" t="str">
        <x:v>PILOT-20261013-01-S01-012</x:v>
      </x:c>
      <x:c r="I324" s="5" t="n">
        <x:v>1</x:v>
      </x:c>
      <x:c r="J324" s="5" t="str">
        <x:v>Online Industrial Visual Anomaly Detection Using Temporal Aggregation Representations: A Case Study of Yarn Breakage Detection in Warp Knitting</x:v>
      </x:c>
    </x:row>
    <x:row r="325" ht="53" customHeight="1">
      <x:c r="A325" s="5" t="str">
        <x:v>PILOT-20261013-01-S16-018</x:v>
      </x:c>
      <x:c r="B325" s="5" t="str">
        <x:v>C0275</x:v>
      </x:c>
      <x:c r="C325" s="5" t="str">
        <x:v>Crossref pilot</x:v>
      </x:c>
      <x:c r="D325" s="5" t="str">
        <x:v>PILOT-20261013-01</x:v>
      </x:c>
      <x:c r="E325" s="5" t="str">
        <x:v>S16</x:v>
      </x:c>
      <x:c r="F325" s="5" t="n">
        <x:v>18</x:v>
      </x:c>
      <x:c r="G325" s="5" t="str">
        <x:v>10.52783/jisem.v9i2.44</x:v>
      </x:c>
      <x:c r="H325" s="5" t="str"/>
      <x:c r="I325" s="5" t="n">
        <x:v>0</x:v>
      </x:c>
      <x:c r="J325" s="5" t="str">
        <x:v>Data Science–Enabled Anomaly Detection in Financial Transactions Using Autoencoders and Risk Evaluation Mechanisms</x:v>
      </x:c>
    </x:row>
    <x:row r="326" ht="40" customHeight="1">
      <x:c r="A326" s="5" t="str">
        <x:v>PILOT-20261013-01-S16-019</x:v>
      </x:c>
      <x:c r="B326" s="5" t="str">
        <x:v>C0013</x:v>
      </x:c>
      <x:c r="C326" s="5" t="str">
        <x:v>Crossref pilot</x:v>
      </x:c>
      <x:c r="D326" s="5" t="str">
        <x:v>PILOT-20261013-01</x:v>
      </x:c>
      <x:c r="E326" s="5" t="str">
        <x:v>S16</x:v>
      </x:c>
      <x:c r="F326" s="5" t="n">
        <x:v>19</x:v>
      </x:c>
      <x:c r="G326" s="5" t="str">
        <x:v>10.21236/ad1214022</x:v>
      </x:c>
      <x:c r="H326" s="5" t="str">
        <x:v>PILOT-20261013-01-S01-013</x:v>
      </x:c>
      <x:c r="I326" s="5" t="n">
        <x:v>1</x:v>
      </x:c>
      <x:c r="J326" s="5" t="str">
        <x:v>Anomaly Detection with Visual Question Answering</x:v>
      </x:c>
    </x:row>
    <x:row r="327" ht="40" customHeight="1">
      <x:c r="A327" s="5" t="str">
        <x:v>PILOT-20261013-01-S16-020</x:v>
      </x:c>
      <x:c r="B327" s="5" t="str">
        <x:v>C0014</x:v>
      </x:c>
      <x:c r="C327" s="5" t="str">
        <x:v>Crossref pilot</x:v>
      </x:c>
      <x:c r="D327" s="5" t="str">
        <x:v>PILOT-20261013-01</x:v>
      </x:c>
      <x:c r="E327" s="5" t="str">
        <x:v>S16</x:v>
      </x:c>
      <x:c r="F327" s="5" t="n">
        <x:v>20</x:v>
      </x:c>
      <x:c r="G327" s="5" t="str">
        <x:v>10.21203/rs.3.rs-7853870/v1</x:v>
      </x:c>
      <x:c r="H327" s="5" t="str">
        <x:v>PILOT-20261013-01-S01-014</x:v>
      </x:c>
      <x:c r="I327" s="5" t="n">
        <x:v>1</x:v>
      </x:c>
      <x:c r="J327" s="5" t="str">
        <x:v>Light-MLLMAD: A Lightweight Multimodal Large Language Model for One-Shot Industrial Visual Anomaly Detection</x:v>
      </x:c>
    </x:row>
    <x:row r="328" ht="40" customHeight="1">
      <x:c r="A328" s="5" t="str">
        <x:v>PILOT-20261013-01-S16-021</x:v>
      </x:c>
      <x:c r="B328" s="5" t="str">
        <x:v>C0015</x:v>
      </x:c>
      <x:c r="C328" s="5" t="str">
        <x:v>Crossref pilot</x:v>
      </x:c>
      <x:c r="D328" s="5" t="str">
        <x:v>PILOT-20261013-01</x:v>
      </x:c>
      <x:c r="E328" s="5" t="str">
        <x:v>S16</x:v>
      </x:c>
      <x:c r="F328" s="5" t="n">
        <x:v>21</x:v>
      </x:c>
      <x:c r="G328" s="5" t="str">
        <x:v>10.2139/ssrn.4826922</x:v>
      </x:c>
      <x:c r="H328" s="5" t="str">
        <x:v>PILOT-20261013-01-S01-015</x:v>
      </x:c>
      <x:c r="I328" s="5" t="n">
        <x:v>1</x:v>
      </x:c>
      <x:c r="J328" s="5" t="str">
        <x:v>Simple and Effective Frequency-Aware Image Restoration for Industrial Visual Anomaly Detection</x:v>
      </x:c>
    </x:row>
    <x:row r="329" ht="40" customHeight="1">
      <x:c r="A329" s="5" t="str">
        <x:v>PILOT-20261013-01-S16-022</x:v>
      </x:c>
      <x:c r="B329" s="5" t="str">
        <x:v>C0016</x:v>
      </x:c>
      <x:c r="C329" s="5" t="str">
        <x:v>Crossref pilot</x:v>
      </x:c>
      <x:c r="D329" s="5" t="str">
        <x:v>PILOT-20261013-01</x:v>
      </x:c>
      <x:c r="E329" s="5" t="str">
        <x:v>S16</x:v>
      </x:c>
      <x:c r="F329" s="5" t="n">
        <x:v>22</x:v>
      </x:c>
      <x:c r="G329" s="5" t="str">
        <x:v>10.1109/siu71813.2026.11636715</x:v>
      </x:c>
      <x:c r="H329" s="5" t="str">
        <x:v>PILOT-20261013-01-S01-016</x:v>
      </x:c>
      <x:c r="I329" s="5" t="n">
        <x:v>1</x:v>
      </x:c>
      <x:c r="J329" s="5" t="str">
        <x:v>A Two-Stage CLIP–DINOv2 Framework for Zero-Shot Industrial Visual Anomaly Detection</x:v>
      </x:c>
    </x:row>
    <x:row r="330" ht="40" customHeight="1">
      <x:c r="A330" s="5" t="str">
        <x:v>PILOT-20261013-01-S16-023</x:v>
      </x:c>
      <x:c r="B330" s="5" t="str">
        <x:v>C0017</x:v>
      </x:c>
      <x:c r="C330" s="5" t="str">
        <x:v>Crossref pilot</x:v>
      </x:c>
      <x:c r="D330" s="5" t="str">
        <x:v>PILOT-20261013-01</x:v>
      </x:c>
      <x:c r="E330" s="5" t="str">
        <x:v>S16</x:v>
      </x:c>
      <x:c r="F330" s="5" t="n">
        <x:v>23</x:v>
      </x:c>
      <x:c r="G330" s="5" t="str">
        <x:v>10.1109/bigdata66926.2025.11400946</x:v>
      </x:c>
      <x:c r="H330" s="5" t="str">
        <x:v>PILOT-20261013-01-S01-017</x:v>
      </x:c>
      <x:c r="I330" s="5" t="n">
        <x:v>1</x:v>
      </x:c>
      <x:c r="J330" s="5" t="str">
        <x:v>S2TKD: Dual-Student Knowledge Distillation for Industrial Visual Anomaly Detection and Localization</x:v>
      </x:c>
    </x:row>
    <x:row r="331" ht="40" customHeight="1">
      <x:c r="A331" s="5" t="str">
        <x:v>PILOT-20261013-01-S16-024</x:v>
      </x:c>
      <x:c r="B331" s="5" t="str">
        <x:v>C0077</x:v>
      </x:c>
      <x:c r="C331" s="5" t="str">
        <x:v>Crossref pilot</x:v>
      </x:c>
      <x:c r="D331" s="5" t="str">
        <x:v>PILOT-20261013-01</x:v>
      </x:c>
      <x:c r="E331" s="5" t="str">
        <x:v>S16</x:v>
      </x:c>
      <x:c r="F331" s="5" t="n">
        <x:v>24</x:v>
      </x:c>
      <x:c r="G331" s="5" t="str">
        <x:v>10.2139/ssrn.7385366</x:v>
      </x:c>
      <x:c r="H331" s="5" t="str">
        <x:v>PILOT-20261013-01-S05-005</x:v>
      </x:c>
      <x:c r="I331" s="5" t="n">
        <x:v>1</x:v>
      </x:c>
      <x:c r="J331" s="5" t="str">
        <x:v>Calibration Design for Reliable False-Alarm Control in Benign-Trained UAV Anomaly Detection</x:v>
      </x:c>
    </x:row>
    <x:row r="332" ht="40" customHeight="1">
      <x:c r="A332" s="5" t="str">
        <x:v>PILOT-20261013-01-S16-025</x:v>
      </x:c>
      <x:c r="B332" s="5" t="str">
        <x:v>C0018</x:v>
      </x:c>
      <x:c r="C332" s="5" t="str">
        <x:v>Crossref pilot</x:v>
      </x:c>
      <x:c r="D332" s="5" t="str">
        <x:v>PILOT-20261013-01</x:v>
      </x:c>
      <x:c r="E332" s="5" t="str">
        <x:v>S16</x:v>
      </x:c>
      <x:c r="F332" s="5" t="n">
        <x:v>25</x:v>
      </x:c>
      <x:c r="G332" s="5" t="str">
        <x:v>10.5220/0006835502850293</x:v>
      </x:c>
      <x:c r="H332" s="5" t="str">
        <x:v>PILOT-20261013-01-S01-018</x:v>
      </x:c>
      <x:c r="I332" s="5" t="n">
        <x:v>1</x:v>
      </x:c>
      <x:c r="J332" s="5" t="str">
        <x:v>Anomaly Detection for Industrial Big Data</x:v>
      </x:c>
    </x:row>
    <x:row r="333" ht="40" customHeight="1">
      <x:c r="A333" s="5" t="str">
        <x:v>PILOT-20261013-02-S02-001</x:v>
      </x:c>
      <x:c r="B333" s="5" t="str">
        <x:v>C0006</x:v>
      </x:c>
      <x:c r="C333" s="5" t="str">
        <x:v>Crossref pilot</x:v>
      </x:c>
      <x:c r="D333" s="5" t="str">
        <x:v>PILOT-20261013-02</x:v>
      </x:c>
      <x:c r="E333" s="5" t="str">
        <x:v>S02</x:v>
      </x:c>
      <x:c r="F333" s="5" t="n">
        <x:v>1</x:v>
      </x:c>
      <x:c r="G333" s="5" t="str">
        <x:v>10.21203/rs.3.rs-10598232/v1</x:v>
      </x:c>
      <x:c r="H333" s="5" t="str">
        <x:v>PILOT-20261013-01-S01-006</x:v>
      </x:c>
      <x:c r="I333" s="5" t="n">
        <x:v>1</x:v>
      </x:c>
      <x:c r="J333" s="5" t="str">
        <x:v>Foundation Models for Cold-Start Industrial Visual Anomaly Detection: A Survey</x:v>
      </x:c>
    </x:row>
    <x:row r="334" ht="40" customHeight="1">
      <x:c r="A334" s="5" t="str">
        <x:v>PILOT-20261013-02-S02-002</x:v>
      </x:c>
      <x:c r="B334" s="5" t="str">
        <x:v>R02</x:v>
      </x:c>
      <x:c r="C334" s="5" t="str">
        <x:v>Crossref pilot</x:v>
      </x:c>
      <x:c r="D334" s="5" t="str">
        <x:v>PILOT-20261013-02</x:v>
      </x:c>
      <x:c r="E334" s="5" t="str">
        <x:v>S02</x:v>
      </x:c>
      <x:c r="F334" s="5" t="n">
        <x:v>2</x:v>
      </x:c>
      <x:c r="G334" s="5" t="str">
        <x:v>10.1007/s10462-025-11287-7</x:v>
      </x:c>
      <x:c r="H334" s="5" t="str">
        <x:v>PILOT-20261013-01-S01-025</x:v>
      </x:c>
      <x:c r="I334" s="5" t="n">
        <x:v>1</x:v>
      </x:c>
      <x:c r="J334" s="5" t="str">
        <x:v>A survey of deep learning for industrial visual anomaly detection</x:v>
      </x:c>
    </x:row>
    <x:row r="335" ht="40" customHeight="1">
      <x:c r="A335" s="5" t="str">
        <x:v>PILOT-20261013-02-S02-003</x:v>
      </x:c>
      <x:c r="B335" s="5" t="str">
        <x:v>C0009</x:v>
      </x:c>
      <x:c r="C335" s="5" t="str">
        <x:v>Crossref pilot</x:v>
      </x:c>
      <x:c r="D335" s="5" t="str">
        <x:v>PILOT-20261013-02</x:v>
      </x:c>
      <x:c r="E335" s="5" t="str">
        <x:v>S02</x:v>
      </x:c>
      <x:c r="F335" s="5" t="n">
        <x:v>3</x:v>
      </x:c>
      <x:c r="G335" s="5" t="str">
        <x:v>10.1109/icdmw65004.2024.00008</x:v>
      </x:c>
      <x:c r="H335" s="5" t="str">
        <x:v>PILOT-20261013-01-S01-009</x:v>
      </x:c>
      <x:c r="I335" s="5" t="n">
        <x:v>1</x:v>
      </x:c>
      <x:c r="J335" s="5" t="str">
        <x:v>Outlier Exposure in Visual Industrial Anomaly Detection - Survey</x:v>
      </x:c>
    </x:row>
    <x:row r="336" ht="40" customHeight="1">
      <x:c r="A336" s="5" t="str">
        <x:v>PILOT-20261013-02-S02-004</x:v>
      </x:c>
      <x:c r="B336" s="5" t="str">
        <x:v>C0001</x:v>
      </x:c>
      <x:c r="C336" s="5" t="str">
        <x:v>Crossref pilot</x:v>
      </x:c>
      <x:c r="D336" s="5" t="str">
        <x:v>PILOT-20261013-02</x:v>
      </x:c>
      <x:c r="E336" s="5" t="str">
        <x:v>S02</x:v>
      </x:c>
      <x:c r="F336" s="5" t="n">
        <x:v>4</x:v>
      </x:c>
      <x:c r="G336" s="5" t="str">
        <x:v>10.2139/ssrn.7230717</x:v>
      </x:c>
      <x:c r="H336" s="5" t="str">
        <x:v>PILOT-20261013-01-S01-001</x:v>
      </x:c>
      <x:c r="I336" s="5" t="n">
        <x:v>1</x:v>
      </x:c>
      <x:c r="J336" s="5" t="str">
        <x:v>Calibrated few-shot industrial anomaly detection with frozen visual features</x:v>
      </x:c>
    </x:row>
    <x:row r="337" ht="40" customHeight="1">
      <x:c r="A337" s="5" t="str">
        <x:v>PILOT-20261013-02-S02-005</x:v>
      </x:c>
      <x:c r="B337" s="5" t="str">
        <x:v>C0002</x:v>
      </x:c>
      <x:c r="C337" s="5" t="str">
        <x:v>Crossref pilot</x:v>
      </x:c>
      <x:c r="D337" s="5" t="str">
        <x:v>PILOT-20261013-02</x:v>
      </x:c>
      <x:c r="E337" s="5" t="str">
        <x:v>S02</x:v>
      </x:c>
      <x:c r="F337" s="5" t="n">
        <x:v>5</x:v>
      </x:c>
      <x:c r="G337" s="5" t="str">
        <x:v>10.5220/0014500500005024</x:v>
      </x:c>
      <x:c r="H337" s="5" t="str">
        <x:v>PILOT-20261013-01-S01-002</x:v>
      </x:c>
      <x:c r="I337" s="5" t="n">
        <x:v>1</x:v>
      </x:c>
      <x:c r="J337" s="5" t="str">
        <x:v>SSVIT-4.0: A Self-Supervised Hybrid CNN-Transformer Framework for Industrial Visual Anomaly Detection</x:v>
      </x:c>
    </x:row>
    <x:row r="338" ht="40" customHeight="1">
      <x:c r="A338" s="5" t="str">
        <x:v>PILOT-20261013-02-S02-006</x:v>
      </x:c>
      <x:c r="B338" s="5" t="str">
        <x:v>C0014</x:v>
      </x:c>
      <x:c r="C338" s="5" t="str">
        <x:v>Crossref pilot</x:v>
      </x:c>
      <x:c r="D338" s="5" t="str">
        <x:v>PILOT-20261013-02</x:v>
      </x:c>
      <x:c r="E338" s="5" t="str">
        <x:v>S02</x:v>
      </x:c>
      <x:c r="F338" s="5" t="n">
        <x:v>6</x:v>
      </x:c>
      <x:c r="G338" s="5" t="str">
        <x:v>10.21203/rs.3.rs-7853870/v1</x:v>
      </x:c>
      <x:c r="H338" s="5" t="str">
        <x:v>PILOT-20261013-01-S01-014</x:v>
      </x:c>
      <x:c r="I338" s="5" t="n">
        <x:v>1</x:v>
      </x:c>
      <x:c r="J338" s="5" t="str">
        <x:v>Light-MLLMAD: A Lightweight Multimodal Large Language Model for One-Shot Industrial Visual Anomaly Detection</x:v>
      </x:c>
    </x:row>
    <x:row r="339" ht="40" customHeight="1">
      <x:c r="A339" s="5" t="str">
        <x:v>PILOT-20261013-02-S02-007</x:v>
      </x:c>
      <x:c r="B339" s="5" t="str">
        <x:v>C0276</x:v>
      </x:c>
      <x:c r="C339" s="5" t="str">
        <x:v>Crossref pilot</x:v>
      </x:c>
      <x:c r="D339" s="5" t="str">
        <x:v>PILOT-20261013-02</x:v>
      </x:c>
      <x:c r="E339" s="5" t="str">
        <x:v>S02</x:v>
      </x:c>
      <x:c r="F339" s="5" t="n">
        <x:v>7</x:v>
      </x:c>
      <x:c r="G339" s="5" t="str">
        <x:v>10.3724/sp.j.1004.2013.00711</x:v>
      </x:c>
      <x:c r="H339" s="5" t="str"/>
      <x:c r="I339" s="5" t="n">
        <x:v>0</x:v>
      </x:c>
      <x:c r="J339" s="5" t="str">
        <x:v>A Survey on Anomaly Detection, Life Prediction and Maintenance Decision for Industrial Processes</x:v>
      </x:c>
    </x:row>
    <x:row r="340" ht="40" customHeight="1">
      <x:c r="A340" s="5" t="str">
        <x:v>PILOT-20261013-02-S02-008</x:v>
      </x:c>
      <x:c r="B340" s="5" t="str">
        <x:v>C0003</x:v>
      </x:c>
      <x:c r="C340" s="5" t="str">
        <x:v>Crossref pilot</x:v>
      </x:c>
      <x:c r="D340" s="5" t="str">
        <x:v>PILOT-20261013-02</x:v>
      </x:c>
      <x:c r="E340" s="5" t="str">
        <x:v>S02</x:v>
      </x:c>
      <x:c r="F340" s="5" t="n">
        <x:v>8</x:v>
      </x:c>
      <x:c r="G340" s="5" t="str">
        <x:v>10.47852/bonviewaia52026321</x:v>
      </x:c>
      <x:c r="H340" s="5" t="str">
        <x:v>PILOT-20261013-01-S01-003</x:v>
      </x:c>
      <x:c r="I340" s="5" t="n">
        <x:v>1</x:v>
      </x:c>
      <x:c r="J340" s="5" t="str">
        <x:v>Anomaly Detection Utilizing PatchCore for Reimagining Industrial Visual Inspection</x:v>
      </x:c>
    </x:row>
    <x:row r="341" ht="40" customHeight="1">
      <x:c r="A341" s="5" t="str">
        <x:v>PILOT-20261013-02-S02-009</x:v>
      </x:c>
      <x:c r="B341" s="5" t="str">
        <x:v>C0004</x:v>
      </x:c>
      <x:c r="C341" s="5" t="str">
        <x:v>Crossref pilot</x:v>
      </x:c>
      <x:c r="D341" s="5" t="str">
        <x:v>PILOT-20261013-02</x:v>
      </x:c>
      <x:c r="E341" s="5" t="str">
        <x:v>S02</x:v>
      </x:c>
      <x:c r="F341" s="5" t="n">
        <x:v>9</x:v>
      </x:c>
      <x:c r="G341" s="5" t="str">
        <x:v>10.2139/ssrn.6597747</x:v>
      </x:c>
      <x:c r="H341" s="5" t="str">
        <x:v>PILOT-20261013-01-S01-004</x:v>
      </x:c>
      <x:c r="I341" s="5" t="n">
        <x:v>1</x:v>
      </x:c>
      <x:c r="J341" s="5" t="str">
        <x:v>Dynamic Anomaly-Aware Segmentation: Enabling Contextual Text-Visual Alignment for Industrial Defect Detection</x:v>
      </x:c>
    </x:row>
    <x:row r="342" ht="40" customHeight="1">
      <x:c r="A342" s="5" t="str">
        <x:v>PILOT-20261013-02-S02-010</x:v>
      </x:c>
      <x:c r="B342" s="5" t="str">
        <x:v>C0005</x:v>
      </x:c>
      <x:c r="C342" s="5" t="str">
        <x:v>Crossref pilot</x:v>
      </x:c>
      <x:c r="D342" s="5" t="str">
        <x:v>PILOT-20261013-02</x:v>
      </x:c>
      <x:c r="E342" s="5" t="str">
        <x:v>S02</x:v>
      </x:c>
      <x:c r="F342" s="5" t="n">
        <x:v>10</x:v>
      </x:c>
      <x:c r="G342" s="5" t="str">
        <x:v>10.1201/9781003644972-11</x:v>
      </x:c>
      <x:c r="H342" s="5" t="str">
        <x:v>PILOT-20261013-01-S01-005</x:v>
      </x:c>
      <x:c r="I342" s="5" t="n">
        <x:v>1</x:v>
      </x:c>
      <x:c r="J342" s="5" t="str">
        <x:v>Unsupervised Learning Paradigm for Industrial Visual Anomaly Detection</x:v>
      </x:c>
    </x:row>
    <x:row r="343" ht="40" customHeight="1">
      <x:c r="A343" s="5" t="str">
        <x:v>PILOT-20261013-02-S02-011</x:v>
      </x:c>
      <x:c r="B343" s="5" t="str">
        <x:v>C0089</x:v>
      </x:c>
      <x:c r="C343" s="5" t="str">
        <x:v>Crossref pilot</x:v>
      </x:c>
      <x:c r="D343" s="5" t="str">
        <x:v>PILOT-20261013-02</x:v>
      </x:c>
      <x:c r="E343" s="5" t="str">
        <x:v>S02</x:v>
      </x:c>
      <x:c r="F343" s="5" t="n">
        <x:v>11</x:v>
      </x:c>
      <x:c r="G343" s="5" t="str">
        <x:v>10.21203/rs.3.rs-9925157/v1</x:v>
      </x:c>
      <x:c r="H343" s="5" t="str">
        <x:v>PILOT-20261013-01-S05-019</x:v>
      </x:c>
      <x:c r="I343" s="5" t="n">
        <x:v>1</x:v>
      </x:c>
      <x:c r="J343" s="5" t="str">
        <x:v>Boundary-Aware Structural-Semantic Pseudo Anomaly Learning for Industrial Anomaly Detection</x:v>
      </x:c>
    </x:row>
    <x:row r="344" ht="53" customHeight="1">
      <x:c r="A344" s="5" t="str">
        <x:v>PILOT-20261013-02-S02-012</x:v>
      </x:c>
      <x:c r="B344" s="5" t="str">
        <x:v>C0277</x:v>
      </x:c>
      <x:c r="C344" s="5" t="str">
        <x:v>Crossref pilot</x:v>
      </x:c>
      <x:c r="D344" s="5" t="str">
        <x:v>PILOT-20261013-02</x:v>
      </x:c>
      <x:c r="E344" s="5" t="str">
        <x:v>S02</x:v>
      </x:c>
      <x:c r="F344" s="5" t="n">
        <x:v>12</x:v>
      </x:c>
      <x:c r="G344" s="5" t="str">
        <x:v>10.1002/cjce.70391/v1/review1</x:v>
      </x:c>
      <x:c r="H344" s="5" t="str"/>
      <x:c r="I344" s="5" t="n">
        <x:v>0</x:v>
      </x:c>
      <x:c r="J344" s="5" t="str">
        <x:v>Review for "Deep Variational Canonical Correlation Analysis for Intelligent Industrial Process Monitoring and Anomaly Detection"</x:v>
      </x:c>
    </x:row>
    <x:row r="345" ht="53" customHeight="1">
      <x:c r="A345" s="5" t="str">
        <x:v>PILOT-20261013-02-S02-013</x:v>
      </x:c>
      <x:c r="B345" s="5" t="str">
        <x:v>C0278</x:v>
      </x:c>
      <x:c r="C345" s="5" t="str">
        <x:v>Crossref pilot</x:v>
      </x:c>
      <x:c r="D345" s="5" t="str">
        <x:v>PILOT-20261013-02</x:v>
      </x:c>
      <x:c r="E345" s="5" t="str">
        <x:v>S02</x:v>
      </x:c>
      <x:c r="F345" s="5" t="n">
        <x:v>13</x:v>
      </x:c>
      <x:c r="G345" s="5" t="str">
        <x:v>10.1002/cjce.70391/v1/review2</x:v>
      </x:c>
      <x:c r="H345" s="5" t="str"/>
      <x:c r="I345" s="5" t="n">
        <x:v>0</x:v>
      </x:c>
      <x:c r="J345" s="5" t="str">
        <x:v>Review for "Deep Variational Canonical Correlation Analysis for Intelligent Industrial Process Monitoring and Anomaly Detection"</x:v>
      </x:c>
    </x:row>
    <x:row r="346" ht="40" customHeight="1">
      <x:c r="A346" s="5" t="str">
        <x:v>PILOT-20261013-02-S02-014</x:v>
      </x:c>
      <x:c r="B346" s="5" t="str">
        <x:v>C0279</x:v>
      </x:c>
      <x:c r="C346" s="5" t="str">
        <x:v>Crossref pilot</x:v>
      </x:c>
      <x:c r="D346" s="5" t="str">
        <x:v>PILOT-20261013-02</x:v>
      </x:c>
      <x:c r="E346" s="5" t="str">
        <x:v>S02</x:v>
      </x:c>
      <x:c r="F346" s="5" t="n">
        <x:v>14</x:v>
      </x:c>
      <x:c r="G346" s="5" t="str">
        <x:v>10.1109/access.2026.3706950</x:v>
      </x:c>
      <x:c r="H346" s="5" t="str"/>
      <x:c r="I346" s="5" t="n">
        <x:v>0</x:v>
      </x:c>
      <x:c r="J346" s="5" t="str">
        <x:v>Industrial Visual Anomaly Synthesis: A Deployment-Oriented Survey</x:v>
      </x:c>
    </x:row>
    <x:row r="347" ht="40" customHeight="1">
      <x:c r="A347" s="5" t="str">
        <x:v>PILOT-20261013-02-S02-015</x:v>
      </x:c>
      <x:c r="B347" s="5" t="str">
        <x:v>C0007</x:v>
      </x:c>
      <x:c r="C347" s="5" t="str">
        <x:v>Crossref pilot</x:v>
      </x:c>
      <x:c r="D347" s="5" t="str">
        <x:v>PILOT-20261013-02</x:v>
      </x:c>
      <x:c r="E347" s="5" t="str">
        <x:v>S02</x:v>
      </x:c>
      <x:c r="F347" s="5" t="n">
        <x:v>15</x:v>
      </x:c>
      <x:c r="G347" s="5" t="str">
        <x:v>10.2139/ssrn.4742821</x:v>
      </x:c>
      <x:c r="H347" s="5" t="str">
        <x:v>PILOT-20261013-01-S01-007</x:v>
      </x:c>
      <x:c r="I347" s="5" t="n">
        <x:v>1</x:v>
      </x:c>
      <x:c r="J347" s="5" t="str">
        <x:v>Fair: Frequency-Aware Image Restoration for Industrial Visual Anomaly Detection</x:v>
      </x:c>
    </x:row>
    <x:row r="348" ht="40" customHeight="1">
      <x:c r="A348" s="5" t="str">
        <x:v>PILOT-20261013-02-S02-016</x:v>
      </x:c>
      <x:c r="B348" s="5" t="str">
        <x:v>C0008</x:v>
      </x:c>
      <x:c r="C348" s="5" t="str">
        <x:v>Crossref pilot</x:v>
      </x:c>
      <x:c r="D348" s="5" t="str">
        <x:v>PILOT-20261013-02</x:v>
      </x:c>
      <x:c r="E348" s="5" t="str">
        <x:v>S02</x:v>
      </x:c>
      <x:c r="F348" s="5" t="n">
        <x:v>16</x:v>
      </x:c>
      <x:c r="G348" s="5" t="str">
        <x:v>10.1109/icmlt69916.2026.11688969</x:v>
      </x:c>
      <x:c r="H348" s="5" t="str">
        <x:v>PILOT-20261013-01-S01-008</x:v>
      </x:c>
      <x:c r="I348" s="5" t="n">
        <x:v>1</x:v>
      </x:c>
      <x:c r="J348" s="5" t="str">
        <x:v>Embedding Stability-Guided Early-Stopping for Industrial Visual Anomaly Detection</x:v>
      </x:c>
    </x:row>
    <x:row r="349" ht="40" customHeight="1">
      <x:c r="A349" s="5" t="str">
        <x:v>PILOT-20261013-02-S02-017</x:v>
      </x:c>
      <x:c r="B349" s="5" t="str">
        <x:v>C0010</x:v>
      </x:c>
      <x:c r="C349" s="5" t="str">
        <x:v>Crossref pilot</x:v>
      </x:c>
      <x:c r="D349" s="5" t="str">
        <x:v>PILOT-20261013-02</x:v>
      </x:c>
      <x:c r="E349" s="5" t="str">
        <x:v>S02</x:v>
      </x:c>
      <x:c r="F349" s="5" t="n">
        <x:v>17</x:v>
      </x:c>
      <x:c r="G349" s="5" t="str">
        <x:v>10.1016/j.jvcir.2023.103983</x:v>
      </x:c>
      <x:c r="H349" s="5" t="str">
        <x:v>PILOT-20261013-01-S01-010</x:v>
      </x:c>
      <x:c r="I349" s="5" t="n">
        <x:v>1</x:v>
      </x:c>
      <x:c r="J349" s="5" t="str">
        <x:v>Unsupervised industrial anomaly detection with diffusion models</x:v>
      </x:c>
    </x:row>
    <x:row r="350" ht="53" customHeight="1">
      <x:c r="A350" s="5" t="str">
        <x:v>PILOT-20261013-02-S02-018</x:v>
      </x:c>
      <x:c r="B350" s="5" t="str">
        <x:v>C0280</x:v>
      </x:c>
      <x:c r="C350" s="5" t="str">
        <x:v>Crossref pilot</x:v>
      </x:c>
      <x:c r="D350" s="5" t="str">
        <x:v>PILOT-20261013-02</x:v>
      </x:c>
      <x:c r="E350" s="5" t="str">
        <x:v>S02</x:v>
      </x:c>
      <x:c r="F350" s="5" t="n">
        <x:v>18</x:v>
      </x:c>
      <x:c r="G350" s="5" t="str">
        <x:v>10.1002/cjce.70391/v1/review3</x:v>
      </x:c>
      <x:c r="H350" s="5" t="str"/>
      <x:c r="I350" s="5" t="n">
        <x:v>0</x:v>
      </x:c>
      <x:c r="J350" s="5" t="str">
        <x:v>Review for "Deep Variational Canonical Correlation Analysis for Intelligent Industrial Process Monitoring and Anomaly Detection"</x:v>
      </x:c>
    </x:row>
    <x:row r="351" ht="40" customHeight="1">
      <x:c r="A351" s="5" t="str">
        <x:v>PILOT-20261013-02-S02-019</x:v>
      </x:c>
      <x:c r="B351" s="5" t="str">
        <x:v>C0281</x:v>
      </x:c>
      <x:c r="C351" s="5" t="str">
        <x:v>Crossref pilot</x:v>
      </x:c>
      <x:c r="D351" s="5" t="str">
        <x:v>PILOT-20261013-02</x:v>
      </x:c>
      <x:c r="E351" s="5" t="str">
        <x:v>S02</x:v>
      </x:c>
      <x:c r="F351" s="5" t="n">
        <x:v>19</x:v>
      </x:c>
      <x:c r="G351" s="5" t="str">
        <x:v>10.2172/900157</x:v>
      </x:c>
      <x:c r="H351" s="5" t="str"/>
      <x:c r="I351" s="5" t="n">
        <x:v>0</x:v>
      </x:c>
      <x:c r="J351" s="5" t="str">
        <x:v>Survey of Anomaly Detection Methods</x:v>
      </x:c>
    </x:row>
    <x:row r="352" ht="40" customHeight="1">
      <x:c r="A352" s="5" t="str">
        <x:v>PILOT-20261013-02-S02-020</x:v>
      </x:c>
      <x:c r="B352" s="5" t="str">
        <x:v>C0282</x:v>
      </x:c>
      <x:c r="C352" s="5" t="str">
        <x:v>Crossref pilot</x:v>
      </x:c>
      <x:c r="D352" s="5" t="str">
        <x:v>PILOT-20261013-02</x:v>
      </x:c>
      <x:c r="E352" s="5" t="str">
        <x:v>S02</x:v>
      </x:c>
      <x:c r="F352" s="5" t="n">
        <x:v>20</x:v>
      </x:c>
      <x:c r="G352" s="5" t="str">
        <x:v>10.1109/access.2023.3282993</x:v>
      </x:c>
      <x:c r="H352" s="5" t="str"/>
      <x:c r="I352" s="5" t="n">
        <x:v>0</x:v>
      </x:c>
      <x:c r="J352" s="5" t="str">
        <x:v>A Survey on Unsupervised Anomaly Detection Algorithms for Industrial Images</x:v>
      </x:c>
    </x:row>
    <x:row r="353" ht="40" customHeight="1">
      <x:c r="A353" s="5" t="str">
        <x:v>PILOT-20261013-02-S02-021</x:v>
      </x:c>
      <x:c r="B353" s="5" t="str">
        <x:v>C0011</x:v>
      </x:c>
      <x:c r="C353" s="5" t="str">
        <x:v>Crossref pilot</x:v>
      </x:c>
      <x:c r="D353" s="5" t="str">
        <x:v>PILOT-20261013-02</x:v>
      </x:c>
      <x:c r="E353" s="5" t="str">
        <x:v>S02</x:v>
      </x:c>
      <x:c r="F353" s="5" t="n">
        <x:v>21</x:v>
      </x:c>
      <x:c r="G353" s="5" t="str">
        <x:v>10.1016/j.optlastec.2023.110296</x:v>
      </x:c>
      <x:c r="H353" s="5" t="str">
        <x:v>PILOT-20261013-01-S01-011</x:v>
      </x:c>
      <x:c r="I353" s="5" t="n">
        <x:v>1</x:v>
      </x:c>
      <x:c r="J353" s="5" t="str">
        <x:v>Anomaly-prior guided inpainting for industrial visual anomaly detection</x:v>
      </x:c>
    </x:row>
    <x:row r="354" ht="40" customHeight="1">
      <x:c r="A354" s="5" t="str">
        <x:v>PILOT-20261013-02-S02-022</x:v>
      </x:c>
      <x:c r="B354" s="5" t="str">
        <x:v>C0283</x:v>
      </x:c>
      <x:c r="C354" s="5" t="str">
        <x:v>Crossref pilot</x:v>
      </x:c>
      <x:c r="D354" s="5" t="str">
        <x:v>PILOT-20261013-02</x:v>
      </x:c>
      <x:c r="E354" s="5" t="str">
        <x:v>S02</x:v>
      </x:c>
      <x:c r="F354" s="5" t="n">
        <x:v>22</x:v>
      </x:c>
      <x:c r="G354" s="5" t="str">
        <x:v>10.1016/j.cosrev.2023.100557</x:v>
      </x:c>
      <x:c r="H354" s="5" t="str"/>
      <x:c r="I354" s="5" t="n">
        <x:v>0</x:v>
      </x:c>
      <x:c r="J354" s="5" t="str">
        <x:v>Negative selection in anomaly detection—A survey</x:v>
      </x:c>
    </x:row>
    <x:row r="355" ht="40" customHeight="1">
      <x:c r="A355" s="5" t="str">
        <x:v>PILOT-20261013-02-S02-023</x:v>
      </x:c>
      <x:c r="B355" s="5" t="str">
        <x:v>C0284</x:v>
      </x:c>
      <x:c r="C355" s="5" t="str">
        <x:v>Crossref pilot</x:v>
      </x:c>
      <x:c r="D355" s="5" t="str">
        <x:v>PILOT-20261013-02</x:v>
      </x:c>
      <x:c r="E355" s="5" t="str">
        <x:v>S02</x:v>
      </x:c>
      <x:c r="F355" s="5" t="n">
        <x:v>23</x:v>
      </x:c>
      <x:c r="G355" s="5" t="str">
        <x:v>10.21203/rs.3.rs-11087383/v1</x:v>
      </x:c>
      <x:c r="H355" s="5" t="str"/>
      <x:c r="I355" s="5" t="n">
        <x:v>0</x:v>
      </x:c>
      <x:c r="J355" s="5" t="str">
        <x:v>Anomaly Detection under Class Imbalance: A Survey of Methods, Evaluation Pitfalls, and Open Challenges</x:v>
      </x:c>
    </x:row>
    <x:row r="356" ht="53" customHeight="1">
      <x:c r="A356" s="5" t="str">
        <x:v>PILOT-20261013-02-S02-024</x:v>
      </x:c>
      <x:c r="B356" s="5" t="str">
        <x:v>C0012</x:v>
      </x:c>
      <x:c r="C356" s="5" t="str">
        <x:v>Crossref pilot</x:v>
      </x:c>
      <x:c r="D356" s="5" t="str">
        <x:v>PILOT-20261013-02</x:v>
      </x:c>
      <x:c r="E356" s="5" t="str">
        <x:v>S02</x:v>
      </x:c>
      <x:c r="F356" s="5" t="n">
        <x:v>24</x:v>
      </x:c>
      <x:c r="G356" s="5" t="str">
        <x:v>10.2139/ssrn.7597210</x:v>
      </x:c>
      <x:c r="H356" s="5" t="str">
        <x:v>PILOT-20261013-01-S01-012</x:v>
      </x:c>
      <x:c r="I356" s="5" t="n">
        <x:v>1</x:v>
      </x:c>
      <x:c r="J356" s="5" t="str">
        <x:v>Online Industrial Visual Anomaly Detection Using Temporal Aggregation Representations: A Case Study of Yarn Breakage Detection in Warp Knitting</x:v>
      </x:c>
    </x:row>
    <x:row r="357" ht="40" customHeight="1">
      <x:c r="A357" s="5" t="str">
        <x:v>PILOT-20261013-02-S02-025</x:v>
      </x:c>
      <x:c r="B357" s="5" t="str">
        <x:v>C0285</x:v>
      </x:c>
      <x:c r="C357" s="5" t="str">
        <x:v>Crossref pilot</x:v>
      </x:c>
      <x:c r="D357" s="5" t="str">
        <x:v>PILOT-20261013-02</x:v>
      </x:c>
      <x:c r="E357" s="5" t="str">
        <x:v>S02</x:v>
      </x:c>
      <x:c r="F357" s="5" t="n">
        <x:v>25</x:v>
      </x:c>
      <x:c r="G357" s="5" t="str">
        <x:v>10.21203/rs.3.rs-10226513/v1</x:v>
      </x:c>
      <x:c r="H357" s="5" t="str"/>
      <x:c r="I357" s="5" t="n">
        <x:v>0</x:v>
      </x:c>
      <x:c r="J357" s="5" t="str">
        <x:v>Semantic-Guided Multi-Scale Dual-Teacher Distillation Network for Medical and Industrial Anomaly Detection</x:v>
      </x:c>
    </x:row>
    <x:row r="358" ht="40" customHeight="1">
      <x:c r="A358" s="5" t="str">
        <x:v>PILOT-20261013-02-S06-001</x:v>
      </x:c>
      <x:c r="B358" s="5" t="str">
        <x:v>C0286</x:v>
      </x:c>
      <x:c r="C358" s="5" t="str">
        <x:v>Crossref pilot</x:v>
      </x:c>
      <x:c r="D358" s="5" t="str">
        <x:v>PILOT-20261013-02</x:v>
      </x:c>
      <x:c r="E358" s="5" t="str">
        <x:v>S06</x:v>
      </x:c>
      <x:c r="F358" s="5" t="n">
        <x:v>1</x:v>
      </x:c>
      <x:c r="G358" s="5" t="str">
        <x:v>10.1109/access.2026.3707193</x:v>
      </x:c>
      <x:c r="H358" s="5" t="str"/>
      <x:c r="I358" s="5" t="n">
        <x:v>0</x:v>
      </x:c>
      <x:c r="J358" s="5" t="str">
        <x:v>TrustDTI: Trustworthy Drug–Target Interaction Prediction via Evidential Deep Learning and Selective Abstention</x:v>
      </x:c>
    </x:row>
    <x:row r="359" ht="40" customHeight="1">
      <x:c r="A359" s="5" t="str">
        <x:v>PILOT-20261013-02-S06-002</x:v>
      </x:c>
      <x:c r="B359" s="5" t="str">
        <x:v>C0287</x:v>
      </x:c>
      <x:c r="C359" s="5" t="str">
        <x:v>Crossref pilot</x:v>
      </x:c>
      <x:c r="D359" s="5" t="str">
        <x:v>PILOT-20261013-02</x:v>
      </x:c>
      <x:c r="E359" s="5" t="str">
        <x:v>S06</x:v>
      </x:c>
      <x:c r="F359" s="5" t="n">
        <x:v>2</x:v>
      </x:c>
      <x:c r="G359" s="5" t="str">
        <x:v>10.18653/v1/2024.findings-acl.767</x:v>
      </x:c>
      <x:c r="H359" s="5" t="str"/>
      <x:c r="I359" s="5" t="n">
        <x:v>0</x:v>
      </x:c>
      <x:c r="J359" s="5" t="str">
        <x:v>Selective “Selective Prediction”: Reducing Unnecessary Abstention in Vision-Language Reasoning</x:v>
      </x:c>
    </x:row>
    <x:row r="360" ht="40" customHeight="1">
      <x:c r="A360" s="5" t="str">
        <x:v>PILOT-20261013-02-S06-003</x:v>
      </x:c>
      <x:c r="B360" s="5" t="str">
        <x:v>C0049</x:v>
      </x:c>
      <x:c r="C360" s="5" t="str">
        <x:v>Crossref pilot</x:v>
      </x:c>
      <x:c r="D360" s="5" t="str">
        <x:v>PILOT-20261013-02</x:v>
      </x:c>
      <x:c r="E360" s="5" t="str">
        <x:v>S06</x:v>
      </x:c>
      <x:c r="F360" s="5" t="n">
        <x:v>3</x:v>
      </x:c>
      <x:c r="G360" s="5" t="str">
        <x:v>10.1049/ic:19970259</x:v>
      </x:c>
      <x:c r="H360" s="5" t="str">
        <x:v>PILOT-20261013-01-S04-001</x:v>
      </x:c>
      <x:c r="I360" s="5" t="n">
        <x:v>1</x:v>
      </x:c>
      <x:c r="J360" s="5" t="str">
        <x:v>Using uncertainty techniques to aid defect classification in an automated visual inspection system</x:v>
      </x:c>
    </x:row>
    <x:row r="361" ht="40" customHeight="1">
      <x:c r="A361" s="5" t="str">
        <x:v>PILOT-20261013-02-S06-004</x:v>
      </x:c>
      <x:c r="B361" s="5" t="str">
        <x:v>C0288</x:v>
      </x:c>
      <x:c r="C361" s="5" t="str">
        <x:v>Crossref pilot</x:v>
      </x:c>
      <x:c r="D361" s="5" t="str">
        <x:v>PILOT-20261013-02</x:v>
      </x:c>
      <x:c r="E361" s="5" t="str">
        <x:v>S06</x:v>
      </x:c>
      <x:c r="F361" s="5" t="n">
        <x:v>4</x:v>
      </x:c>
      <x:c r="G361" s="5" t="str">
        <x:v>10.1037/e573682012-011</x:v>
      </x:c>
      <x:c r="H361" s="5" t="str"/>
      <x:c r="I361" s="5" t="n">
        <x:v>0</x:v>
      </x:c>
      <x:c r="J361" s="5" t="str">
        <x:v>Visual search and industrial inspection</x:v>
      </x:c>
    </x:row>
    <x:row r="362" ht="40" customHeight="1">
      <x:c r="A362" s="5" t="str">
        <x:v>PILOT-20261013-02-S06-005</x:v>
      </x:c>
      <x:c r="B362" s="5" t="str">
        <x:v>C0289</x:v>
      </x:c>
      <x:c r="C362" s="5" t="str">
        <x:v>Crossref pilot</x:v>
      </x:c>
      <x:c r="D362" s="5" t="str">
        <x:v>PILOT-20261013-02</x:v>
      </x:c>
      <x:c r="E362" s="5" t="str">
        <x:v>S06</x:v>
      </x:c>
      <x:c r="F362" s="5" t="n">
        <x:v>5</x:v>
      </x:c>
      <x:c r="G362" s="5" t="str">
        <x:v>10.1016/0003-6870(91)90172-e</x:v>
      </x:c>
      <x:c r="H362" s="5" t="str"/>
      <x:c r="I362" s="5" t="n">
        <x:v>0</x:v>
      </x:c>
      <x:c r="J362" s="5" t="str">
        <x:v>Visual search in industrial inspection</x:v>
      </x:c>
    </x:row>
    <x:row r="363" ht="40" customHeight="1">
      <x:c r="A363" s="5" t="str">
        <x:v>PILOT-20261013-02-S06-006</x:v>
      </x:c>
      <x:c r="B363" s="5" t="str">
        <x:v>C0290</x:v>
      </x:c>
      <x:c r="C363" s="5" t="str">
        <x:v>Crossref pilot</x:v>
      </x:c>
      <x:c r="D363" s="5" t="str">
        <x:v>PILOT-20261013-02</x:v>
      </x:c>
      <x:c r="E363" s="5" t="str">
        <x:v>S06</x:v>
      </x:c>
      <x:c r="F363" s="5" t="n">
        <x:v>6</x:v>
      </x:c>
      <x:c r="G363" s="5" t="str">
        <x:v>10.1016/0003-6870(77)90014-x</x:v>
      </x:c>
      <x:c r="H363" s="5" t="str"/>
      <x:c r="I363" s="5" t="n">
        <x:v>0</x:v>
      </x:c>
      <x:c r="J363" s="5" t="str">
        <x:v>Visual search and industrial inspection</x:v>
      </x:c>
    </x:row>
    <x:row r="364" ht="40" customHeight="1">
      <x:c r="A364" s="5" t="str">
        <x:v>PILOT-20261013-02-S06-007</x:v>
      </x:c>
      <x:c r="B364" s="5" t="str">
        <x:v>C0291</x:v>
      </x:c>
      <x:c r="C364" s="5" t="str">
        <x:v>Crossref pilot</x:v>
      </x:c>
      <x:c r="D364" s="5" t="str">
        <x:v>PILOT-20261013-02</x:v>
      </x:c>
      <x:c r="E364" s="5" t="str">
        <x:v>S06</x:v>
      </x:c>
      <x:c r="F364" s="5" t="n">
        <x:v>7</x:v>
      </x:c>
      <x:c r="G364" s="5" t="str">
        <x:v>10.26488/iej.11.2.1039</x:v>
      </x:c>
      <x:c r="H364" s="5" t="str"/>
      <x:c r="I364" s="5" t="n">
        <x:v>0</x:v>
      </x:c>
      <x:c r="J364" s="5" t="str">
        <x:v>AUTOMATION OF VISUAL INSPECTION USING IMAGE PROCESSING</x:v>
      </x:c>
    </x:row>
    <x:row r="365" ht="40" customHeight="1">
      <x:c r="A365" s="5" t="str">
        <x:v>PILOT-20261013-02-S06-008</x:v>
      </x:c>
      <x:c r="B365" s="5" t="str">
        <x:v>C0070</x:v>
      </x:c>
      <x:c r="C365" s="5" t="str">
        <x:v>Crossref pilot</x:v>
      </x:c>
      <x:c r="D365" s="5" t="str">
        <x:v>PILOT-20261013-02</x:v>
      </x:c>
      <x:c r="E365" s="5" t="str">
        <x:v>S06</x:v>
      </x:c>
      <x:c r="F365" s="5" t="n">
        <x:v>8</x:v>
      </x:c>
      <x:c r="G365" s="5" t="str">
        <x:v>10.2139/ssrn.7218460</x:v>
      </x:c>
      <x:c r="H365" s="5" t="str">
        <x:v>PILOT-20261013-01-S04-023</x:v>
      </x:c>
      <x:c r="I365" s="5" t="n">
        <x:v>1</x:v>
      </x:c>
      <x:c r="J365" s="5" t="str">
        <x:v>Tiny Defect-VQA: Mask-Grounded Edge Visual Question Answering for Industrial Surface Inspection</x:v>
      </x:c>
    </x:row>
    <x:row r="366" ht="40" customHeight="1">
      <x:c r="A366" s="5" t="str">
        <x:v>PILOT-20261013-02-S06-009</x:v>
      </x:c>
      <x:c r="B366" s="5" t="str">
        <x:v>C0072</x:v>
      </x:c>
      <x:c r="C366" s="5" t="str">
        <x:v>Crossref pilot</x:v>
      </x:c>
      <x:c r="D366" s="5" t="str">
        <x:v>PILOT-20261013-02</x:v>
      </x:c>
      <x:c r="E366" s="5" t="str">
        <x:v>S06</x:v>
      </x:c>
      <x:c r="F366" s="5" t="n">
        <x:v>9</x:v>
      </x:c>
      <x:c r="G366" s="5" t="str">
        <x:v>10.2139/ssrn.7218465</x:v>
      </x:c>
      <x:c r="H366" s="5" t="str">
        <x:v>PILOT-20261013-01-S04-025</x:v>
      </x:c>
      <x:c r="I366" s="5" t="n">
        <x:v>1</x:v>
      </x:c>
      <x:c r="J366" s="5" t="str">
        <x:v>Tiny Defect-VQA: Mask-Grounded Edge Visual Question Answering for Industrial Surface Inspection</x:v>
      </x:c>
    </x:row>
    <x:row r="367" ht="53" customHeight="1">
      <x:c r="A367" s="5" t="str">
        <x:v>PILOT-20261013-02-S06-010</x:v>
      </x:c>
      <x:c r="B367" s="5" t="str">
        <x:v>C0292</x:v>
      </x:c>
      <x:c r="C367" s="5" t="str">
        <x:v>Crossref pilot</x:v>
      </x:c>
      <x:c r="D367" s="5" t="str">
        <x:v>PILOT-20261013-02</x:v>
      </x:c>
      <x:c r="E367" s="5" t="str">
        <x:v>S06</x:v>
      </x:c>
      <x:c r="F367" s="5" t="n">
        <x:v>10</x:v>
      </x:c>
      <x:c r="G367" s="5" t="str">
        <x:v>10.2139/ssrn.7391678</x:v>
      </x:c>
      <x:c r="H367" s="5" t="str"/>
      <x:c r="I367" s="5" t="n">
        <x:v>0</x:v>
      </x:c>
      <x:c r="J367" s="5" t="str">
        <x:v>Evaluating Evidence Verification and Selective Abstention for Reliable Retrieval-Augmented Biomedical Question Answering</x:v>
      </x:c>
    </x:row>
    <x:row r="368" ht="40" customHeight="1">
      <x:c r="A368" s="5" t="str">
        <x:v>PILOT-20261013-02-S06-011</x:v>
      </x:c>
      <x:c r="B368" s="5" t="str">
        <x:v>C0293</x:v>
      </x:c>
      <x:c r="C368" s="5" t="str">
        <x:v>Crossref pilot</x:v>
      </x:c>
      <x:c r="D368" s="5" t="str">
        <x:v>PILOT-20261013-02</x:v>
      </x:c>
      <x:c r="E368" s="5" t="str">
        <x:v>S06</x:v>
      </x:c>
      <x:c r="F368" s="5" t="n">
        <x:v>11</x:v>
      </x:c>
      <x:c r="G368" s="5" t="str">
        <x:v>10.1007/978-3-642-48675-3_10</x:v>
      </x:c>
      <x:c r="H368" s="5" t="str"/>
      <x:c r="I368" s="5" t="n">
        <x:v>0</x:v>
      </x:c>
      <x:c r="J368" s="5" t="str">
        <x:v>Automated Visual Inspection Algorithms</x:v>
      </x:c>
    </x:row>
    <x:row r="369" ht="40" customHeight="1">
      <x:c r="A369" s="5" t="str">
        <x:v>PILOT-20261013-02-S06-012</x:v>
      </x:c>
      <x:c r="B369" s="5" t="str">
        <x:v>C0294</x:v>
      </x:c>
      <x:c r="C369" s="5" t="str">
        <x:v>Crossref pilot</x:v>
      </x:c>
      <x:c r="D369" s="5" t="str">
        <x:v>PILOT-20261013-02</x:v>
      </x:c>
      <x:c r="E369" s="5" t="str">
        <x:v>S06</x:v>
      </x:c>
      <x:c r="F369" s="5" t="n">
        <x:v>12</x:v>
      </x:c>
      <x:c r="G369" s="5" t="str">
        <x:v>10.1108/eb004740</x:v>
      </x:c>
      <x:c r="H369" s="5" t="str"/>
      <x:c r="I369" s="5" t="n">
        <x:v>0</x:v>
      </x:c>
      <x:c r="J369" s="5" t="str">
        <x:v>Automatic visual inspection in industry</x:v>
      </x:c>
    </x:row>
    <x:row r="370" ht="40" customHeight="1">
      <x:c r="A370" s="5" t="str">
        <x:v>PILOT-20261013-02-S06-013</x:v>
      </x:c>
      <x:c r="B370" s="5" t="str">
        <x:v>C0295</x:v>
      </x:c>
      <x:c r="C370" s="5" t="str">
        <x:v>Crossref pilot</x:v>
      </x:c>
      <x:c r="D370" s="5" t="str">
        <x:v>PILOT-20261013-02</x:v>
      </x:c>
      <x:c r="E370" s="5" t="str">
        <x:v>S06</x:v>
      </x:c>
      <x:c r="F370" s="5" t="n">
        <x:v>13</x:v>
      </x:c>
      <x:c r="G370" s="5" t="str">
        <x:v>10.1007/978-3-642-58550-0_11</x:v>
      </x:c>
      <x:c r="H370" s="5" t="str"/>
      <x:c r="I370" s="5" t="n">
        <x:v>0</x:v>
      </x:c>
      <x:c r="J370" s="5" t="str">
        <x:v>Outlook: Visual Inspection Projects</x:v>
      </x:c>
    </x:row>
    <x:row r="371" ht="40" customHeight="1">
      <x:c r="A371" s="5" t="str">
        <x:v>PILOT-20261013-02-S06-014</x:v>
      </x:c>
      <x:c r="B371" s="5" t="str">
        <x:v>C0296</x:v>
      </x:c>
      <x:c r="C371" s="5" t="str">
        <x:v>Crossref pilot</x:v>
      </x:c>
      <x:c r="D371" s="5" t="str">
        <x:v>PILOT-20261013-02</x:v>
      </x:c>
      <x:c r="E371" s="5" t="str">
        <x:v>S06</x:v>
      </x:c>
      <x:c r="F371" s="5" t="n">
        <x:v>14</x:v>
      </x:c>
      <x:c r="G371" s="5" t="str">
        <x:v>10.5220/0011696400003417</x:v>
      </x:c>
      <x:c r="H371" s="5" t="str"/>
      <x:c r="I371" s="5" t="n">
        <x:v>0</x:v>
      </x:c>
      <x:c r="J371" s="5" t="str">
        <x:v>Industrial Visual Defect Inspection of Electronic Components with Siamese Neural Network</x:v>
      </x:c>
    </x:row>
    <x:row r="372" ht="53" customHeight="1">
      <x:c r="A372" s="5" t="str">
        <x:v>PILOT-20261013-02-S06-015</x:v>
      </x:c>
      <x:c r="B372" s="5" t="str">
        <x:v>C0297</x:v>
      </x:c>
      <x:c r="C372" s="5" t="str">
        <x:v>Crossref pilot</x:v>
      </x:c>
      <x:c r="D372" s="5" t="str">
        <x:v>PILOT-20261013-02</x:v>
      </x:c>
      <x:c r="E372" s="5" t="str">
        <x:v>S06</x:v>
      </x:c>
      <x:c r="F372" s="5" t="n">
        <x:v>15</x:v>
      </x:c>
      <x:c r="G372" s="5" t="str">
        <x:v>10.1109/access.2026.3729887</x:v>
      </x:c>
      <x:c r="H372" s="5" t="str"/>
      <x:c r="I372" s="5" t="n">
        <x:v>0</x:v>
      </x:c>
      <x:c r="J372" s="5" t="str">
        <x:v>Uncertainty-Aware Brain-Tumor Type Classification From MRI: Segmentation-Guided ROI, Conformal Prediction, and Selective Abstention Under Distribution Shift</x:v>
      </x:c>
    </x:row>
    <x:row r="373" ht="40" customHeight="1">
      <x:c r="A373" s="5" t="str">
        <x:v>PILOT-20261013-02-S06-016</x:v>
      </x:c>
      <x:c r="B373" s="5" t="str">
        <x:v>C0298</x:v>
      </x:c>
      <x:c r="C373" s="5" t="str">
        <x:v>Crossref pilot</x:v>
      </x:c>
      <x:c r="D373" s="5" t="str">
        <x:v>PILOT-20261013-02</x:v>
      </x:c>
      <x:c r="E373" s="5" t="str">
        <x:v>S06</x:v>
      </x:c>
      <x:c r="F373" s="5" t="n">
        <x:v>16</x:v>
      </x:c>
      <x:c r="G373" s="5" t="str">
        <x:v>10.1016/s0263-2241(83)80012-8</x:v>
      </x:c>
      <x:c r="H373" s="5" t="str"/>
      <x:c r="I373" s="5" t="n">
        <x:v>0</x:v>
      </x:c>
      <x:c r="J373" s="5" t="str">
        <x:v>Automated visual inspection systems for industrial applications</x:v>
      </x:c>
    </x:row>
    <x:row r="374" ht="40" customHeight="1">
      <x:c r="A374" s="5" t="str">
        <x:v>PILOT-20261013-02-S06-017</x:v>
      </x:c>
      <x:c r="B374" s="5" t="str">
        <x:v>C0299</x:v>
      </x:c>
      <x:c r="C374" s="5" t="str">
        <x:v>Crossref pilot</x:v>
      </x:c>
      <x:c r="D374" s="5" t="str">
        <x:v>PILOT-20261013-02</x:v>
      </x:c>
      <x:c r="E374" s="5" t="str">
        <x:v>S06</x:v>
      </x:c>
      <x:c r="F374" s="5" t="n">
        <x:v>17</x:v>
      </x:c>
      <x:c r="G374" s="5" t="str">
        <x:v>10.33774/apsa-2020-580j6</x:v>
      </x:c>
      <x:c r="H374" s="5" t="str"/>
      <x:c r="I374" s="5" t="n">
        <x:v>0</x:v>
      </x:c>
      <x:c r="J374" s="5" t="str">
        <x:v>Selective Abstention in Simultaneous Elections: Understanding the Turnout Gap</x:v>
      </x:c>
    </x:row>
    <x:row r="375" ht="40" customHeight="1">
      <x:c r="A375" s="5" t="str">
        <x:v>PILOT-20261013-02-S06-018</x:v>
      </x:c>
      <x:c r="B375" s="5" t="str">
        <x:v>C0300</x:v>
      </x:c>
      <x:c r="C375" s="5" t="str">
        <x:v>Crossref pilot</x:v>
      </x:c>
      <x:c r="D375" s="5" t="str">
        <x:v>PILOT-20261013-02</x:v>
      </x:c>
      <x:c r="E375" s="5" t="str">
        <x:v>S06</x:v>
      </x:c>
      <x:c r="F375" s="5" t="n">
        <x:v>18</x:v>
      </x:c>
      <x:c r="G375" s="5" t="str">
        <x:v>10.1109/lindi.2011.6031126</x:v>
      </x:c>
      <x:c r="H375" s="5" t="str"/>
      <x:c r="I375" s="5" t="n">
        <x:v>0</x:v>
      </x:c>
      <x:c r="J375" s="5" t="str">
        <x:v>Structure of visual inspection system for IMS</x:v>
      </x:c>
    </x:row>
    <x:row r="376" ht="40" customHeight="1">
      <x:c r="A376" s="5" t="str">
        <x:v>PILOT-20261013-02-S06-019</x:v>
      </x:c>
      <x:c r="B376" s="5" t="str">
        <x:v>C0301</x:v>
      </x:c>
      <x:c r="C376" s="5" t="str">
        <x:v>Crossref pilot</x:v>
      </x:c>
      <x:c r="D376" s="5" t="str">
        <x:v>PILOT-20261013-02</x:v>
      </x:c>
      <x:c r="E376" s="5" t="str">
        <x:v>S06</x:v>
      </x:c>
      <x:c r="F376" s="5" t="n">
        <x:v>19</x:v>
      </x:c>
      <x:c r="G376" s="5" t="str">
        <x:v>10.1007/978-1-4613-1201-7_2</x:v>
      </x:c>
      <x:c r="H376" s="5" t="str"/>
      <x:c r="I376" s="5" t="n">
        <x:v>0</x:v>
      </x:c>
      <x:c r="J376" s="5" t="str">
        <x:v>Intelligent visual inspection</x:v>
      </x:c>
    </x:row>
    <x:row r="377" ht="40" customHeight="1">
      <x:c r="A377" s="5" t="str">
        <x:v>PILOT-20261013-02-S06-020</x:v>
      </x:c>
      <x:c r="B377" s="5" t="str">
        <x:v>C0003</x:v>
      </x:c>
      <x:c r="C377" s="5" t="str">
        <x:v>Crossref pilot</x:v>
      </x:c>
      <x:c r="D377" s="5" t="str">
        <x:v>PILOT-20261013-02</x:v>
      </x:c>
      <x:c r="E377" s="5" t="str">
        <x:v>S06</x:v>
      </x:c>
      <x:c r="F377" s="5" t="n">
        <x:v>20</x:v>
      </x:c>
      <x:c r="G377" s="5" t="str">
        <x:v>10.47852/bonviewaia52026321</x:v>
      </x:c>
      <x:c r="H377" s="5" t="str">
        <x:v>PILOT-20261013-01-S01-003</x:v>
      </x:c>
      <x:c r="I377" s="5" t="n">
        <x:v>1</x:v>
      </x:c>
      <x:c r="J377" s="5" t="str">
        <x:v>Anomaly Detection Utilizing PatchCore for Reimagining Industrial Visual Inspection</x:v>
      </x:c>
    </x:row>
    <x:row r="378" ht="40" customHeight="1">
      <x:c r="A378" s="5" t="str">
        <x:v>PILOT-20261013-02-S06-021</x:v>
      </x:c>
      <x:c r="B378" s="5" t="str">
        <x:v>C0302</x:v>
      </x:c>
      <x:c r="C378" s="5" t="str">
        <x:v>Crossref pilot</x:v>
      </x:c>
      <x:c r="D378" s="5" t="str">
        <x:v>PILOT-20261013-02</x:v>
      </x:c>
      <x:c r="E378" s="5" t="str">
        <x:v>S06</x:v>
      </x:c>
      <x:c r="F378" s="5" t="n">
        <x:v>21</x:v>
      </x:c>
      <x:c r="G378" s="5" t="str">
        <x:v>10.33774/apsa-2020-580j6-v2</x:v>
      </x:c>
      <x:c r="H378" s="5" t="str"/>
      <x:c r="I378" s="5" t="n">
        <x:v>0</x:v>
      </x:c>
      <x:c r="J378" s="5" t="str">
        <x:v>Selective Abstention in Simultaneous Elections: Understanding the Turnout Gap</x:v>
      </x:c>
    </x:row>
    <x:row r="379" ht="40" customHeight="1">
      <x:c r="A379" s="5" t="str">
        <x:v>PILOT-20261013-02-S06-022</x:v>
      </x:c>
      <x:c r="B379" s="5" t="str">
        <x:v>C0303</x:v>
      </x:c>
      <x:c r="C379" s="5" t="str">
        <x:v>Crossref pilot</x:v>
      </x:c>
      <x:c r="D379" s="5" t="str">
        <x:v>PILOT-20261013-02</x:v>
      </x:c>
      <x:c r="E379" s="5" t="str">
        <x:v>S06</x:v>
      </x:c>
      <x:c r="F379" s="5" t="n">
        <x:v>22</x:v>
      </x:c>
      <x:c r="G379" s="5" t="str">
        <x:v>10.33774/apsa-2020-580j6-v3</x:v>
      </x:c>
      <x:c r="H379" s="5" t="str"/>
      <x:c r="I379" s="5" t="n">
        <x:v>0</x:v>
      </x:c>
      <x:c r="J379" s="5" t="str">
        <x:v>Selective Abstention in Simultaneous Elections: Understanding the Turnout Gap</x:v>
      </x:c>
    </x:row>
    <x:row r="380" ht="40" customHeight="1">
      <x:c r="A380" s="5" t="str">
        <x:v>PILOT-20261013-02-S06-023</x:v>
      </x:c>
      <x:c r="B380" s="5" t="str">
        <x:v>C0304</x:v>
      </x:c>
      <x:c r="C380" s="5" t="str">
        <x:v>Crossref pilot</x:v>
      </x:c>
      <x:c r="D380" s="5" t="str">
        <x:v>PILOT-20261013-02</x:v>
      </x:c>
      <x:c r="E380" s="5" t="str">
        <x:v>S06</x:v>
      </x:c>
      <x:c r="F380" s="5" t="n">
        <x:v>23</x:v>
      </x:c>
      <x:c r="G380" s="5" t="str">
        <x:v>10.52202/085713-1316</x:v>
      </x:c>
      <x:c r="H380" s="5" t="str"/>
      <x:c r="I380" s="5" t="n">
        <x:v>0</x:v>
      </x:c>
      <x:c r="J380" s="5" t="str">
        <x:v>Selective Omniprediction and Fair Abstention</x:v>
      </x:c>
    </x:row>
    <x:row r="381" ht="40" customHeight="1">
      <x:c r="A381" s="5" t="str">
        <x:v>PILOT-20261013-02-S06-024</x:v>
      </x:c>
      <x:c r="B381" s="5" t="str">
        <x:v>C0305</x:v>
      </x:c>
      <x:c r="C381" s="5" t="str">
        <x:v>Crossref pilot</x:v>
      </x:c>
      <x:c r="D381" s="5" t="str">
        <x:v>PILOT-20261013-02</x:v>
      </x:c>
      <x:c r="E381" s="5" t="str">
        <x:v>S06</x:v>
      </x:c>
      <x:c r="F381" s="5" t="n">
        <x:v>24</x:v>
      </x:c>
      <x:c r="G381" s="5" t="str">
        <x:v>10.1007/978-1-4613-1201-7_11</x:v>
      </x:c>
      <x:c r="H381" s="5" t="str"/>
      <x:c r="I381" s="5" t="n">
        <x:v>0</x:v>
      </x:c>
      <x:c r="J381" s="5" t="str">
        <x:v>Automated visual inspection systems</x:v>
      </x:c>
    </x:row>
    <x:row r="382" ht="40" customHeight="1">
      <x:c r="A382" s="5" t="str">
        <x:v>PILOT-20261013-02-S06-025</x:v>
      </x:c>
      <x:c r="B382" s="5" t="str">
        <x:v>C0306</x:v>
      </x:c>
      <x:c r="C382" s="5" t="str">
        <x:v>Crossref pilot</x:v>
      </x:c>
      <x:c r="D382" s="5" t="str">
        <x:v>PILOT-20261013-02</x:v>
      </x:c>
      <x:c r="E382" s="5" t="str">
        <x:v>S06</x:v>
      </x:c>
      <x:c r="F382" s="5" t="n">
        <x:v>25</x:v>
      </x:c>
      <x:c r="G382" s="5" t="str">
        <x:v>10.47820/recima21.v6i3.6177</x:v>
      </x:c>
      <x:c r="H382" s="5" t="str"/>
      <x:c r="I382" s="5" t="n">
        <x:v>0</x:v>
      </x:c>
      <x:c r="J382" s="5" t="str">
        <x:v>COMPUTER VISION FOR AUTONOMOUS VISUAL INSPECTION IN INDUSTRIAL PRODUCTION LINES</x:v>
      </x:c>
    </x:row>
    <x:row r="383" ht="40" customHeight="1">
      <x:c r="A383" s="5" t="str">
        <x:v>PILOT-20261013-02-S11-001</x:v>
      </x:c>
      <x:c r="B383" s="5" t="str">
        <x:v>C0307</x:v>
      </x:c>
      <x:c r="C383" s="5" t="str">
        <x:v>Crossref pilot</x:v>
      </x:c>
      <x:c r="D383" s="5" t="str">
        <x:v>PILOT-20261013-02</x:v>
      </x:c>
      <x:c r="E383" s="5" t="str">
        <x:v>S11</x:v>
      </x:c>
      <x:c r="F383" s="5" t="n">
        <x:v>1</x:v>
      </x:c>
      <x:c r="G383" s="5" t="str">
        <x:v>10.1016/j.iintel.2023.100029</x:v>
      </x:c>
      <x:c r="H383" s="5" t="str"/>
      <x:c r="I383" s="5" t="n">
        <x:v>0</x:v>
      </x:c>
      <x:c r="J383" s="5" t="str">
        <x:v>Comparison of multimodal RGB-thermal fusion techniques for exterior wall multi-defect detection</x:v>
      </x:c>
    </x:row>
    <x:row r="384" ht="40" customHeight="1">
      <x:c r="A384" s="5" t="str">
        <x:v>PILOT-20261013-02-S11-002</x:v>
      </x:c>
      <x:c r="B384" s="5" t="str">
        <x:v>C0308</x:v>
      </x:c>
      <x:c r="C384" s="5" t="str">
        <x:v>Crossref pilot</x:v>
      </x:c>
      <x:c r="D384" s="5" t="str">
        <x:v>PILOT-20261013-02</x:v>
      </x:c>
      <x:c r="E384" s="5" t="str">
        <x:v>S11</x:v>
      </x:c>
      <x:c r="F384" s="5" t="n">
        <x:v>2</x:v>
      </x:c>
      <x:c r="G384" s="5" t="str">
        <x:v>10.1117/12.2673406</x:v>
      </x:c>
      <x:c r="H384" s="5" t="str"/>
      <x:c r="I384" s="5" t="n">
        <x:v>0</x:v>
      </x:c>
      <x:c r="J384" s="5" t="str">
        <x:v>Multimodal RGB-D-T-scanning for interactive robot teaching</x:v>
      </x:c>
    </x:row>
    <x:row r="385" ht="68" customHeight="1">
      <x:c r="A385" s="5" t="str">
        <x:v>PILOT-20261013-02-S11-003</x:v>
      </x:c>
      <x:c r="B385" s="5" t="str">
        <x:v>C0309</x:v>
      </x:c>
      <x:c r="C385" s="5" t="str">
        <x:v>Crossref pilot</x:v>
      </x:c>
      <x:c r="D385" s="5" t="str">
        <x:v>PILOT-20261013-02</x:v>
      </x:c>
      <x:c r="E385" s="5" t="str">
        <x:v>S11</x:v>
      </x:c>
      <x:c r="F385" s="5" t="n">
        <x:v>3</x:v>
      </x:c>
      <x:c r="G385" s="5" t="str">
        <x:v>10.1109/access.2026.3721567</x:v>
      </x:c>
      <x:c r="H385" s="5" t="str"/>
      <x:c r="I385" s="5" t="n">
        <x:v>0</x:v>
      </x:c>
      <x:c r="J385" s="5" t="str">
        <x:v>Multimodal Controllable Defect Synthesis via Diffusion-Based Generation for Industrial Surface Inspection: Bridging Data Scarcity Through Material-Aware Synthetic Data Generation</x:v>
      </x:c>
    </x:row>
    <x:row r="386" ht="40" customHeight="1">
      <x:c r="A386" s="5" t="str">
        <x:v>PILOT-20261013-02-S11-004</x:v>
      </x:c>
      <x:c r="B386" s="5" t="str">
        <x:v>C0310</x:v>
      </x:c>
      <x:c r="C386" s="5" t="str">
        <x:v>Crossref pilot</x:v>
      </x:c>
      <x:c r="D386" s="5" t="str">
        <x:v>PILOT-20261013-02</x:v>
      </x:c>
      <x:c r="E386" s="5" t="str">
        <x:v>S11</x:v>
      </x:c>
      <x:c r="F386" s="5" t="n">
        <x:v>4</x:v>
      </x:c>
      <x:c r="G386" s="5" t="str">
        <x:v>10.1109/iecon55916.2024.10905789</x:v>
      </x:c>
      <x:c r="H386" s="5" t="str"/>
      <x:c r="I386" s="5" t="n">
        <x:v>0</x:v>
      </x:c>
      <x:c r="J386" s="5" t="str">
        <x:v>Thermal Inspection and Quality Assessment for AFP Processes via Automatic Defect Detection and Segmentation</x:v>
      </x:c>
    </x:row>
    <x:row r="387" ht="40" customHeight="1">
      <x:c r="A387" s="5" t="str">
        <x:v>PILOT-20261013-02-S11-005</x:v>
      </x:c>
      <x:c r="B387" s="5" t="str">
        <x:v>C0049</x:v>
      </x:c>
      <x:c r="C387" s="5" t="str">
        <x:v>Crossref pilot</x:v>
      </x:c>
      <x:c r="D387" s="5" t="str">
        <x:v>PILOT-20261013-02</x:v>
      </x:c>
      <x:c r="E387" s="5" t="str">
        <x:v>S11</x:v>
      </x:c>
      <x:c r="F387" s="5" t="n">
        <x:v>5</x:v>
      </x:c>
      <x:c r="G387" s="5" t="str">
        <x:v>10.1049/ic:19970259</x:v>
      </x:c>
      <x:c r="H387" s="5" t="str">
        <x:v>PILOT-20261013-01-S04-001</x:v>
      </x:c>
      <x:c r="I387" s="5" t="n">
        <x:v>1</x:v>
      </x:c>
      <x:c r="J387" s="5" t="str">
        <x:v>Using uncertainty techniques to aid defect classification in an automated visual inspection system</x:v>
      </x:c>
    </x:row>
    <x:row r="388" ht="40" customHeight="1">
      <x:c r="A388" s="5" t="str">
        <x:v>PILOT-20261013-02-S11-006</x:v>
      </x:c>
      <x:c r="B388" s="5" t="str">
        <x:v>C0311</x:v>
      </x:c>
      <x:c r="C388" s="5" t="str">
        <x:v>Crossref pilot</x:v>
      </x:c>
      <x:c r="D388" s="5" t="str">
        <x:v>PILOT-20261013-02</x:v>
      </x:c>
      <x:c r="E388" s="5" t="str">
        <x:v>S11</x:v>
      </x:c>
      <x:c r="F388" s="5" t="n">
        <x:v>6</x:v>
      </x:c>
      <x:c r="G388" s="5" t="str">
        <x:v>10.1117/12.2603703</x:v>
      </x:c>
      <x:c r="H388" s="5" t="str"/>
      <x:c r="I388" s="5" t="n">
        <x:v>0</x:v>
      </x:c>
      <x:c r="J388" s="5" t="str">
        <x:v>A multimodal method for defect characterization of large-aperture optics</x:v>
      </x:c>
    </x:row>
    <x:row r="389" ht="40" customHeight="1">
      <x:c r="A389" s="5" t="str">
        <x:v>PILOT-20261013-02-S11-007</x:v>
      </x:c>
      <x:c r="B389" s="5" t="str">
        <x:v>C0072</x:v>
      </x:c>
      <x:c r="C389" s="5" t="str">
        <x:v>Crossref pilot</x:v>
      </x:c>
      <x:c r="D389" s="5" t="str">
        <x:v>PILOT-20261013-02</x:v>
      </x:c>
      <x:c r="E389" s="5" t="str">
        <x:v>S11</x:v>
      </x:c>
      <x:c r="F389" s="5" t="n">
        <x:v>7</x:v>
      </x:c>
      <x:c r="G389" s="5" t="str">
        <x:v>10.2139/ssrn.7218465</x:v>
      </x:c>
      <x:c r="H389" s="5" t="str">
        <x:v>PILOT-20261013-01-S04-025</x:v>
      </x:c>
      <x:c r="I389" s="5" t="n">
        <x:v>1</x:v>
      </x:c>
      <x:c r="J389" s="5" t="str">
        <x:v>Tiny Defect-VQA: Mask-Grounded Edge Visual Question Answering for Industrial Surface Inspection</x:v>
      </x:c>
    </x:row>
    <x:row r="390" ht="40" customHeight="1">
      <x:c r="A390" s="5" t="str">
        <x:v>PILOT-20261013-02-S11-008</x:v>
      </x:c>
      <x:c r="B390" s="5" t="str">
        <x:v>C0070</x:v>
      </x:c>
      <x:c r="C390" s="5" t="str">
        <x:v>Crossref pilot</x:v>
      </x:c>
      <x:c r="D390" s="5" t="str">
        <x:v>PILOT-20261013-02</x:v>
      </x:c>
      <x:c r="E390" s="5" t="str">
        <x:v>S11</x:v>
      </x:c>
      <x:c r="F390" s="5" t="n">
        <x:v>8</x:v>
      </x:c>
      <x:c r="G390" s="5" t="str">
        <x:v>10.2139/ssrn.7218460</x:v>
      </x:c>
      <x:c r="H390" s="5" t="str">
        <x:v>PILOT-20261013-01-S04-023</x:v>
      </x:c>
      <x:c r="I390" s="5" t="n">
        <x:v>1</x:v>
      </x:c>
      <x:c r="J390" s="5" t="str">
        <x:v>Tiny Defect-VQA: Mask-Grounded Edge Visual Question Answering for Industrial Surface Inspection</x:v>
      </x:c>
    </x:row>
    <x:row r="391" ht="40" customHeight="1">
      <x:c r="A391" s="5" t="str">
        <x:v>PILOT-20261013-02-S11-009</x:v>
      </x:c>
      <x:c r="B391" s="5" t="str">
        <x:v>C0312</x:v>
      </x:c>
      <x:c r="C391" s="5" t="str">
        <x:v>Crossref pilot</x:v>
      </x:c>
      <x:c r="D391" s="5" t="str">
        <x:v>PILOT-20261013-02</x:v>
      </x:c>
      <x:c r="E391" s="5" t="str">
        <x:v>S11</x:v>
      </x:c>
      <x:c r="F391" s="5" t="n">
        <x:v>9</x:v>
      </x:c>
      <x:c r="G391" s="5" t="str">
        <x:v>10.1109/iv55156.2024.10588438</x:v>
      </x:c>
      <x:c r="H391" s="5" t="str"/>
      <x:c r="I391" s="5" t="n">
        <x:v>0</x:v>
      </x:c>
      <x:c r="J391" s="5" t="str">
        <x:v>360 LiDAR + 360 RGB + 360 Thermal: Multimodal Targetless Calibration</x:v>
      </x:c>
    </x:row>
    <x:row r="392" ht="40" customHeight="1">
      <x:c r="A392" s="5" t="str">
        <x:v>PILOT-20261013-02-S11-010</x:v>
      </x:c>
      <x:c r="B392" s="5" t="str">
        <x:v>C0313</x:v>
      </x:c>
      <x:c r="C392" s="5" t="str">
        <x:v>Crossref pilot</x:v>
      </x:c>
      <x:c r="D392" s="5" t="str">
        <x:v>PILOT-20261013-02</x:v>
      </x:c>
      <x:c r="E392" s="5" t="str">
        <x:v>S11</x:v>
      </x:c>
      <x:c r="F392" s="5" t="n">
        <x:v>10</x:v>
      </x:c>
      <x:c r="G392" s="5" t="str">
        <x:v>10.1016/j.cie.2010.09.008</x:v>
      </x:c>
      <x:c r="H392" s="5" t="str"/>
      <x:c r="I392" s="5" t="n">
        <x:v>0</x:v>
      </x:c>
      <x:c r="J392" s="5" t="str">
        <x:v>A new strategy for defect inspection by the virtual inspection in semiconductor wafer fabrication</x:v>
      </x:c>
    </x:row>
    <x:row r="393" ht="40" customHeight="1">
      <x:c r="A393" s="5" t="str">
        <x:v>PILOT-20261013-02-S11-011</x:v>
      </x:c>
      <x:c r="B393" s="5" t="str">
        <x:v>C0314</x:v>
      </x:c>
      <x:c r="C393" s="5" t="str">
        <x:v>Crossref pilot</x:v>
      </x:c>
      <x:c r="D393" s="5" t="str">
        <x:v>PILOT-20261013-02</x:v>
      </x:c>
      <x:c r="E393" s="5" t="str">
        <x:v>S11</x:v>
      </x:c>
      <x:c r="F393" s="5" t="n">
        <x:v>11</x:v>
      </x:c>
      <x:c r="G393" s="5" t="str">
        <x:v>10.1109/lsp.2022.3211199</x:v>
      </x:c>
      <x:c r="H393" s="5" t="str"/>
      <x:c r="I393" s="5" t="n">
        <x:v>0</x:v>
      </x:c>
      <x:c r="J393" s="5" t="str">
        <x:v>Depth Repeated-Enhancement RGB Network for Rail Surface Defect Inspection</x:v>
      </x:c>
    </x:row>
    <x:row r="394" ht="40" customHeight="1">
      <x:c r="A394" s="5" t="str">
        <x:v>PILOT-20261013-02-S11-012</x:v>
      </x:c>
      <x:c r="B394" s="5" t="str">
        <x:v>C0296</x:v>
      </x:c>
      <x:c r="C394" s="5" t="str">
        <x:v>Crossref pilot</x:v>
      </x:c>
      <x:c r="D394" s="5" t="str">
        <x:v>PILOT-20261013-02</x:v>
      </x:c>
      <x:c r="E394" s="5" t="str">
        <x:v>S11</x:v>
      </x:c>
      <x:c r="F394" s="5" t="n">
        <x:v>12</x:v>
      </x:c>
      <x:c r="G394" s="5" t="str">
        <x:v>10.5220/0011696400003417</x:v>
      </x:c>
      <x:c r="H394" s="5" t="str">
        <x:v>PILOT-20261013-02-S06-014</x:v>
      </x:c>
      <x:c r="I394" s="5" t="n">
        <x:v>1</x:v>
      </x:c>
      <x:c r="J394" s="5" t="str">
        <x:v>Industrial Visual Defect Inspection of Electronic Components with Siamese Neural Network</x:v>
      </x:c>
    </x:row>
    <x:row r="395" ht="40" customHeight="1">
      <x:c r="A395" s="5" t="str">
        <x:v>PILOT-20261013-02-S11-013</x:v>
      </x:c>
      <x:c r="B395" s="5" t="str">
        <x:v>C0315</x:v>
      </x:c>
      <x:c r="C395" s="5" t="str">
        <x:v>Crossref pilot</x:v>
      </x:c>
      <x:c r="D395" s="5" t="str">
        <x:v>PILOT-20261013-02</x:v>
      </x:c>
      <x:c r="E395" s="5" t="str">
        <x:v>S11</x:v>
      </x:c>
      <x:c r="F395" s="5" t="n">
        <x:v>13</x:v>
      </x:c>
      <x:c r="G395" s="5" t="str">
        <x:v>10.24425/bpasts.2021.137123</x:v>
      </x:c>
      <x:c r="H395" s="5" t="str"/>
      <x:c r="I395" s="5" t="n">
        <x:v>0</x:v>
      </x:c>
      <x:c r="J395" s="5" t="str">
        <x:v>The measurements of surface defect area with an RGB-D camera for a BIM-backed bridge inspection</x:v>
      </x:c>
    </x:row>
    <x:row r="396" ht="40" customHeight="1">
      <x:c r="A396" s="5" t="str">
        <x:v>PILOT-20261013-02-S11-014</x:v>
      </x:c>
      <x:c r="B396" s="5" t="str">
        <x:v>C0316</x:v>
      </x:c>
      <x:c r="C396" s="5" t="str">
        <x:v>Crossref pilot</x:v>
      </x:c>
      <x:c r="D396" s="5" t="str">
        <x:v>PILOT-20261013-02</x:v>
      </x:c>
      <x:c r="E396" s="5" t="str">
        <x:v>S11</x:v>
      </x:c>
      <x:c r="F396" s="5" t="n">
        <x:v>14</x:v>
      </x:c>
      <x:c r="G396" s="5" t="str">
        <x:v>10.1049/ic:19970260</x:v>
      </x:c>
      <x:c r="H396" s="5" t="str"/>
      <x:c r="I396" s="5" t="n">
        <x:v>0</x:v>
      </x:c>
      <x:c r="J396" s="5" t="str">
        <x:v>A novel thermal calibration technique for electronic module inspection using an optical image</x:v>
      </x:c>
    </x:row>
    <x:row r="397" ht="53" customHeight="1">
      <x:c r="A397" s="5" t="str">
        <x:v>PILOT-20261013-02-S11-015</x:v>
      </x:c>
      <x:c r="B397" s="5" t="str">
        <x:v>C0317</x:v>
      </x:c>
      <x:c r="C397" s="5" t="str">
        <x:v>Crossref pilot</x:v>
      </x:c>
      <x:c r="D397" s="5" t="str">
        <x:v>PILOT-20261013-02</x:v>
      </x:c>
      <x:c r="E397" s="5" t="str">
        <x:v>S11</x:v>
      </x:c>
      <x:c r="F397" s="5" t="n">
        <x:v>15</x:v>
      </x:c>
      <x:c r="G397" s="5" t="str">
        <x:v>10.1109/tii.2025.3628398</x:v>
      </x:c>
      <x:c r="H397" s="5" t="str"/>
      <x:c r="I397" s="5" t="n">
        <x:v>0</x:v>
      </x:c>
      <x:c r="J397" s="5" t="str">
        <x:v>Amcf-ResNet: High-Precision 3-D Defect Reconstruction in Magnetic Flux Leakage Inspection via Multimodal Adaptive Learning and Cross-Feedback</x:v>
      </x:c>
    </x:row>
    <x:row r="398" ht="40" customHeight="1">
      <x:c r="A398" s="5" t="str">
        <x:v>PILOT-20261013-02-S11-016</x:v>
      </x:c>
      <x:c r="B398" s="5" t="str">
        <x:v>C0318</x:v>
      </x:c>
      <x:c r="C398" s="5" t="str">
        <x:v>Crossref pilot</x:v>
      </x:c>
      <x:c r="D398" s="5" t="str">
        <x:v>PILOT-20261013-02</x:v>
      </x:c>
      <x:c r="E398" s="5" t="str">
        <x:v>S11</x:v>
      </x:c>
      <x:c r="F398" s="5" t="n">
        <x:v>16</x:v>
      </x:c>
      <x:c r="G398" s="5" t="str">
        <x:v>10.21203/rs.3.rs-9385007/v1</x:v>
      </x:c>
      <x:c r="H398" s="5" t="str"/>
      <x:c r="I398" s="5" t="n">
        <x:v>0</x:v>
      </x:c>
      <x:c r="J398" s="5" t="str">
        <x:v>ThermalCLIP: Hardware-Agnostic Industrial Anomaly Detection via Physics-Informed Thermal Proxies from RGB</x:v>
      </x:c>
    </x:row>
    <x:row r="399" ht="40" customHeight="1">
      <x:c r="A399" s="5" t="str">
        <x:v>PILOT-20261013-02-S11-017</x:v>
      </x:c>
      <x:c r="B399" s="5" t="str">
        <x:v>C0319</x:v>
      </x:c>
      <x:c r="C399" s="5" t="str">
        <x:v>Crossref pilot</x:v>
      </x:c>
      <x:c r="D399" s="5" t="str">
        <x:v>PILOT-20261013-02</x:v>
      </x:c>
      <x:c r="E399" s="5" t="str">
        <x:v>S11</x:v>
      </x:c>
      <x:c r="F399" s="5" t="n">
        <x:v>17</x:v>
      </x:c>
      <x:c r="G399" s="5" t="str">
        <x:v>10.1038/s41598-025-29784-8</x:v>
      </x:c>
      <x:c r="H399" s="5" t="str"/>
      <x:c r="I399" s="5" t="n">
        <x:v>0</x:v>
      </x:c>
      <x:c r="J399" s="5" t="str">
        <x:v>Robust Fall Army Worm detection in maize using multimodal RGB and thermal image fusion</x:v>
      </x:c>
    </x:row>
    <x:row r="400" ht="40" customHeight="1">
      <x:c r="A400" s="5" t="str">
        <x:v>PILOT-20261013-02-S11-018</x:v>
      </x:c>
      <x:c r="B400" s="5" t="str">
        <x:v>C0320</x:v>
      </x:c>
      <x:c r="C400" s="5" t="str">
        <x:v>Crossref pilot</x:v>
      </x:c>
      <x:c r="D400" s="5" t="str">
        <x:v>PILOT-20261013-02</x:v>
      </x:c>
      <x:c r="E400" s="5" t="str">
        <x:v>S11</x:v>
      </x:c>
      <x:c r="F400" s="5" t="n">
        <x:v>18</x:v>
      </x:c>
      <x:c r="G400" s="5" t="str">
        <x:v>10.2139/ssrn.5227457</x:v>
      </x:c>
      <x:c r="H400" s="5" t="str"/>
      <x:c r="I400" s="5" t="n">
        <x:v>0</x:v>
      </x:c>
      <x:c r="J400" s="5" t="str">
        <x:v>Mm5: Multimodal Image Capture and Dataset Generation for Rgb, Depth, Thermal, Uv, and Nir</x:v>
      </x:c>
    </x:row>
    <x:row r="401" ht="40" customHeight="1">
      <x:c r="A401" s="5" t="str">
        <x:v>PILOT-20261013-02-S11-019</x:v>
      </x:c>
      <x:c r="B401" s="5" t="str">
        <x:v>C0321</x:v>
      </x:c>
      <x:c r="C401" s="5" t="str">
        <x:v>Crossref pilot</x:v>
      </x:c>
      <x:c r="D401" s="5" t="str">
        <x:v>PILOT-20261013-02</x:v>
      </x:c>
      <x:c r="E401" s="5" t="str">
        <x:v>S11</x:v>
      </x:c>
      <x:c r="F401" s="5" t="n">
        <x:v>19</x:v>
      </x:c>
      <x:c r="G401" s="5" t="str">
        <x:v>10.21203/rs.3.rs-10400539/v1</x:v>
      </x:c>
      <x:c r="H401" s="5" t="str"/>
      <x:c r="I401" s="5" t="n">
        <x:v>0</x:v>
      </x:c>
      <x:c r="J401" s="5" t="str">
        <x:v>GADE-YOLO: An Efficient Geometry-Adaptive Network for Industrial Wood Surface Defect Inspection</x:v>
      </x:c>
    </x:row>
    <x:row r="402" ht="40" customHeight="1">
      <x:c r="A402" s="5" t="str">
        <x:v>PILOT-20261013-02-S11-020</x:v>
      </x:c>
      <x:c r="B402" s="5" t="str">
        <x:v>C0322</x:v>
      </x:c>
      <x:c r="C402" s="5" t="str">
        <x:v>Crossref pilot</x:v>
      </x:c>
      <x:c r="D402" s="5" t="str">
        <x:v>PILOT-20261013-02</x:v>
      </x:c>
      <x:c r="E402" s="5" t="str">
        <x:v>S11</x:v>
      </x:c>
      <x:c r="F402" s="5" t="n">
        <x:v>20</x:v>
      </x:c>
      <x:c r="G402" s="5" t="str">
        <x:v>10.2139/ssrn.6232710</x:v>
      </x:c>
      <x:c r="H402" s="5" t="str"/>
      <x:c r="I402" s="5" t="n">
        <x:v>0</x:v>
      </x:c>
      <x:c r="J402" s="5" t="str">
        <x:v>Blind Industrial Image Restoration with Semantic Prompting and Graph Reasoning for Surface Defect Inspection</x:v>
      </x:c>
    </x:row>
    <x:row r="403" ht="40" customHeight="1">
      <x:c r="A403" s="5" t="str">
        <x:v>PILOT-20261013-02-S11-021</x:v>
      </x:c>
      <x:c r="B403" s="5" t="str">
        <x:v>C0323</x:v>
      </x:c>
      <x:c r="C403" s="5" t="str">
        <x:v>Crossref pilot</x:v>
      </x:c>
      <x:c r="D403" s="5" t="str">
        <x:v>PILOT-20261013-02</x:v>
      </x:c>
      <x:c r="E403" s="5" t="str">
        <x:v>S11</x:v>
      </x:c>
      <x:c r="F403" s="5" t="n">
        <x:v>21</x:v>
      </x:c>
      <x:c r="G403" s="5" t="str">
        <x:v>10.1117/12.2525331</x:v>
      </x:c>
      <x:c r="H403" s="5" t="str"/>
      <x:c r="I403" s="5" t="n">
        <x:v>0</x:v>
      </x:c>
      <x:c r="J403" s="5" t="str">
        <x:v>Double pulse LED illumination for phase detection in RGB-interferometry</x:v>
      </x:c>
    </x:row>
    <x:row r="404" ht="40" customHeight="1">
      <x:c r="A404" s="5" t="str">
        <x:v>PILOT-20261013-02-S11-022</x:v>
      </x:c>
      <x:c r="B404" s="5" t="str">
        <x:v>C0324</x:v>
      </x:c>
      <x:c r="C404" s="5" t="str">
        <x:v>Crossref pilot</x:v>
      </x:c>
      <x:c r="D404" s="5" t="str">
        <x:v>PILOT-20261013-02</x:v>
      </x:c>
      <x:c r="E404" s="5" t="str">
        <x:v>S11</x:v>
      </x:c>
      <x:c r="F404" s="5" t="n">
        <x:v>22</x:v>
      </x:c>
      <x:c r="G404" s="5" t="str">
        <x:v>10.1109/jsen.2025.3554715</x:v>
      </x:c>
      <x:c r="H404" s="5" t="str"/>
      <x:c r="I404" s="5" t="n">
        <x:v>0</x:v>
      </x:c>
      <x:c r="J404" s="5" t="str">
        <x:v>RGB-D Rail Surface Defect Inspection Driven by Conditional Diffusion Architecture and Frequency Knowledge</x:v>
      </x:c>
    </x:row>
    <x:row r="405" ht="40" customHeight="1">
      <x:c r="A405" s="5" t="str">
        <x:v>PILOT-20261013-02-S11-023</x:v>
      </x:c>
      <x:c r="B405" s="5" t="str">
        <x:v>C0325</x:v>
      </x:c>
      <x:c r="C405" s="5" t="str">
        <x:v>Crossref pilot</x:v>
      </x:c>
      <x:c r="D405" s="5" t="str">
        <x:v>PILOT-20261013-02</x:v>
      </x:c>
      <x:c r="E405" s="5" t="str">
        <x:v>S11</x:v>
      </x:c>
      <x:c r="F405" s="5" t="n">
        <x:v>23</x:v>
      </x:c>
      <x:c r="G405" s="5" t="str">
        <x:v>10.1201/9781003766575-9</x:v>
      </x:c>
      <x:c r="H405" s="5" t="str"/>
      <x:c r="I405" s="5" t="n">
        <x:v>0</x:v>
      </x:c>
      <x:c r="J405" s="5" t="str">
        <x:v>AI-Driven Weld Inspection with Ultrasonic B-Scans</x:v>
      </x:c>
    </x:row>
    <x:row r="406" ht="40" customHeight="1">
      <x:c r="A406" s="5" t="str">
        <x:v>PILOT-20261013-02-S11-024</x:v>
      </x:c>
      <x:c r="B406" s="5" t="str">
        <x:v>C0326</x:v>
      </x:c>
      <x:c r="C406" s="5" t="str">
        <x:v>Crossref pilot</x:v>
      </x:c>
      <x:c r="D406" s="5" t="str">
        <x:v>PILOT-20261013-02</x:v>
      </x:c>
      <x:c r="E406" s="5" t="str">
        <x:v>S11</x:v>
      </x:c>
      <x:c r="F406" s="5" t="n">
        <x:v>24</x:v>
      </x:c>
      <x:c r="G406" s="5" t="str">
        <x:v>10.1201/9781003778677-77</x:v>
      </x:c>
      <x:c r="H406" s="5" t="str"/>
      <x:c r="I406" s="5" t="n">
        <x:v>0</x:v>
      </x:c>
      <x:c r="J406" s="5" t="str">
        <x:v>Automation in bridge deck inspection using drone based RGB-thermal images</x:v>
      </x:c>
    </x:row>
    <x:row r="407" ht="40" customHeight="1">
      <x:c r="A407" s="5" t="str">
        <x:v>PILOT-20261013-02-S11-025</x:v>
      </x:c>
      <x:c r="B407" s="5" t="str">
        <x:v>C0327</x:v>
      </x:c>
      <x:c r="C407" s="5" t="str">
        <x:v>Crossref pilot</x:v>
      </x:c>
      <x:c r="D407" s="5" t="str">
        <x:v>PILOT-20261013-02</x:v>
      </x:c>
      <x:c r="E407" s="5" t="str">
        <x:v>S11</x:v>
      </x:c>
      <x:c r="F407" s="5" t="n">
        <x:v>25</x:v>
      </x:c>
      <x:c r="G407" s="5" t="str">
        <x:v>10.1117/12.205510</x:v>
      </x:c>
      <x:c r="H407" s="5" t="str"/>
      <x:c r="I407" s="5" t="n">
        <x:v>0</x:v>
      </x:c>
      <x:c r="J407" s="5" t="str">
        <x:v>&lt;title&gt;Neural network for defect classification in industrial inspection&lt;/title&gt;</x:v>
      </x:c>
    </x:row>
    <x:row r="408" ht="40" customHeight="1">
      <x:c r="A408" s="5" t="str">
        <x:v>SEED-R01</x:v>
      </x:c>
      <x:c r="B408" s="5" t="str">
        <x:v>R01</x:v>
      </x:c>
      <x:c r="C408" s="5" t="str">
        <x:v>Seed register</x:v>
      </x:c>
      <x:c r="D408" s="5" t="str">
        <x:v>SEED-20261013</x:v>
      </x:c>
      <x:c r="E408" s="5" t="str">
        <x:v>SEED</x:v>
      </x:c>
      <x:c r="F408" s="5"/>
      <x:c r="G408" s="5" t="str">
        <x:v>10.1007/s11633-023-1459-z</x:v>
      </x:c>
      <x:c r="H408" s="5" t="str"/>
      <x:c r="I408" s="5" t="n">
        <x:v>0</x:v>
      </x:c>
      <x:c r="J408" s="5" t="str">
        <x:v>Deep Industrial Image Anomaly Detection: A Survey</x:v>
      </x:c>
    </x:row>
    <x:row r="409" ht="40" customHeight="1">
      <x:c r="A409" s="5" t="str">
        <x:v>SEED-R02</x:v>
      </x:c>
      <x:c r="B409" s="5" t="str">
        <x:v>R02</x:v>
      </x:c>
      <x:c r="C409" s="5" t="str">
        <x:v>Seed register</x:v>
      </x:c>
      <x:c r="D409" s="5" t="str">
        <x:v>SEED-20261013</x:v>
      </x:c>
      <x:c r="E409" s="5" t="str">
        <x:v>SEED</x:v>
      </x:c>
      <x:c r="F409" s="5"/>
      <x:c r="G409" s="5" t="str">
        <x:v>10.1007/s10462-025-11287-7</x:v>
      </x:c>
      <x:c r="H409" s="5" t="str">
        <x:v>PILOT-20261013-01-S01-025</x:v>
      </x:c>
      <x:c r="I409" s="5" t="n">
        <x:v>1</x:v>
      </x:c>
      <x:c r="J409" s="5" t="str">
        <x:v>A survey of deep learning for industrial visual anomaly detection</x:v>
      </x:c>
    </x:row>
    <x:row r="410" ht="40" customHeight="1">
      <x:c r="A410" s="5" t="str">
        <x:v>SEED-R03</x:v>
      </x:c>
      <x:c r="B410" s="5" t="str">
        <x:v>R03</x:v>
      </x:c>
      <x:c r="C410" s="5" t="str">
        <x:v>Seed register</x:v>
      </x:c>
      <x:c r="D410" s="5" t="str">
        <x:v>SEED-20261013</x:v>
      </x:c>
      <x:c r="E410" s="5" t="str">
        <x:v>SEED</x:v>
      </x:c>
      <x:c r="F410" s="5"/>
      <x:c r="G410" s="5" t="str"/>
      <x:c r="H410" s="5" t="str"/>
      <x:c r="I410" s="5" t="n">
        <x:v>0</x:v>
      </x:c>
      <x:c r="J410" s="5" t="str">
        <x:v>A Survey on Visual Anomaly Detection: Challenge, Approach, and Prospect</x:v>
      </x:c>
    </x:row>
    <x:row r="411" ht="40" customHeight="1">
      <x:c r="A411" s="5" t="str">
        <x:v>SEED-R04</x:v>
      </x:c>
      <x:c r="B411" s="5" t="str">
        <x:v>R04</x:v>
      </x:c>
      <x:c r="C411" s="5" t="str">
        <x:v>Seed register</x:v>
      </x:c>
      <x:c r="D411" s="5" t="str">
        <x:v>SEED-20261013</x:v>
      </x:c>
      <x:c r="E411" s="5" t="str">
        <x:v>SEED</x:v>
      </x:c>
      <x:c r="F411" s="5"/>
      <x:c r="G411" s="5" t="str"/>
      <x:c r="H411" s="5" t="str"/>
      <x:c r="I411" s="5" t="n">
        <x:v>0</x:v>
      </x:c>
      <x:c r="J411" s="5" t="str">
        <x:v>Anomaly Detection for Industrial Applications, Its Challenges, Solutions, and Future Directions: A Review</x:v>
      </x:c>
    </x:row>
    <x:row r="412" ht="40" customHeight="1">
      <x:c r="A412" s="5" t="str">
        <x:v>SEED-R05</x:v>
      </x:c>
      <x:c r="B412" s="5" t="str">
        <x:v>R05</x:v>
      </x:c>
      <x:c r="C412" s="5" t="str">
        <x:v>Seed register</x:v>
      </x:c>
      <x:c r="D412" s="5" t="str">
        <x:v>SEED-20261013</x:v>
      </x:c>
      <x:c r="E412" s="5" t="str">
        <x:v>SEED</x:v>
      </x:c>
      <x:c r="F412" s="5"/>
      <x:c r="G412" s="5" t="str">
        <x:v>10.1016/j.measurement.2025.118377</x:v>
      </x:c>
      <x:c r="H412" s="5" t="str"/>
      <x:c r="I412" s="5" t="n">
        <x:v>0</x:v>
      </x:c>
      <x:c r="J412" s="5" t="str">
        <x:v>A survey on industrial image anomaly detection: methods, benchmarks and rethinks</x:v>
      </x:c>
    </x:row>
    <x:row r="413" ht="53" customHeight="1">
      <x:c r="A413" s="5" t="str">
        <x:v>SEED-R06</x:v>
      </x:c>
      <x:c r="B413" s="5" t="str">
        <x:v>R06</x:v>
      </x:c>
      <x:c r="C413" s="5" t="str">
        <x:v>Seed register</x:v>
      </x:c>
      <x:c r="D413" s="5" t="str">
        <x:v>SEED-20261013</x:v>
      </x:c>
      <x:c r="E413" s="5" t="str">
        <x:v>SEED</x:v>
      </x:c>
      <x:c r="F413" s="5"/>
      <x:c r="G413" s="5" t="str"/>
      <x:c r="H413" s="5" t="str"/>
      <x:c r="I413" s="5" t="n">
        <x:v>0</x:v>
      </x:c>
      <x:c r="J413" s="5" t="str">
        <x:v>A comprehensive survey for real-world industrial surface defect detection: Challenges, approaches, and prospects</x:v>
      </x:c>
    </x:row>
    <x:row r="414" ht="40" customHeight="1">
      <x:c r="A414" s="5" t="str">
        <x:v>SEED-R07</x:v>
      </x:c>
      <x:c r="B414" s="5" t="str">
        <x:v>R07</x:v>
      </x:c>
      <x:c r="C414" s="5" t="str">
        <x:v>Seed register</x:v>
      </x:c>
      <x:c r="D414" s="5" t="str">
        <x:v>SEED-20261013</x:v>
      </x:c>
      <x:c r="E414" s="5" t="str">
        <x:v>SEED</x:v>
      </x:c>
      <x:c r="F414" s="5"/>
      <x:c r="G414" s="5" t="str">
        <x:v>10.1016/j.measurement.2026.122522</x:v>
      </x:c>
      <x:c r="H414" s="5" t="str"/>
      <x:c r="I414" s="5" t="n">
        <x:v>0</x:v>
      </x:c>
      <x:c r="J414" s="5" t="str">
        <x:v>Automated visual inspection of linear and areal surface defects: A metrological survey</x:v>
      </x:c>
    </x:row>
    <x:row r="415" ht="40" customHeight="1">
      <x:c r="A415" s="5" t="str">
        <x:v>SEED-R08</x:v>
      </x:c>
      <x:c r="B415" s="5" t="str">
        <x:v>R08</x:v>
      </x:c>
      <x:c r="C415" s="5" t="str">
        <x:v>Seed register</x:v>
      </x:c>
      <x:c r="D415" s="5" t="str">
        <x:v>SEED-20261013</x:v>
      </x:c>
      <x:c r="E415" s="5" t="str">
        <x:v>SEED</x:v>
      </x:c>
      <x:c r="F415" s="5"/>
      <x:c r="G415" s="5" t="str"/>
      <x:c r="H415" s="5" t="str"/>
      <x:c r="I415" s="5" t="n">
        <x:v>0</x:v>
      </x:c>
      <x:c r="J415" s="5" t="str">
        <x:v>Deep Learning Algorithms for Defect Detection on Electronic Assemblies: A Systematic Literature Review</x:v>
      </x:c>
    </x:row>
    <x:row r="416" ht="40" customHeight="1">
      <x:c r="A416" s="5" t="str">
        <x:v>SEED-P01</x:v>
      </x:c>
      <x:c r="B416" s="5" t="str">
        <x:v>P01</x:v>
      </x:c>
      <x:c r="C416" s="5" t="str">
        <x:v>Seed register</x:v>
      </x:c>
      <x:c r="D416" s="5" t="str">
        <x:v>SEED-20261013</x:v>
      </x:c>
      <x:c r="E416" s="5" t="str">
        <x:v>SEED</x:v>
      </x:c>
      <x:c r="F416" s="5"/>
      <x:c r="G416" s="5" t="str">
        <x:v>10.1038/s41529-022-00232-6</x:v>
      </x:c>
      <x:c r="H416" s="5" t="str"/>
      <x:c r="I416" s="5" t="n">
        <x:v>0</x:v>
      </x:c>
      <x:c r="J416" s="5" t="str">
        <x:v>Deep learning corrosion detection with confidence</x:v>
      </x:c>
    </x:row>
    <x:row r="417" ht="40" customHeight="1">
      <x:c r="A417" s="5" t="str">
        <x:v>SEED-P02</x:v>
      </x:c>
      <x:c r="B417" s="5" t="str">
        <x:v>P02</x:v>
      </x:c>
      <x:c r="C417" s="5" t="str">
        <x:v>Seed register</x:v>
      </x:c>
      <x:c r="D417" s="5" t="str">
        <x:v>SEED-20261013</x:v>
      </x:c>
      <x:c r="E417" s="5" t="str">
        <x:v>SEED</x:v>
      </x:c>
      <x:c r="F417" s="5"/>
      <x:c r="G417" s="5" t="str"/>
      <x:c r="H417" s="5" t="str"/>
      <x:c r="I417" s="5" t="n">
        <x:v>0</x:v>
      </x:c>
      <x:c r="J417" s="5" t="str">
        <x:v>Anomaly Detection under Distribution Shift</x:v>
      </x:c>
    </x:row>
    <x:row r="418" ht="40" customHeight="1">
      <x:c r="A418" s="5" t="str">
        <x:v>SEED-P03</x:v>
      </x:c>
      <x:c r="B418" s="5" t="str">
        <x:v>P03</x:v>
      </x:c>
      <x:c r="C418" s="5" t="str">
        <x:v>Seed register</x:v>
      </x:c>
      <x:c r="D418" s="5" t="str">
        <x:v>SEED-20261013</x:v>
      </x:c>
      <x:c r="E418" s="5" t="str">
        <x:v>SEED</x:v>
      </x:c>
      <x:c r="F418" s="5"/>
      <x:c r="G418" s="5" t="str"/>
      <x:c r="H418" s="5" t="str"/>
      <x:c r="I418" s="5" t="n">
        <x:v>0</x:v>
      </x:c>
      <x:c r="J418" s="5" t="str">
        <x:v>Risk-Based Thresholding for Reliable Anomaly Detection in Concentrated Solar Power Plants</x:v>
      </x:c>
    </x:row>
    <x:row r="419" ht="40" customHeight="1">
      <x:c r="A419" s="5" t="str">
        <x:v>SEED-P04</x:v>
      </x:c>
      <x:c r="B419" s="5" t="str">
        <x:v>P04</x:v>
      </x:c>
      <x:c r="C419" s="5" t="str">
        <x:v>Seed register</x:v>
      </x:c>
      <x:c r="D419" s="5" t="str">
        <x:v>SEED-20261013</x:v>
      </x:c>
      <x:c r="E419" s="5" t="str">
        <x:v>SEED</x:v>
      </x:c>
      <x:c r="F419" s="5"/>
      <x:c r="G419" s="5" t="str">
        <x:v>10.1109/csrswtc71154.2026.11669645</x:v>
      </x:c>
      <x:c r="H419" s="5" t="str">
        <x:v>PILOT-20261013-01-S10-022</x:v>
      </x:c>
      <x:c r="I419" s="5" t="n">
        <x:v>1</x:v>
      </x:c>
      <x:c r="J419" s="5" t="str">
        <x:v>Risk-Calibrated Multimodal Inspection for Full-Coverage Industrial Anomaly Detection</x:v>
      </x:c>
    </x:row>
    <x:row r="420" ht="53" customHeight="1">
      <x:c r="A420" s="5" t="str">
        <x:v>SEED-P05</x:v>
      </x:c>
      <x:c r="B420" s="5" t="str">
        <x:v>P05</x:v>
      </x:c>
      <x:c r="C420" s="5" t="str">
        <x:v>Seed register</x:v>
      </x:c>
      <x:c r="D420" s="5" t="str">
        <x:v>SEED-20261013</x:v>
      </x:c>
      <x:c r="E420" s="5" t="str">
        <x:v>SEED</x:v>
      </x:c>
      <x:c r="F420" s="5"/>
      <x:c r="G420" s="5" t="str"/>
      <x:c r="H420" s="5" t="str"/>
      <x:c r="I420" s="5" t="n">
        <x:v>0</x:v>
      </x:c>
      <x:c r="J420" s="5" t="str">
        <x:v>Class-conditional conformal prediction with discriminant-analysis backbones for reliable open-set fault diagnosis in safety-critical industrial systems</x:v>
      </x:c>
    </x:row>
    <x:row r="421" ht="53" customHeight="1">
      <x:c r="A421" s="5" t="str">
        <x:v>SEED-P06</x:v>
      </x:c>
      <x:c r="B421" s="5" t="str">
        <x:v>P06</x:v>
      </x:c>
      <x:c r="C421" s="5" t="str">
        <x:v>Seed register</x:v>
      </x:c>
      <x:c r="D421" s="5" t="str">
        <x:v>SEED-20261013</x:v>
      </x:c>
      <x:c r="E421" s="5" t="str">
        <x:v>SEED</x:v>
      </x:c>
      <x:c r="F421" s="5"/>
      <x:c r="G421" s="5" t="str"/>
      <x:c r="H421" s="5" t="str"/>
      <x:c r="I421" s="5" t="n">
        <x:v>0</x:v>
      </x:c>
      <x:c r="J421" s="5" t="str">
        <x:v>SPARC: Subspace Position-Aware Robust Few-Shot Calibration for Distribution-Shifted Industrial Anomaly Detection</x:v>
      </x:c>
    </x:row>
    <x:row r="422" ht="40" customHeight="1">
      <x:c r="A422" s="5" t="str">
        <x:v>SEED-P07</x:v>
      </x:c>
      <x:c r="B422" s="5" t="str">
        <x:v>P07</x:v>
      </x:c>
      <x:c r="C422" s="5" t="str">
        <x:v>Seed register</x:v>
      </x:c>
      <x:c r="D422" s="5" t="str">
        <x:v>SEED-20261013</x:v>
      </x:c>
      <x:c r="E422" s="5" t="str">
        <x:v>SEED</x:v>
      </x:c>
      <x:c r="F422" s="5"/>
      <x:c r="G422" s="5" t="str"/>
      <x:c r="H422" s="5" t="str"/>
      <x:c r="I422" s="5" t="n">
        <x:v>0</x:v>
      </x:c>
      <x:c r="J422" s="5" t="str">
        <x:v>NFAD: Nuisance-Filtered Anomaly Detection Under Distribution Shift</x:v>
      </x:c>
    </x:row>
    <x:row r="423" ht="40" customHeight="1">
      <x:c r="A423" s="5" t="str">
        <x:v>SEED-P08</x:v>
      </x:c>
      <x:c r="B423" s="5" t="str">
        <x:v>P08</x:v>
      </x:c>
      <x:c r="C423" s="5" t="str">
        <x:v>Seed register</x:v>
      </x:c>
      <x:c r="D423" s="5" t="str">
        <x:v>SEED-20261013</x:v>
      </x:c>
      <x:c r="E423" s="5" t="str">
        <x:v>SEED</x:v>
      </x:c>
      <x:c r="F423" s="5"/>
      <x:c r="G423" s="5" t="str">
        <x:v>10.1016/j.compind.2023.103990</x:v>
      </x:c>
      <x:c r="H423" s="5" t="str">
        <x:v>PILOT-20261013-01-S03-004</x:v>
      </x:c>
      <x:c r="I423" s="5" t="n">
        <x:v>1</x:v>
      </x:c>
      <x:c r="J423" s="5" t="str">
        <x:v>Industrial anomaly detection with domain shift: A real-world dataset and masked multi-scale reconstruction</x:v>
      </x:c>
    </x:row>
    <x:row r="424" ht="40" customHeight="1">
      <x:c r="A424" s="5" t="str">
        <x:v>SEED-P09</x:v>
      </x:c>
      <x:c r="B424" s="5" t="str">
        <x:v>P09</x:v>
      </x:c>
      <x:c r="C424" s="5" t="str">
        <x:v>Seed register</x:v>
      </x:c>
      <x:c r="D424" s="5" t="str">
        <x:v>SEED-20261013</x:v>
      </x:c>
      <x:c r="E424" s="5" t="str">
        <x:v>SEED</x:v>
      </x:c>
      <x:c r="F424" s="5"/>
      <x:c r="G424" s="5" t="str"/>
      <x:c r="H424" s="5" t="str"/>
      <x:c r="I424" s="5" t="n">
        <x:v>0</x:v>
      </x:c>
      <x:c r="J424" s="5" t="str">
        <x:v>SafeRestore: Detector-Relative Risk Certificates for Selective Industrial Image Restoration</x:v>
      </x:c>
    </x:row>
    <x:row r="425" ht="53" customHeight="1">
      <x:c r="A425" s="5" t="str">
        <x:v>SEED-P10</x:v>
      </x:c>
      <x:c r="B425" s="5" t="str">
        <x:v>P10</x:v>
      </x:c>
      <x:c r="C425" s="5" t="str">
        <x:v>Seed register</x:v>
      </x:c>
      <x:c r="D425" s="5" t="str">
        <x:v>SEED-20261013</x:v>
      </x:c>
      <x:c r="E425" s="5" t="str">
        <x:v>SEED</x:v>
      </x:c>
      <x:c r="F425" s="5"/>
      <x:c r="G425" s="5" t="str">
        <x:v>10.1111/mice.70077</x:v>
      </x:c>
      <x:c r="H425" s="5" t="str"/>
      <x:c r="I425" s="5" t="n">
        <x:v>0</x:v>
      </x:c>
      <x:c r="J425" s="5" t="str">
        <x:v>Domain-adaptive self-supervised learning for corrosion detection and 3D building information model mapping in steel tunnels</x:v>
      </x:c>
    </x:row>
    <x:row r="426" ht="40" customHeight="1">
      <x:c r="A426" s="5" t="str">
        <x:v>SEED-R09</x:v>
      </x:c>
      <x:c r="B426" s="5" t="str">
        <x:v>R09</x:v>
      </x:c>
      <x:c r="C426" s="5" t="str">
        <x:v>Seed register</x:v>
      </x:c>
      <x:c r="D426" s="5" t="str">
        <x:v>SEED-20261013</x:v>
      </x:c>
      <x:c r="E426" s="5" t="str">
        <x:v>SEED</x:v>
      </x:c>
      <x:c r="F426" s="5"/>
      <x:c r="G426" s="5" t="str">
        <x:v>10.1109/access.2023.3301119</x:v>
      </x:c>
      <x:c r="H426" s="5" t="str"/>
      <x:c r="I426" s="5" t="n">
        <x:v>0</x:v>
      </x:c>
      <x:c r="J426" s="5" t="str">
        <x:v>RGB-D and Thermal Sensor Fusion: A Systematic Literature Review</x:v>
      </x:c>
    </x:row>
    <x:row r="427" ht="40" customHeight="1">
      <x:c r="A427" s="5" t="str">
        <x:v>SEED-R10</x:v>
      </x:c>
      <x:c r="B427" s="5" t="str">
        <x:v>R10</x:v>
      </x:c>
      <x:c r="C427" s="5" t="str">
        <x:v>Seed register</x:v>
      </x:c>
      <x:c r="D427" s="5" t="str">
        <x:v>SEED-20261013</x:v>
      </x:c>
      <x:c r="E427" s="5" t="str">
        <x:v>SEED</x:v>
      </x:c>
      <x:c r="F427" s="5"/>
      <x:c r="G427" s="5" t="str">
        <x:v>10.1016/j.inffus.2025.103139</x:v>
      </x:c>
      <x:c r="H427" s="5" t="str"/>
      <x:c r="I427" s="5" t="n">
        <x:v>0</x:v>
      </x:c>
      <x:c r="J427" s="5" t="str">
        <x:v>A survey on RGB, 3D, and multimodal approaches for unsupervised industrial image anomaly detection</x:v>
      </x:c>
    </x:row>
    <x:row r="428" ht="40" customHeight="1">
      <x:c r="A428" s="5" t="str">
        <x:v>SEED-R11</x:v>
      </x:c>
      <x:c r="B428" s="5" t="str">
        <x:v>R11</x:v>
      </x:c>
      <x:c r="C428" s="5" t="str">
        <x:v>Seed register</x:v>
      </x:c>
      <x:c r="D428" s="5" t="str">
        <x:v>SEED-20261013</x:v>
      </x:c>
      <x:c r="E428" s="5" t="str">
        <x:v>SEED</x:v>
      </x:c>
      <x:c r="F428" s="5"/>
      <x:c r="G428" s="5" t="str">
        <x:v>10.1007/s11263-023-01822-w</x:v>
      </x:c>
      <x:c r="H428" s="5" t="str"/>
      <x:c r="I428" s="5" t="n">
        <x:v>0</x:v>
      </x:c>
      <x:c r="J428" s="5" t="str">
        <x:v>A Survey of Methods for Automated Quality Control Based on Images</x:v>
      </x:c>
    </x:row>
    <x:row r="429" ht="40" customHeight="1">
      <x:c r="A429" s="5" t="str">
        <x:v>SEED-R12</x:v>
      </x:c>
      <x:c r="B429" s="5" t="str">
        <x:v>R12</x:v>
      </x:c>
      <x:c r="C429" s="5" t="str">
        <x:v>Seed register</x:v>
      </x:c>
      <x:c r="D429" s="5" t="str">
        <x:v>SEED-20261013</x:v>
      </x:c>
      <x:c r="E429" s="5" t="str">
        <x:v>SEED</x:v>
      </x:c>
      <x:c r="F429" s="5"/>
      <x:c r="G429" s="5" t="str">
        <x:v>10.1186/s44147-026-01156-7</x:v>
      </x:c>
      <x:c r="H429" s="5" t="str"/>
      <x:c r="I429" s="5" t="n">
        <x:v>0</x:v>
      </x:c>
      <x:c r="J429" s="5" t="str">
        <x:v>A taxonomy and roadmap for corrosion detection systems: bridging sensing, data, and deployment</x:v>
      </x:c>
    </x:row>
    <x:row r="430" ht="40" customHeight="1">
      <x:c r="A430" s="5" t="str">
        <x:v>SEED-R13</x:v>
      </x:c>
      <x:c r="B430" s="5" t="str">
        <x:v>R13</x:v>
      </x:c>
      <x:c r="C430" s="5" t="str">
        <x:v>Seed register</x:v>
      </x:c>
      <x:c r="D430" s="5" t="str">
        <x:v>SEED-20261013</x:v>
      </x:c>
      <x:c r="E430" s="5" t="str">
        <x:v>SEED</x:v>
      </x:c>
      <x:c r="F430" s="5"/>
      <x:c r="G430" s="5" t="str">
        <x:v>10.1002/suco.70702</x:v>
      </x:c>
      <x:c r="H430" s="5" t="str"/>
      <x:c r="I430" s="5" t="n">
        <x:v>0</x:v>
      </x:c>
      <x:c r="J430" s="5" t="str">
        <x:v>Vision language models for bridge inspections: A review of applications in image-based damage documentation</x:v>
      </x:c>
    </x:row>
    <x:row r="431" ht="53" customHeight="1">
      <x:c r="A431" s="5" t="str">
        <x:v>SEED-P11</x:v>
      </x:c>
      <x:c r="B431" s="5" t="str">
        <x:v>P11</x:v>
      </x:c>
      <x:c r="C431" s="5" t="str">
        <x:v>Seed register</x:v>
      </x:c>
      <x:c r="D431" s="5" t="str">
        <x:v>SEED-20261013</x:v>
      </x:c>
      <x:c r="E431" s="5" t="str">
        <x:v>SEED</x:v>
      </x:c>
      <x:c r="F431" s="5"/>
      <x:c r="G431" s="5" t="str">
        <x:v>10.1007/s13349-025-01003-y</x:v>
      </x:c>
      <x:c r="H431" s="5" t="str"/>
      <x:c r="I431" s="5" t="n">
        <x:v>0</x:v>
      </x:c>
      <x:c r="J431" s="5" t="str">
        <x:v>Efficient domain adaptation network for corrosion segmentation in infrastructure: from laboratory to real-world images</x:v>
      </x:c>
    </x:row>
    <x:row r="432" ht="40" customHeight="1">
      <x:c r="A432" s="5" t="str">
        <x:v>SEED-P12</x:v>
      </x:c>
      <x:c r="B432" s="5" t="str">
        <x:v>P12</x:v>
      </x:c>
      <x:c r="C432" s="5" t="str">
        <x:v>Seed register</x:v>
      </x:c>
      <x:c r="D432" s="5" t="str">
        <x:v>SEED-20261013</x:v>
      </x:c>
      <x:c r="E432" s="5" t="str">
        <x:v>SEED</x:v>
      </x:c>
      <x:c r="F432" s="5"/>
      <x:c r="G432" s="5" t="str"/>
      <x:c r="H432" s="5" t="str"/>
      <x:c r="I432" s="5" t="n">
        <x:v>0</x:v>
      </x:c>
      <x:c r="J432" s="5" t="str">
        <x:v>GenAU: Language-Grounded Industrial Anomaly Understanding with Vision-Language Models</x:v>
      </x:c>
    </x:row>
    <x:row r="433" ht="40" customHeight="1">
      <x:c r="A433" s="5" t="str">
        <x:v>SEED-F01</x:v>
      </x:c>
      <x:c r="B433" s="5" t="str">
        <x:v>F01</x:v>
      </x:c>
      <x:c r="C433" s="5" t="str">
        <x:v>Seed register</x:v>
      </x:c>
      <x:c r="D433" s="5" t="str">
        <x:v>SEED-20261013</x:v>
      </x:c>
      <x:c r="E433" s="5" t="str">
        <x:v>SEED</x:v>
      </x:c>
      <x:c r="F433" s="5"/>
      <x:c r="G433" s="5" t="str">
        <x:v>10.7326/m18-0850</x:v>
      </x:c>
      <x:c r="H433" s="5" t="str"/>
      <x:c r="I433" s="5" t="n">
        <x:v>0</x:v>
      </x:c>
      <x:c r="J433" s="5" t="str">
        <x:v>PRISMA extension for scoping reviews (PRISMA-ScR): checklist and explanation</x:v>
      </x:c>
    </x:row>
    <x:row r="434" ht="40" customHeight="1">
      <x:c r="A434" s="5" t="str">
        <x:v>SEED-F02</x:v>
      </x:c>
      <x:c r="B434" s="5" t="str">
        <x:v>F02</x:v>
      </x:c>
      <x:c r="C434" s="5" t="str">
        <x:v>Seed register</x:v>
      </x:c>
      <x:c r="D434" s="5" t="str">
        <x:v>SEED-20261013</x:v>
      </x:c>
      <x:c r="E434" s="5" t="str">
        <x:v>SEED</x:v>
      </x:c>
      <x:c r="F434" s="5"/>
      <x:c r="G434" s="5" t="str">
        <x:v>10.1186/s13643-020-01542-z</x:v>
      </x:c>
      <x:c r="H434" s="5" t="str"/>
      <x:c r="I434" s="5" t="n">
        <x:v>0</x:v>
      </x:c>
      <x:c r="J434" s="5" t="str">
        <x:v>PRISMA-S: an extension to the PRISMA Statement for Reporting Literature Searches in Systematic Reviews</x:v>
      </x:c>
    </x:row>
    <x:row r="435" ht="40" customHeight="1">
      <x:c r="A435" s="5" t="str">
        <x:v>SEED-F03</x:v>
      </x:c>
      <x:c r="B435" s="5" t="str">
        <x:v>F03</x:v>
      </x:c>
      <x:c r="C435" s="5" t="str">
        <x:v>Seed register</x:v>
      </x:c>
      <x:c r="D435" s="5" t="str">
        <x:v>SEED-20261013</x:v>
      </x:c>
      <x:c r="E435" s="5" t="str">
        <x:v>SEED</x:v>
      </x:c>
      <x:c r="F435" s="5"/>
      <x:c r="G435" s="5" t="str">
        <x:v>10.11124/jbies-20-00167</x:v>
      </x:c>
      <x:c r="H435" s="5" t="str"/>
      <x:c r="I435" s="5" t="n">
        <x:v>0</x:v>
      </x:c>
      <x:c r="J435" s="5" t="str">
        <x:v>Updated methodological guidance for the conduct of scoping reviews</x:v>
      </x:c>
    </x:row>
    <x:row r="436" ht="40" customHeight="1">
      <x:c r="A436" s="5" t="str">
        <x:v>SEED-B01</x:v>
      </x:c>
      <x:c r="B436" s="5" t="str">
        <x:v>B01</x:v>
      </x:c>
      <x:c r="C436" s="5" t="str">
        <x:v>Seed register</x:v>
      </x:c>
      <x:c r="D436" s="5" t="str">
        <x:v>SEED-20261013</x:v>
      </x:c>
      <x:c r="E436" s="5" t="str">
        <x:v>SEED</x:v>
      </x:c>
      <x:c r="F436" s="5"/>
      <x:c r="G436" s="5" t="str">
        <x:v>10.1109/cvpr.2019.00982</x:v>
      </x:c>
      <x:c r="H436" s="5" t="str"/>
      <x:c r="I436" s="5" t="n">
        <x:v>0</x:v>
      </x:c>
      <x:c r="J436" s="5" t="str">
        <x:v>MVTec AD — A Comprehensive Real-World Dataset for Unsupervised Anomaly Detection</x:v>
      </x:c>
    </x:row>
    <x:row r="437" ht="40" customHeight="1">
      <x:c r="A437" s="5" t="str">
        <x:v>SEED-B02</x:v>
      </x:c>
      <x:c r="B437" s="5" t="str">
        <x:v>B02</x:v>
      </x:c>
      <x:c r="C437" s="5" t="str">
        <x:v>Seed register</x:v>
      </x:c>
      <x:c r="D437" s="5" t="str">
        <x:v>SEED-20261013</x:v>
      </x:c>
      <x:c r="E437" s="5" t="str">
        <x:v>SEED</x:v>
      </x:c>
      <x:c r="F437" s="5"/>
      <x:c r="G437" s="5" t="str">
        <x:v>10.1109/cvpr52688.2022.01392</x:v>
      </x:c>
      <x:c r="H437" s="5" t="str"/>
      <x:c r="I437" s="5" t="n">
        <x:v>0</x:v>
      </x:c>
      <x:c r="J437" s="5" t="str">
        <x:v>Towards Total Recall in Industrial Anomaly Detection</x:v>
      </x:c>
    </x:row>
    <x:row r="438" ht="40" customHeight="1">
      <x:c r="A438" s="5" t="str">
        <x:v>SEED-B03</x:v>
      </x:c>
      <x:c r="B438" s="5" t="str">
        <x:v>B03</x:v>
      </x:c>
      <x:c r="C438" s="5" t="str">
        <x:v>Seed register</x:v>
      </x:c>
      <x:c r="D438" s="5" t="str">
        <x:v>SEED-20261013</x:v>
      </x:c>
      <x:c r="E438" s="5" t="str">
        <x:v>SEED</x:v>
      </x:c>
      <x:c r="F438" s="5"/>
      <x:c r="G438" s="5" t="str"/>
      <x:c r="H438" s="5" t="str"/>
      <x:c r="I438" s="5" t="n">
        <x:v>0</x:v>
      </x:c>
      <x:c r="J438" s="5" t="str">
        <x:v>AnomalyCLIP: Object-agnostic Prompt Learning for Zero-shot Anomaly Detection</x:v>
      </x:c>
    </x:row>
    <x:row r="439" ht="40" customHeight="1">
      <x:c r="A439" s="5" t="str">
        <x:v>SEED-B04</x:v>
      </x:c>
      <x:c r="B439" s="5" t="str">
        <x:v>B04</x:v>
      </x:c>
      <x:c r="C439" s="5" t="str">
        <x:v>Seed register</x:v>
      </x:c>
      <x:c r="D439" s="5" t="str">
        <x:v>SEED-20261013</x:v>
      </x:c>
      <x:c r="E439" s="5" t="str">
        <x:v>SEED</x:v>
      </x:c>
      <x:c r="F439" s="5"/>
      <x:c r="G439" s="5" t="str"/>
      <x:c r="H439" s="5" t="str"/>
      <x:c r="I439" s="5" t="n">
        <x:v>0</x:v>
      </x:c>
      <x:c r="J439" s="5" t="str">
        <x:v>PaDiM: a Patch Distribution Modeling Framework for Anomaly Detection and Localization</x:v>
      </x:c>
    </x:row>
    <x:row r="440" ht="40" customHeight="1">
      <x:c r="A440" s="5" t="str">
        <x:v>SEED-B05</x:v>
      </x:c>
      <x:c r="B440" s="5" t="str">
        <x:v>B05</x:v>
      </x:c>
      <x:c r="C440" s="5" t="str">
        <x:v>Seed register</x:v>
      </x:c>
      <x:c r="D440" s="5" t="str">
        <x:v>SEED-20261013</x:v>
      </x:c>
      <x:c r="E440" s="5" t="str">
        <x:v>SEED</x:v>
      </x:c>
      <x:c r="F440" s="5"/>
      <x:c r="G440" s="5" t="str"/>
      <x:c r="H440" s="5" t="str"/>
      <x:c r="I440" s="5" t="n">
        <x:v>0</x:v>
      </x:c>
      <x:c r="J440" s="5" t="str">
        <x:v>Real-IAD: A Real-World Multi-View Dataset for Benchmarking Versatile Industrial Anomaly Detection</x:v>
      </x:c>
    </x:row>
  </x:sheetData>
  <x:pageMargins left="0.7" right="0.7" top="0.75" bottom="0.75" header="0.3" footer="0.3"/>
  <x:tableParts count="1">
    <x:tablePart xmlns:r="http://schemas.openxmlformats.org/officeDocument/2006/relationships" r:id="R1bef643a49744c8f"/>
  </x:tableParts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</x:cols>
  <x:sheetData>
    <x:row r="2">
      <x:c r="A2" s="1" t="str">
        <x:v>Searches</x:v>
      </x:c>
    </x:row>
    <x:row r="4">
      <x:c r="A4" s="2" t="str">
        <x:v>16 successful pilot query families plus three logged failed attempts. Formal subject-database searches remain planned.</x:v>
      </x:c>
    </x:row>
    <x:row r="7" ht="46" customHeight="1">
      <x:c r="A7" s="7" t="str">
        <x:v>Run ID</x:v>
      </x:c>
      <x:c r="B7" s="7" t="str">
        <x:v>Search ID</x:v>
      </x:c>
      <x:c r="C7" s="7" t="str">
        <x:v>Source/platform</x:v>
      </x:c>
      <x:c r="D7" s="7" t="str">
        <x:v>Search purpose</x:v>
      </x:c>
      <x:c r="E7" s="7" t="str">
        <x:v>Exact query</x:v>
      </x:c>
      <x:c r="F7" s="7" t="str">
        <x:v>Field</x:v>
      </x:c>
      <x:c r="G7" s="7" t="str">
        <x:v>Filters</x:v>
      </x:c>
      <x:c r="H7" s="7" t="str">
        <x:v>Run status</x:v>
      </x:c>
      <x:c r="I7" s="7" t="str">
        <x:v>Returned records</x:v>
      </x:c>
      <x:c r="J7" s="7" t="str">
        <x:v>API fuzzy hit count</x:v>
      </x:c>
      <x:c r="K7" s="7" t="str">
        <x:v>Capture limit</x:v>
      </x:c>
      <x:c r="L7" s="7" t="str">
        <x:v>Pagination</x:v>
      </x:c>
      <x:c r="M7" s="7" t="str">
        <x:v>Search time UTC</x:v>
      </x:c>
      <x:c r="N7" s="7" t="str">
        <x:v>Raw file</x:v>
      </x:c>
      <x:c r="O7" s="7" t="str">
        <x:v>SHA256</x:v>
      </x:c>
      <x:c r="P7" s="7" t="str">
        <x:v>Notes</x:v>
      </x:c>
    </x:row>
    <x:row r="8" ht="53" customHeight="1">
      <x:c r="A8" s="5" t="str">
        <x:v>PILOT-20261013-01</x:v>
      </x:c>
      <x:c r="B8" s="5" t="str">
        <x:v>S01</x:v>
      </x:c>
      <x:c r="C8" s="5" t="str">
        <x:v>Crossref REST API</x:v>
      </x:c>
      <x:c r="D8" s="5" t="str">
        <x:v>Industrial visual inspection</x:v>
      </x:c>
      <x:c r="E8" s="5" t="str">
        <x:v>industrial visual anomaly detection</x:v>
      </x:c>
      <x:c r="F8" s="5" t="str">
        <x:v>query.bibliographic</x:v>
      </x:c>
      <x:c r="G8" s="5" t="str">
        <x:v>until-pub-date:2026-10-13</x:v>
      </x:c>
      <x:c r="H8" s="5" t="str">
        <x:v>completed</x:v>
      </x:c>
      <x:c r="I8" s="5" t="n">
        <x:v>25</x:v>
      </x:c>
      <x:c r="J8" s="5" t="n">
        <x:v>3055240</x:v>
      </x:c>
      <x:c r="K8" s="5" t="n">
        <x:v>25</x:v>
      </x:c>
      <x:c r="L8" s="5" t="str">
        <x:v>First ranked page only</x:v>
      </x:c>
      <x:c r="M8" s="5" t="d">
        <x:v>2026-10-13T10:17:53.667Z</x:v>
      </x:c>
      <x:c r="N8" s="5" t="str">
        <x:v>review-paper/search-strategy/runs/PILOT-20261013-01/S01.json</x:v>
      </x:c>
      <x:c r="O8" s="5" t="str">
        <x:v>042855513790c3423378baf235e9339fc9825ad4676e5117a095965d511e80bf</x:v>
      </x:c>
      <x:c r="P8" s="5" t="str">
        <x:v>Total-results is a fuzzy API hit count, not eligible studies; this page is capped.</x:v>
      </x:c>
    </x:row>
    <x:row r="9" ht="40" customHeight="1">
      <x:c r="A9" s="5" t="str">
        <x:v>PILOT-20261013-01</x:v>
      </x:c>
      <x:c r="B9" s="5" t="str">
        <x:v>S02</x:v>
      </x:c>
      <x:c r="C9" s="5" t="str">
        <x:v>Crossref REST API</x:v>
      </x:c>
      <x:c r="D9" s="5" t="str">
        <x:v>Reviews</x:v>
      </x:c>
      <x:c r="E9" s="5" t="str">
        <x:v>industrial visual anomaly detection survey review</x:v>
      </x:c>
      <x:c r="F9" s="5" t="str">
        <x:v>query.bibliographic</x:v>
      </x:c>
      <x:c r="G9" s="5" t="str">
        <x:v>until-pub-date:2026-10-13</x:v>
      </x:c>
      <x:c r="H9" s="5" t="str">
        <x:v>failed</x:v>
      </x:c>
      <x:c r="I9" s="5" t="n">
        <x:v>0</x:v>
      </x:c>
      <x:c r="J9" s="5"/>
      <x:c r="K9" s="5" t="n">
        <x:v>25</x:v>
      </x:c>
      <x:c r="L9" s="5" t="str">
        <x:v>First ranked page only</x:v>
      </x:c>
      <x:c r="M9" s="5" t="d">
        <x:v>2026-10-13T10:17:53.668Z</x:v>
      </x:c>
      <x:c r="N9" s="5" t="str"/>
      <x:c r="O9" s="5" t="str"/>
      <x:c r="P9" s="5" t="str">
        <x:v>HTTP Error 429: Too Many Requests</x:v>
      </x:c>
    </x:row>
    <x:row r="10" ht="53" customHeight="1">
      <x:c r="A10" s="5" t="str">
        <x:v>PILOT-20261013-01</x:v>
      </x:c>
      <x:c r="B10" s="5" t="str">
        <x:v>S03</x:v>
      </x:c>
      <x:c r="C10" s="5" t="str">
        <x:v>Crossref REST API</x:v>
      </x:c>
      <x:c r="D10" s="5" t="str">
        <x:v>Distribution shift</x:v>
      </x:c>
      <x:c r="E10" s="5" t="str">
        <x:v>industrial image anomaly detection domain shift</x:v>
      </x:c>
      <x:c r="F10" s="5" t="str">
        <x:v>query.bibliographic</x:v>
      </x:c>
      <x:c r="G10" s="5" t="str">
        <x:v>until-pub-date:2026-10-13</x:v>
      </x:c>
      <x:c r="H10" s="5" t="str">
        <x:v>completed</x:v>
      </x:c>
      <x:c r="I10" s="5" t="n">
        <x:v>25</x:v>
      </x:c>
      <x:c r="J10" s="5" t="n">
        <x:v>3838635</x:v>
      </x:c>
      <x:c r="K10" s="5" t="n">
        <x:v>25</x:v>
      </x:c>
      <x:c r="L10" s="5" t="str">
        <x:v>First ranked page only</x:v>
      </x:c>
      <x:c r="M10" s="5" t="d">
        <x:v>2026-10-13T10:17:53.668Z</x:v>
      </x:c>
      <x:c r="N10" s="5" t="str">
        <x:v>review-paper/search-strategy/runs/PILOT-20261013-01/S03.json</x:v>
      </x:c>
      <x:c r="O10" s="5" t="str">
        <x:v>a1f54fe0af23a9977e4cacf9280336fad5e22ad3bb6664b49e277d54857e7133</x:v>
      </x:c>
      <x:c r="P10" s="5" t="str">
        <x:v>Total-results is a fuzzy API hit count, not eligible studies; this page is capped.</x:v>
      </x:c>
    </x:row>
    <x:row r="11" ht="53" customHeight="1">
      <x:c r="A11" s="5" t="str">
        <x:v>PILOT-20261013-01</x:v>
      </x:c>
      <x:c r="B11" s="5" t="str">
        <x:v>S04</x:v>
      </x:c>
      <x:c r="C11" s="5" t="str">
        <x:v>Crossref REST API</x:v>
      </x:c>
      <x:c r="D11" s="5" t="str">
        <x:v>Uncertainty</x:v>
      </x:c>
      <x:c r="E11" s="5" t="str">
        <x:v>industrial visual defect detection uncertainty quantification</x:v>
      </x:c>
      <x:c r="F11" s="5" t="str">
        <x:v>query.bibliographic</x:v>
      </x:c>
      <x:c r="G11" s="5" t="str">
        <x:v>until-pub-date:2026-10-13</x:v>
      </x:c>
      <x:c r="H11" s="5" t="str">
        <x:v>completed</x:v>
      </x:c>
      <x:c r="I11" s="5" t="n">
        <x:v>25</x:v>
      </x:c>
      <x:c r="J11" s="5" t="n">
        <x:v>3470346</x:v>
      </x:c>
      <x:c r="K11" s="5" t="n">
        <x:v>25</x:v>
      </x:c>
      <x:c r="L11" s="5" t="str">
        <x:v>First ranked page only</x:v>
      </x:c>
      <x:c r="M11" s="5" t="d">
        <x:v>2026-10-13T10:18:05.842Z</x:v>
      </x:c>
      <x:c r="N11" s="5" t="str">
        <x:v>review-paper/search-strategy/runs/PILOT-20261013-01/S04.json</x:v>
      </x:c>
      <x:c r="O11" s="5" t="str">
        <x:v>27418d52b6b82eb6cc8f9215bee91123613bacffcd408a89f93a5587960b612f</x:v>
      </x:c>
      <x:c r="P11" s="5" t="str">
        <x:v>Total-results is a fuzzy API hit count, not eligible studies; this page is capped.</x:v>
      </x:c>
    </x:row>
    <x:row r="12" ht="53" customHeight="1">
      <x:c r="A12" s="5" t="str">
        <x:v>PILOT-20261013-01</x:v>
      </x:c>
      <x:c r="B12" s="5" t="str">
        <x:v>S05</x:v>
      </x:c>
      <x:c r="C12" s="5" t="str">
        <x:v>Crossref REST API</x:v>
      </x:c>
      <x:c r="D12" s="5" t="str">
        <x:v>Calibration</x:v>
      </x:c>
      <x:c r="E12" s="5" t="str">
        <x:v>industrial anomaly detection confidence calibration</x:v>
      </x:c>
      <x:c r="F12" s="5" t="str">
        <x:v>query.bibliographic</x:v>
      </x:c>
      <x:c r="G12" s="5" t="str">
        <x:v>until-pub-date:2026-10-13</x:v>
      </x:c>
      <x:c r="H12" s="5" t="str">
        <x:v>completed</x:v>
      </x:c>
      <x:c r="I12" s="5" t="n">
        <x:v>25</x:v>
      </x:c>
      <x:c r="J12" s="5" t="n">
        <x:v>2697174</x:v>
      </x:c>
      <x:c r="K12" s="5" t="n">
        <x:v>25</x:v>
      </x:c>
      <x:c r="L12" s="5" t="str">
        <x:v>First ranked page only</x:v>
      </x:c>
      <x:c r="M12" s="5" t="d">
        <x:v>2026-10-13T10:18:06.325Z</x:v>
      </x:c>
      <x:c r="N12" s="5" t="str">
        <x:v>review-paper/search-strategy/runs/PILOT-20261013-01/S05.json</x:v>
      </x:c>
      <x:c r="O12" s="5" t="str">
        <x:v>9db26e36620e0c2178653f2fd2f10ae22204976e4edfde797cb7824f1e99ffe9</x:v>
      </x:c>
      <x:c r="P12" s="5" t="str">
        <x:v>Total-results is a fuzzy API hit count, not eligible studies; this page is capped.</x:v>
      </x:c>
    </x:row>
    <x:row r="13" ht="40" customHeight="1">
      <x:c r="A13" s="5" t="str">
        <x:v>PILOT-20261013-01</x:v>
      </x:c>
      <x:c r="B13" s="5" t="str">
        <x:v>S06</x:v>
      </x:c>
      <x:c r="C13" s="5" t="str">
        <x:v>Crossref REST API</x:v>
      </x:c>
      <x:c r="D13" s="5" t="str">
        <x:v>Selective prediction</x:v>
      </x:c>
      <x:c r="E13" s="5" t="str">
        <x:v>industrial visual inspection selective prediction abstention</x:v>
      </x:c>
      <x:c r="F13" s="5" t="str">
        <x:v>query.bibliographic</x:v>
      </x:c>
      <x:c r="G13" s="5" t="str">
        <x:v>until-pub-date:2026-10-13</x:v>
      </x:c>
      <x:c r="H13" s="5" t="str">
        <x:v>failed</x:v>
      </x:c>
      <x:c r="I13" s="5" t="n">
        <x:v>0</x:v>
      </x:c>
      <x:c r="J13" s="5"/>
      <x:c r="K13" s="5" t="n">
        <x:v>25</x:v>
      </x:c>
      <x:c r="L13" s="5" t="str">
        <x:v>First ranked page only</x:v>
      </x:c>
      <x:c r="M13" s="5" t="d">
        <x:v>2026-10-13T10:18:06.416Z</x:v>
      </x:c>
      <x:c r="N13" s="5" t="str"/>
      <x:c r="O13" s="5" t="str"/>
      <x:c r="P13" s="5" t="str">
        <x:v>HTTP Error 429: Too Many Requests</x:v>
      </x:c>
    </x:row>
    <x:row r="14" ht="53" customHeight="1">
      <x:c r="A14" s="5" t="str">
        <x:v>PILOT-20261013-01</x:v>
      </x:c>
      <x:c r="B14" s="5" t="str">
        <x:v>S07</x:v>
      </x:c>
      <x:c r="C14" s="5" t="str">
        <x:v>Crossref REST API</x:v>
      </x:c>
      <x:c r="D14" s="5" t="str">
        <x:v>Risk control</x:v>
      </x:c>
      <x:c r="E14" s="5" t="str">
        <x:v>industrial anomaly detection conformal risk control</x:v>
      </x:c>
      <x:c r="F14" s="5" t="str">
        <x:v>query.bibliographic</x:v>
      </x:c>
      <x:c r="G14" s="5" t="str">
        <x:v>until-pub-date:2026-10-13</x:v>
      </x:c>
      <x:c r="H14" s="5" t="str">
        <x:v>completed</x:v>
      </x:c>
      <x:c r="I14" s="5" t="n">
        <x:v>25</x:v>
      </x:c>
      <x:c r="J14" s="5" t="n">
        <x:v>6812298</x:v>
      </x:c>
      <x:c r="K14" s="5" t="n">
        <x:v>25</x:v>
      </x:c>
      <x:c r="L14" s="5" t="str">
        <x:v>First ranked page only</x:v>
      </x:c>
      <x:c r="M14" s="5" t="d">
        <x:v>2026-10-13T10:18:10.996Z</x:v>
      </x:c>
      <x:c r="N14" s="5" t="str">
        <x:v>review-paper/search-strategy/runs/PILOT-20261013-01/S07.json</x:v>
      </x:c>
      <x:c r="O14" s="5" t="str">
        <x:v>7f4d084a4f3de014077c2c16a4ceedd73fd2c284d2b5d60ceb0d2c55995b5d0d</x:v>
      </x:c>
      <x:c r="P14" s="5" t="str">
        <x:v>Total-results is a fuzzy API hit count, not eligible studies; this page is capped.</x:v>
      </x:c>
    </x:row>
    <x:row r="15" ht="53" customHeight="1">
      <x:c r="A15" s="5" t="str">
        <x:v>PILOT-20261013-01</x:v>
      </x:c>
      <x:c r="B15" s="5" t="str">
        <x:v>S08</x:v>
      </x:c>
      <x:c r="C15" s="5" t="str">
        <x:v>Crossref REST API</x:v>
      </x:c>
      <x:c r="D15" s="5" t="str">
        <x:v>Corrosion</x:v>
      </x:c>
      <x:c r="E15" s="5" t="str">
        <x:v>corrosion detection computer vision deep learning</x:v>
      </x:c>
      <x:c r="F15" s="5" t="str">
        <x:v>query.bibliographic</x:v>
      </x:c>
      <x:c r="G15" s="5" t="str">
        <x:v>until-pub-date:2026-10-13</x:v>
      </x:c>
      <x:c r="H15" s="5" t="str">
        <x:v>completed</x:v>
      </x:c>
      <x:c r="I15" s="5" t="n">
        <x:v>25</x:v>
      </x:c>
      <x:c r="J15" s="5" t="n">
        <x:v>7013483</x:v>
      </x:c>
      <x:c r="K15" s="5" t="n">
        <x:v>25</x:v>
      </x:c>
      <x:c r="L15" s="5" t="str">
        <x:v>First ranked page only</x:v>
      </x:c>
      <x:c r="M15" s="5" t="d">
        <x:v>2026-10-13T10:18:11.355Z</x:v>
      </x:c>
      <x:c r="N15" s="5" t="str">
        <x:v>review-paper/search-strategy/runs/PILOT-20261013-01/S08.json</x:v>
      </x:c>
      <x:c r="O15" s="5" t="str">
        <x:v>de5477f4f38616a9ebb4f2dc246587dc06933b7f4a24038d38a423aac31ed51a</x:v>
      </x:c>
      <x:c r="P15" s="5" t="str">
        <x:v>Total-results is a fuzzy API hit count, not eligible studies; this page is capped.</x:v>
      </x:c>
    </x:row>
    <x:row r="16" ht="53" customHeight="1">
      <x:c r="A16" s="5" t="str">
        <x:v>PILOT-20261013-01</x:v>
      </x:c>
      <x:c r="B16" s="5" t="str">
        <x:v>S09</x:v>
      </x:c>
      <x:c r="C16" s="5" t="str">
        <x:v>Crossref REST API</x:v>
      </x:c>
      <x:c r="D16" s="5" t="str">
        <x:v>Corrosion reliability</x:v>
      </x:c>
      <x:c r="E16" s="5" t="str">
        <x:v>corrosion segmentation uncertainty domain adaptation</x:v>
      </x:c>
      <x:c r="F16" s="5" t="str">
        <x:v>query.bibliographic</x:v>
      </x:c>
      <x:c r="G16" s="5" t="str">
        <x:v>until-pub-date:2026-10-13</x:v>
      </x:c>
      <x:c r="H16" s="5" t="str">
        <x:v>completed</x:v>
      </x:c>
      <x:c r="I16" s="5" t="n">
        <x:v>25</x:v>
      </x:c>
      <x:c r="J16" s="5" t="n">
        <x:v>1250669</x:v>
      </x:c>
      <x:c r="K16" s="5" t="n">
        <x:v>25</x:v>
      </x:c>
      <x:c r="L16" s="5" t="str">
        <x:v>First ranked page only</x:v>
      </x:c>
      <x:c r="M16" s="5" t="d">
        <x:v>2026-10-13T10:18:11.592Z</x:v>
      </x:c>
      <x:c r="N16" s="5" t="str">
        <x:v>review-paper/search-strategy/runs/PILOT-20261013-01/S09.json</x:v>
      </x:c>
      <x:c r="O16" s="5" t="str">
        <x:v>2f345d0d793aaff8fa0b4ce238eedf03fbef6d22b1802e84718ad5343018ae6b</x:v>
      </x:c>
      <x:c r="P16" s="5" t="str">
        <x:v>Total-results is a fuzzy API hit count, not eligible studies; this page is capped.</x:v>
      </x:c>
    </x:row>
    <x:row r="17" ht="53" customHeight="1">
      <x:c r="A17" s="5" t="str">
        <x:v>PILOT-20261013-01</x:v>
      </x:c>
      <x:c r="B17" s="5" t="str">
        <x:v>S10</x:v>
      </x:c>
      <x:c r="C17" s="5" t="str">
        <x:v>Crossref REST API</x:v>
      </x:c>
      <x:c r="D17" s="5" t="str">
        <x:v>Thermal inspection</x:v>
      </x:c>
      <x:c r="E17" s="5" t="str">
        <x:v>thermal infrared visual industrial inspection anomaly detection</x:v>
      </x:c>
      <x:c r="F17" s="5" t="str">
        <x:v>query.bibliographic</x:v>
      </x:c>
      <x:c r="G17" s="5" t="str">
        <x:v>until-pub-date:2026-10-13</x:v>
      </x:c>
      <x:c r="H17" s="5" t="str">
        <x:v>completed</x:v>
      </x:c>
      <x:c r="I17" s="5" t="n">
        <x:v>25</x:v>
      </x:c>
      <x:c r="J17" s="5" t="n">
        <x:v>4285909</x:v>
      </x:c>
      <x:c r="K17" s="5" t="n">
        <x:v>25</x:v>
      </x:c>
      <x:c r="L17" s="5" t="str">
        <x:v>First ranked page only</x:v>
      </x:c>
      <x:c r="M17" s="5" t="d">
        <x:v>2026-10-13T10:18:16.086Z</x:v>
      </x:c>
      <x:c r="N17" s="5" t="str">
        <x:v>review-paper/search-strategy/runs/PILOT-20261013-01/S10.json</x:v>
      </x:c>
      <x:c r="O17" s="5" t="str">
        <x:v>3da0f7af35273020fde94399a9ef2f56784e32bc472e62d8ce4f1f72a1432649</x:v>
      </x:c>
      <x:c r="P17" s="5" t="str">
        <x:v>Total-results is a fuzzy API hit count, not eligible studies; this page is capped.</x:v>
      </x:c>
    </x:row>
    <x:row r="18" ht="40" customHeight="1">
      <x:c r="A18" s="5" t="str">
        <x:v>PILOT-20261013-01</x:v>
      </x:c>
      <x:c r="B18" s="5" t="str">
        <x:v>S11</x:v>
      </x:c>
      <x:c r="C18" s="5" t="str">
        <x:v>Crossref REST API</x:v>
      </x:c>
      <x:c r="D18" s="5" t="str">
        <x:v>Multimodal inspection</x:v>
      </x:c>
      <x:c r="E18" s="5" t="str">
        <x:v>RGB thermal multimodal industrial defect inspection</x:v>
      </x:c>
      <x:c r="F18" s="5" t="str">
        <x:v>query.bibliographic</x:v>
      </x:c>
      <x:c r="G18" s="5" t="str">
        <x:v>until-pub-date:2026-10-13</x:v>
      </x:c>
      <x:c r="H18" s="5" t="str">
        <x:v>failed</x:v>
      </x:c>
      <x:c r="I18" s="5" t="n">
        <x:v>0</x:v>
      </x:c>
      <x:c r="J18" s="5"/>
      <x:c r="K18" s="5" t="n">
        <x:v>25</x:v>
      </x:c>
      <x:c r="L18" s="5" t="str">
        <x:v>First ranked page only</x:v>
      </x:c>
      <x:c r="M18" s="5" t="d">
        <x:v>2026-10-13T10:18:16.108Z</x:v>
      </x:c>
      <x:c r="N18" s="5" t="str"/>
      <x:c r="O18" s="5" t="str"/>
      <x:c r="P18" s="5" t="str">
        <x:v>HTTP Error 429: Too Many Requests</x:v>
      </x:c>
    </x:row>
    <x:row r="19" ht="53" customHeight="1">
      <x:c r="A19" s="5" t="str">
        <x:v>PILOT-20261013-01</x:v>
      </x:c>
      <x:c r="B19" s="5" t="str">
        <x:v>S12</x:v>
      </x:c>
      <x:c r="C19" s="5" t="str">
        <x:v>Crossref REST API</x:v>
      </x:c>
      <x:c r="D19" s="5" t="str">
        <x:v>Sensor reliability</x:v>
      </x:c>
      <x:c r="E19" s="5" t="str">
        <x:v>industrial visual anomaly detection missing modality sensor uncertainty</x:v>
      </x:c>
      <x:c r="F19" s="5" t="str">
        <x:v>query.bibliographic</x:v>
      </x:c>
      <x:c r="G19" s="5" t="str">
        <x:v>until-pub-date:2026-10-13</x:v>
      </x:c>
      <x:c r="H19" s="5" t="str">
        <x:v>completed</x:v>
      </x:c>
      <x:c r="I19" s="5" t="n">
        <x:v>25</x:v>
      </x:c>
      <x:c r="J19" s="5" t="n">
        <x:v>3781868</x:v>
      </x:c>
      <x:c r="K19" s="5" t="n">
        <x:v>25</x:v>
      </x:c>
      <x:c r="L19" s="5" t="str">
        <x:v>First ranked page only</x:v>
      </x:c>
      <x:c r="M19" s="5" t="d">
        <x:v>2026-10-13T10:18:16.428Z</x:v>
      </x:c>
      <x:c r="N19" s="5" t="str">
        <x:v>review-paper/search-strategy/runs/PILOT-20261013-01/S12.json</x:v>
      </x:c>
      <x:c r="O19" s="5" t="str">
        <x:v>7dde6398a4d71ac6daf681e1f90d2a8ae1804fd5d27f2c657d1ca0e2410f304b</x:v>
      </x:c>
      <x:c r="P19" s="5" t="str">
        <x:v>Total-results is a fuzzy API hit count, not eligible studies; this page is capped.</x:v>
      </x:c>
    </x:row>
    <x:row r="20" ht="53" customHeight="1">
      <x:c r="A20" s="5" t="str">
        <x:v>PILOT-20261013-01</x:v>
      </x:c>
      <x:c r="B20" s="5" t="str">
        <x:v>S13</x:v>
      </x:c>
      <x:c r="C20" s="5" t="str">
        <x:v>Crossref REST API</x:v>
      </x:c>
      <x:c r="D20" s="5" t="str">
        <x:v>Evidence-grounded reporting</x:v>
      </x:c>
      <x:c r="E20" s="5" t="str">
        <x:v>industrial inspection vision language grounding anomaly explanation</x:v>
      </x:c>
      <x:c r="F20" s="5" t="str">
        <x:v>query.bibliographic</x:v>
      </x:c>
      <x:c r="G20" s="5" t="str">
        <x:v>until-pub-date:2026-10-13</x:v>
      </x:c>
      <x:c r="H20" s="5" t="str">
        <x:v>completed</x:v>
      </x:c>
      <x:c r="I20" s="5" t="n">
        <x:v>25</x:v>
      </x:c>
      <x:c r="J20" s="5" t="n">
        <x:v>2957697</x:v>
      </x:c>
      <x:c r="K20" s="5" t="n">
        <x:v>25</x:v>
      </x:c>
      <x:c r="L20" s="5" t="str">
        <x:v>First ranked page only</x:v>
      </x:c>
      <x:c r="M20" s="5" t="d">
        <x:v>2026-10-13T10:18:21.049Z</x:v>
      </x:c>
      <x:c r="N20" s="5" t="str">
        <x:v>review-paper/search-strategy/runs/PILOT-20261013-01/S13.json</x:v>
      </x:c>
      <x:c r="O20" s="5" t="str">
        <x:v>348e85167c20c50a141a0d879d122b6a3896ff9ed52abf90ae2109e14505f856</x:v>
      </x:c>
      <x:c r="P20" s="5" t="str">
        <x:v>Total-results is a fuzzy API hit count, not eligible studies; this page is capped.</x:v>
      </x:c>
    </x:row>
    <x:row r="21" ht="53" customHeight="1">
      <x:c r="A21" s="5" t="str">
        <x:v>PILOT-20261013-01</x:v>
      </x:c>
      <x:c r="B21" s="5" t="str">
        <x:v>S14</x:v>
      </x:c>
      <x:c r="C21" s="5" t="str">
        <x:v>Crossref REST API</x:v>
      </x:c>
      <x:c r="D21" s="5" t="str">
        <x:v>Deployment evidence</x:v>
      </x:c>
      <x:c r="E21" s="5" t="str">
        <x:v>industrial visual inspection human machine review deployment reliability</x:v>
      </x:c>
      <x:c r="F21" s="5" t="str">
        <x:v>query.bibliographic</x:v>
      </x:c>
      <x:c r="G21" s="5" t="str">
        <x:v>until-pub-date:2026-10-13</x:v>
      </x:c>
      <x:c r="H21" s="5" t="str">
        <x:v>completed</x:v>
      </x:c>
      <x:c r="I21" s="5" t="n">
        <x:v>25</x:v>
      </x:c>
      <x:c r="J21" s="5" t="n">
        <x:v>12988330</x:v>
      </x:c>
      <x:c r="K21" s="5" t="n">
        <x:v>25</x:v>
      </x:c>
      <x:c r="L21" s="5" t="str">
        <x:v>First ranked page only</x:v>
      </x:c>
      <x:c r="M21" s="5" t="d">
        <x:v>2026-10-13T10:18:21.409Z</x:v>
      </x:c>
      <x:c r="N21" s="5" t="str">
        <x:v>review-paper/search-strategy/runs/PILOT-20261013-01/S14.json</x:v>
      </x:c>
      <x:c r="O21" s="5" t="str">
        <x:v>0b47e5aca7cfaccfcf98fa450357b3a522917de3cc6306a6a66f70661578ebb2</x:v>
      </x:c>
      <x:c r="P21" s="5" t="str">
        <x:v>Total-results is a fuzzy API hit count, not eligible studies; this page is capped.</x:v>
      </x:c>
    </x:row>
    <x:row r="22" ht="53" customHeight="1">
      <x:c r="A22" s="5" t="str">
        <x:v>PILOT-20261013-01</x:v>
      </x:c>
      <x:c r="B22" s="5" t="str">
        <x:v>S15</x:v>
      </x:c>
      <x:c r="C22" s="5" t="str">
        <x:v>Crossref REST API</x:v>
      </x:c>
      <x:c r="D22" s="5" t="str">
        <x:v>Benchmarks</x:v>
      </x:c>
      <x:c r="E22" s="5" t="str">
        <x:v>industrial anomaly detection dataset benchmark acquisition lighting</x:v>
      </x:c>
      <x:c r="F22" s="5" t="str">
        <x:v>query.bibliographic</x:v>
      </x:c>
      <x:c r="G22" s="5" t="str">
        <x:v>until-pub-date:2026-10-13</x:v>
      </x:c>
      <x:c r="H22" s="5" t="str">
        <x:v>completed</x:v>
      </x:c>
      <x:c r="I22" s="5" t="n">
        <x:v>25</x:v>
      </x:c>
      <x:c r="J22" s="5" t="n">
        <x:v>3258988</x:v>
      </x:c>
      <x:c r="K22" s="5" t="n">
        <x:v>25</x:v>
      </x:c>
      <x:c r="L22" s="5" t="str">
        <x:v>First ranked page only</x:v>
      </x:c>
      <x:c r="M22" s="5" t="d">
        <x:v>2026-10-13T10:18:21.452Z</x:v>
      </x:c>
      <x:c r="N22" s="5" t="str">
        <x:v>review-paper/search-strategy/runs/PILOT-20261013-01/S15.json</x:v>
      </x:c>
      <x:c r="O22" s="5" t="str">
        <x:v>8edff888835b0b9bbcce32211f0bb3f60d5fd662c7a8fccc0c00b29fb5154ba9</x:v>
      </x:c>
      <x:c r="P22" s="5" t="str">
        <x:v>Total-results is a fuzzy API hit count, not eligible studies; this page is capped.</x:v>
      </x:c>
    </x:row>
    <x:row r="23" ht="53" customHeight="1">
      <x:c r="A23" s="5" t="str">
        <x:v>PILOT-20261013-01</x:v>
      </x:c>
      <x:c r="B23" s="5" t="str">
        <x:v>S16</x:v>
      </x:c>
      <x:c r="C23" s="5" t="str">
        <x:v>Crossref REST API</x:v>
      </x:c>
      <x:c r="D23" s="5" t="str">
        <x:v>Evaluation</x:v>
      </x:c>
      <x:c r="E23" s="5" t="str">
        <x:v>industrial visual anomaly detection calibration risk coverage evaluation</x:v>
      </x:c>
      <x:c r="F23" s="5" t="str">
        <x:v>query.bibliographic</x:v>
      </x:c>
      <x:c r="G23" s="5" t="str">
        <x:v>until-pub-date:2026-10-13</x:v>
      </x:c>
      <x:c r="H23" s="5" t="str">
        <x:v>completed</x:v>
      </x:c>
      <x:c r="I23" s="5" t="n">
        <x:v>25</x:v>
      </x:c>
      <x:c r="J23" s="5" t="n">
        <x:v>6834774</x:v>
      </x:c>
      <x:c r="K23" s="5" t="n">
        <x:v>25</x:v>
      </x:c>
      <x:c r="L23" s="5" t="str">
        <x:v>First ranked page only</x:v>
      </x:c>
      <x:c r="M23" s="5" t="d">
        <x:v>2026-10-13T10:18:26.335Z</x:v>
      </x:c>
      <x:c r="N23" s="5" t="str">
        <x:v>review-paper/search-strategy/runs/PILOT-20261013-01/S16.json</x:v>
      </x:c>
      <x:c r="O23" s="5" t="str">
        <x:v>63e88dd5aa1ec59e038125d8c929c14fe22824436f55fc6c54713a56eae22516</x:v>
      </x:c>
      <x:c r="P23" s="5" t="str">
        <x:v>Total-results is a fuzzy API hit count, not eligible studies; this page is capped.</x:v>
      </x:c>
    </x:row>
    <x:row r="24" ht="53" customHeight="1">
      <x:c r="A24" s="5" t="str">
        <x:v>PILOT-20261013-02</x:v>
      </x:c>
      <x:c r="B24" s="5" t="str">
        <x:v>S02</x:v>
      </x:c>
      <x:c r="C24" s="5" t="str">
        <x:v>Crossref REST API</x:v>
      </x:c>
      <x:c r="D24" s="5" t="str">
        <x:v>Reviews</x:v>
      </x:c>
      <x:c r="E24" s="5" t="str">
        <x:v>industrial visual anomaly detection survey review</x:v>
      </x:c>
      <x:c r="F24" s="5" t="str">
        <x:v>query.bibliographic</x:v>
      </x:c>
      <x:c r="G24" s="5" t="str">
        <x:v>until-pub-date:2026-10-13</x:v>
      </x:c>
      <x:c r="H24" s="5" t="str">
        <x:v>completed</x:v>
      </x:c>
      <x:c r="I24" s="5" t="n">
        <x:v>25</x:v>
      </x:c>
      <x:c r="J24" s="5" t="n">
        <x:v>11082248</x:v>
      </x:c>
      <x:c r="K24" s="5" t="n">
        <x:v>25</x:v>
      </x:c>
      <x:c r="L24" s="5" t="str">
        <x:v>First ranked page only</x:v>
      </x:c>
      <x:c r="M24" s="5" t="d">
        <x:v>2026-10-13T10:19:21.574Z</x:v>
      </x:c>
      <x:c r="N24" s="5" t="str">
        <x:v>review-paper/search-strategy/runs/PILOT-20261013-02/S02.json</x:v>
      </x:c>
      <x:c r="O24" s="5" t="str">
        <x:v>1df5131e9839c23fb247fbcb12e9871e133ca3e48af2fdf5409f9ae36ef540d4</x:v>
      </x:c>
      <x:c r="P24" s="5" t="str">
        <x:v>Total-results is a fuzzy API hit count, not eligible studies; this page is capped.</x:v>
      </x:c>
    </x:row>
    <x:row r="25" ht="53" customHeight="1">
      <x:c r="A25" s="5" t="str">
        <x:v>PILOT-20261013-02</x:v>
      </x:c>
      <x:c r="B25" s="5" t="str">
        <x:v>S06</x:v>
      </x:c>
      <x:c r="C25" s="5" t="str">
        <x:v>Crossref REST API</x:v>
      </x:c>
      <x:c r="D25" s="5" t="str">
        <x:v>Selective prediction</x:v>
      </x:c>
      <x:c r="E25" s="5" t="str">
        <x:v>industrial visual inspection selective prediction abstention</x:v>
      </x:c>
      <x:c r="F25" s="5" t="str">
        <x:v>query.bibliographic</x:v>
      </x:c>
      <x:c r="G25" s="5" t="str">
        <x:v>until-pub-date:2026-10-13</x:v>
      </x:c>
      <x:c r="H25" s="5" t="str">
        <x:v>completed</x:v>
      </x:c>
      <x:c r="I25" s="5" t="n">
        <x:v>25</x:v>
      </x:c>
      <x:c r="J25" s="5" t="n">
        <x:v>2710281</x:v>
      </x:c>
      <x:c r="K25" s="5" t="n">
        <x:v>25</x:v>
      </x:c>
      <x:c r="L25" s="5" t="str">
        <x:v>First ranked page only</x:v>
      </x:c>
      <x:c r="M25" s="5" t="d">
        <x:v>2026-10-13T10:19:21.575Z</x:v>
      </x:c>
      <x:c r="N25" s="5" t="str">
        <x:v>review-paper/search-strategy/runs/PILOT-20261013-02/S06.json</x:v>
      </x:c>
      <x:c r="O25" s="5" t="str">
        <x:v>718f9835ecd3110ff4348533e040a624a5e547c28626b3d52c0fe1b00e2eaf2d</x:v>
      </x:c>
      <x:c r="P25" s="5" t="str">
        <x:v>Total-results is a fuzzy API hit count, not eligible studies; this page is capped.</x:v>
      </x:c>
    </x:row>
    <x:row r="26" ht="53" customHeight="1">
      <x:c r="A26" s="5" t="str">
        <x:v>PILOT-20261013-02</x:v>
      </x:c>
      <x:c r="B26" s="5" t="str">
        <x:v>S11</x:v>
      </x:c>
      <x:c r="C26" s="5" t="str">
        <x:v>Crossref REST API</x:v>
      </x:c>
      <x:c r="D26" s="5" t="str">
        <x:v>Multimodal inspection</x:v>
      </x:c>
      <x:c r="E26" s="5" t="str">
        <x:v>RGB thermal multimodal industrial defect inspection</x:v>
      </x:c>
      <x:c r="F26" s="5" t="str">
        <x:v>query.bibliographic</x:v>
      </x:c>
      <x:c r="G26" s="5" t="str">
        <x:v>until-pub-date:2026-10-13</x:v>
      </x:c>
      <x:c r="H26" s="5" t="str">
        <x:v>completed</x:v>
      </x:c>
      <x:c r="I26" s="5" t="n">
        <x:v>25</x:v>
      </x:c>
      <x:c r="J26" s="5" t="n">
        <x:v>2260015</x:v>
      </x:c>
      <x:c r="K26" s="5" t="n">
        <x:v>25</x:v>
      </x:c>
      <x:c r="L26" s="5" t="str">
        <x:v>First ranked page only</x:v>
      </x:c>
      <x:c r="M26" s="5" t="d">
        <x:v>2026-10-13T10:19:27.208Z</x:v>
      </x:c>
      <x:c r="N26" s="5" t="str">
        <x:v>review-paper/search-strategy/runs/PILOT-20261013-02/S11.json</x:v>
      </x:c>
      <x:c r="O26" s="5" t="str">
        <x:v>43bccdba91e9d185632eff931a5c122d40ce31796d3ad930eed24e8cca2c5854</x:v>
      </x:c>
      <x:c r="P26" s="5" t="str">
        <x:v>Total-results is a fuzzy API hit count, not eligible studies; this page is capped.</x:v>
      </x:c>
    </x:row>
    <x:row r="30">
      <x:c r="A30" t="str">
        <x:v>Historical web scoping log (session 2)</x:v>
      </x:c>
    </x:row>
    <x:row r="32" ht="70" customHeight="1">
      <x:c r="A32" s="9" t="str">
        <x:v>ID</x:v>
      </x:c>
      <x:c r="B32" s="9" t="str">
        <x:v>Search engine</x:v>
      </x:c>
      <x:c r="C32" s="9" t="str">
        <x:v>Exact query</x:v>
      </x:c>
      <x:c r="D32" s="9" t="str">
        <x:v>Purpose</x:v>
      </x:c>
      <x:c r="E32" s="9" t="str">
        <x:v>Result or limitation</x:v>
      </x:c>
      <x:c r="F32" s="9" t="str">
        <x:v>Status</x:v>
      </x:c>
      <x:c r="G32" s="9" t="str">
        <x:v>Search date</x:v>
      </x:c>
    </x:row>
    <x:row r="33" ht="70" customHeight="1">
      <x:c r="A33" s="9" t="str">
        <x:v>Q01</x:v>
      </x:c>
      <x:c r="B33" s="9" t="str">
        <x:v>Engine 2</x:v>
      </x:c>
      <x:c r="C33" s="9" t="str">
        <x:v>industrial visual anomaly detection survey uncertainty domain shift selective prediction review</x:v>
      </x:c>
      <x:c r="D33" s="9" t="str">
        <x:v>Review overlap</x:v>
      </x:c>
      <x:c r="E33" s="9" t="str">
        <x:v>R01-R05</x:v>
      </x:c>
      <x:c r="F33" s="9" t="str">
        <x:v>Completed</x:v>
      </x:c>
      <x:c r="G33" s="9" t="d">
        <x:v>2026-10-13T00:00:00.000Z</x:v>
      </x:c>
    </x:row>
    <x:row r="34" ht="70" customHeight="1">
      <x:c r="A34" s="9" t="str">
        <x:v>Q02</x:v>
      </x:c>
      <x:c r="B34" s="9" t="str">
        <x:v>Engine 2</x:v>
      </x:c>
      <x:c r="C34" s="9" t="str">
        <x:v>corrosion detection dataset cross domain generalization uncertainty pipeline inspection</x:v>
      </x:c>
      <x:c r="D34" s="9" t="str">
        <x:v>Corrosion evidence</x:v>
      </x:c>
      <x:c r="E34" s="9" t="str">
        <x:v>P01; data leads</x:v>
      </x:c>
      <x:c r="F34" s="9" t="str">
        <x:v>Completed</x:v>
      </x:c>
      <x:c r="G34" s="9" t="d">
        <x:v>2026-10-13T00:00:00.000Z</x:v>
      </x:c>
    </x:row>
    <x:row r="35" ht="70" customHeight="1">
      <x:c r="A35" s="9" t="str">
        <x:v>Q03</x:v>
      </x:c>
      <x:c r="B35" s="9" t="str">
        <x:v>Engine 2</x:v>
      </x:c>
      <x:c r="C35" s="9" t="str">
        <x:v>industrial anomaly detection selective classification conformal prediction risk coverage</x:v>
      </x:c>
      <x:c r="D35" s="9" t="str">
        <x:v>Decision methods</x:v>
      </x:c>
      <x:c r="E35" s="9" t="str">
        <x:v>P03-P05 leads</x:v>
      </x:c>
      <x:c r="F35" s="9" t="str">
        <x:v>Completed</x:v>
      </x:c>
      <x:c r="G35" s="9" t="d">
        <x:v>2026-10-13T00:00:00.000Z</x:v>
      </x:c>
    </x:row>
    <x:row r="36" ht="70" customHeight="1">
      <x:c r="A36" s="9" t="str">
        <x:v>Q04</x:v>
      </x:c>
      <x:c r="B36" s="9" t="str">
        <x:v>Engine 1</x:v>
      </x:c>
      <x:c r="C36" s="9" t="str">
        <x:v>"industrial" "anomaly detection" "survey" "uncertainty" "evaluation"</x:v>
      </x:c>
      <x:c r="D36" s="9" t="str">
        <x:v>Verification</x:v>
      </x:c>
      <x:c r="E36" s="9" t="str">
        <x:v>Mostly irrelevant results</x:v>
      </x:c>
      <x:c r="F36" s="9" t="str">
        <x:v>Completed</x:v>
      </x:c>
      <x:c r="G36" s="9" t="d">
        <x:v>2026-10-13T00:00:00.000Z</x:v>
      </x:c>
    </x:row>
    <x:row r="37" ht="70" customHeight="1">
      <x:c r="A37" s="9" t="str">
        <x:v>Q05</x:v>
      </x:c>
      <x:c r="B37" s="9" t="str">
        <x:v>Engine 1</x:v>
      </x:c>
      <x:c r="C37" s="9" t="str">
        <x:v>"corrosion" "dataset" "Corrosion Condition State"</x:v>
      </x:c>
      <x:c r="D37" s="9" t="str">
        <x:v>Real-image data</x:v>
      </x:c>
      <x:c r="E37" s="9" t="str">
        <x:v>D03</x:v>
      </x:c>
      <x:c r="F37" s="9" t="str">
        <x:v>Completed</x:v>
      </x:c>
      <x:c r="G37" s="9" t="d">
        <x:v>2026-10-13T00:00:00.000Z</x:v>
      </x:c>
    </x:row>
    <x:row r="38" ht="70" customHeight="1">
      <x:c r="A38" s="9" t="str">
        <x:v>Q06</x:v>
      </x:c>
      <x:c r="B38" s="9" t="str">
        <x:v>Engine 1</x:v>
      </x:c>
      <x:c r="C38" s="9" t="str">
        <x:v>"corrosion" "selective prediction"</x:v>
      </x:c>
      <x:c r="D38" s="9" t="str">
        <x:v>Specific overlap</x:v>
      </x:c>
      <x:c r="E38" s="9" t="str">
        <x:v>Poor retrieval; no absence claim</x:v>
      </x:c>
      <x:c r="F38" s="9" t="str">
        <x:v>Completed</x:v>
      </x:c>
      <x:c r="G38" s="9" t="d">
        <x:v>2026-10-13T00:00:00.000Z</x:v>
      </x:c>
    </x:row>
    <x:row r="39" ht="70" customHeight="1">
      <x:c r="A39" s="9" t="str">
        <x:v>Q07</x:v>
      </x:c>
      <x:c r="B39" s="9" t="str">
        <x:v>Engine 2</x:v>
      </x:c>
      <x:c r="C39" s="9" t="str">
        <x:v>Deep learning corrosion detection with confidence 2022 uncertainty 14 images</x:v>
      </x:c>
      <x:c r="D39" s="9" t="str">
        <x:v>Verify P01</x:v>
      </x:c>
      <x:c r="E39" s="9" t="str">
        <x:v>nature.com filter</x:v>
      </x:c>
      <x:c r="F39" s="9" t="str">
        <x:v>Completed</x:v>
      </x:c>
      <x:c r="G39" s="9" t="d">
        <x:v>2026-10-13T00:00:00.000Z</x:v>
      </x:c>
    </x:row>
    <x:row r="40" ht="70" customHeight="1">
      <x:c r="A40" s="9" t="str">
        <x:v>Q08</x:v>
      </x:c>
      <x:c r="B40" s="9" t="str">
        <x:v>Engine 2</x:v>
      </x:c>
      <x:c r="C40" s="9" t="str">
        <x:v>K-Pipelines Leo-Thomas synthetic dataset 2024</x:v>
      </x:c>
      <x:c r="D40" s="9" t="str">
        <x:v>Verify D02</x:v>
      </x:c>
      <x:c r="E40" s="9" t="str">
        <x:v>github.com/arxiv.org filters</x:v>
      </x:c>
      <x:c r="F40" s="9" t="str">
        <x:v>Completed</x:v>
      </x:c>
      <x:c r="G40" s="9" t="d">
        <x:v>2026-10-13T00:00:00.000Z</x:v>
      </x:c>
    </x:row>
    <x:row r="41" ht="70" customHeight="1">
      <x:c r="A41" s="9" t="str">
        <x:v>Q09</x:v>
      </x:c>
      <x:c r="B41" s="9" t="str">
        <x:v>Engine 2</x:v>
      </x:c>
      <x:c r="C41" s="9" t="str">
        <x:v>Risk-Based Thresholding for Reliable Anomaly Detection ECML 2025</x:v>
      </x:c>
      <x:c r="D41" s="9" t="str">
        <x:v>Closest risk precedent</x:v>
      </x:c>
      <x:c r="E41" s="9" t="str">
        <x:v>P03</x:v>
      </x:c>
      <x:c r="F41" s="9" t="str">
        <x:v>Completed</x:v>
      </x:c>
      <x:c r="G41" s="9" t="d">
        <x:v>2026-10-13T00:00:00.000Z</x:v>
      </x:c>
    </x:row>
    <x:row r="42" ht="70" customHeight="1">
      <x:c r="A42" s="9" t="str">
        <x:v>Q10</x:v>
      </x:c>
      <x:c r="B42" s="9" t="str">
        <x:v>Engine 2</x:v>
      </x:c>
      <x:c r="C42" s="9" t="str">
        <x:v>industrial visual anomaly detection uncertainty quantification survey reliability review 2026</x:v>
      </x:c>
      <x:c r="D42" s="9" t="str">
        <x:v>Recent reviews</x:v>
      </x:c>
      <x:c r="E42" s="9" t="str">
        <x:v>R05-R07</x:v>
      </x:c>
      <x:c r="F42" s="9" t="str">
        <x:v>Completed</x:v>
      </x:c>
      <x:c r="G42" s="9" t="d">
        <x:v>2026-10-13T00:00:00.000Z</x:v>
      </x:c>
    </x:row>
    <x:row r="43" ht="70" customHeight="1">
      <x:c r="A43" s="9" t="str">
        <x:v>Q11</x:v>
      </x:c>
      <x:c r="B43" s="9" t="str">
        <x:v>Engine 2</x:v>
      </x:c>
      <x:c r="C43" s="9" t="str">
        <x:v>"ADShift" anomaly detection distribution shifts Cao 2023</x:v>
      </x:c>
      <x:c r="D43" s="9" t="str">
        <x:v>Verify P02</x:v>
      </x:c>
      <x:c r="E43" s="9" t="str">
        <x:v>P02</x:v>
      </x:c>
      <x:c r="F43" s="9" t="str">
        <x:v>Completed</x:v>
      </x:c>
      <x:c r="G43" s="9" t="d">
        <x:v>2026-10-13T00:00:00.000Z</x:v>
      </x:c>
    </x:row>
    <x:row r="44" ht="70" customHeight="1">
      <x:c r="A44" s="9" t="str">
        <x:v>Q12</x:v>
      </x:c>
      <x:c r="B44" s="9" t="str">
        <x:v>Engine 2</x:v>
      </x:c>
      <x:c r="C44" s="9" t="str">
        <x:v>"Deep learning corrosion detection with confidence" dataset github authors</x:v>
      </x:c>
      <x:c r="D44" s="9" t="str">
        <x:v>Code and data</x:v>
      </x:c>
      <x:c r="E44" s="9" t="str">
        <x:v>P01; D04</x:v>
      </x:c>
      <x:c r="F44" s="9" t="str">
        <x:v>Completed</x:v>
      </x:c>
      <x:c r="G44" s="9" t="d">
        <x:v>2026-10-13T00:00:00.000Z</x:v>
      </x:c>
    </x:row>
    <x:row r="45" ht="70" customHeight="1">
      <x:c r="A45" s="9" t="str">
        <x:v>Q13</x:v>
      </x:c>
      <x:c r="B45" s="9" t="str">
        <x:v>Engine 2</x:v>
      </x:c>
      <x:c r="C45" s="9" t="str">
        <x:v>"Risk-Calibrated Multimodal Inspection" industrial anomaly detection</x:v>
      </x:c>
      <x:c r="D45" s="9" t="str">
        <x:v>Multimodal overlap</x:v>
      </x:c>
      <x:c r="E45" s="9" t="str">
        <x:v>P04</x:v>
      </x:c>
      <x:c r="F45" s="9" t="str">
        <x:v>Completed</x:v>
      </x:c>
      <x:c r="G45" s="9" t="d">
        <x:v>2026-10-13T00:00:00.000Z</x:v>
      </x:c>
    </x:row>
    <x:row r="46" ht="70" customHeight="1">
      <x:c r="A46" s="9" t="str">
        <x:v>Q14</x:v>
      </x:c>
      <x:c r="B46" s="9" t="str">
        <x:v>Engine 2</x:v>
      </x:c>
      <x:c r="C46" s="9" t="str">
        <x:v>"SpotRust" arxiv Nash Zheng Birbilis</x:v>
      </x:c>
      <x:c r="D46" s="9" t="str">
        <x:v>Alternative full text</x:v>
      </x:c>
      <x:c r="E46" s="9" t="str">
        <x:v>P01 primary HTML fetched directly</x:v>
      </x:c>
      <x:c r="F46" s="9" t="str">
        <x:v>Completed</x:v>
      </x:c>
      <x:c r="G46" s="9" t="d">
        <x:v>2026-10-13T00:00:00.000Z</x:v>
      </x:c>
    </x:row>
    <x:row r="47" ht="70" customHeight="1">
      <x:c r="A47" s="9" t="str">
        <x:v>Q15</x:v>
      </x:c>
      <x:c r="B47" s="9" t="str">
        <x:v>Engine 2</x:v>
      </x:c>
      <x:c r="C47" s="9" t="str">
        <x:v>"Corrosion Condition State Semantic Segmentation Dataset" 16624663 license images</x:v>
      </x:c>
      <x:c r="D47" s="9" t="str">
        <x:v>Dataset audit</x:v>
      </x:c>
      <x:c r="E47" s="9" t="str">
        <x:v>D03 metadata, README, guide and archive index</x:v>
      </x:c>
      <x:c r="F47" s="9" t="str">
        <x:v>Completed</x:v>
      </x:c>
      <x:c r="G47" s="9" t="d">
        <x:v>2026-10-13T00:00:00.000Z</x:v>
      </x:c>
    </x:row>
    <x:row r="48" ht="70" customHeight="1">
      <x:c r="A48" s="9" t="str">
        <x:v>Q16</x:v>
      </x:c>
      <x:c r="B48" s="9" t="str">
        <x:v>Engine 2</x:v>
      </x:c>
      <x:c r="C48" s="9" t="str">
        <x:v>"Deep learning corrosion detection with confidence" Nash 2022 166 14</x:v>
      </x:c>
      <x:c r="D48" s="9" t="str">
        <x:v>Verify evaluation data</x:v>
      </x:c>
      <x:c r="E48" s="9" t="str">
        <x:v>P01</x:v>
      </x:c>
      <x:c r="F48" s="9" t="str">
        <x:v>Completed</x:v>
      </x:c>
      <x:c r="G48" s="9" t="d">
        <x:v>2026-10-13T00:00:00.000Z</x:v>
      </x:c>
    </x:row>
    <x:row r="49" ht="70" customHeight="1">
      <x:c r="A49" s="9" t="str">
        <x:v>Q17</x:v>
      </x:c>
      <x:c r="B49" s="9" t="str">
        <x:v>Engine 2</x:v>
      </x:c>
      <x:c r="C49" s="9" t="str">
        <x:v>"selective" "industrial" "anomaly" "distribution shift" calibration</x:v>
      </x:c>
      <x:c r="D49" s="9" t="str">
        <x:v>Recent novelty threats</x:v>
      </x:c>
      <x:c r="E49" s="9" t="str">
        <x:v>SPARC/NFAD leads</x:v>
      </x:c>
      <x:c r="F49" s="9" t="str">
        <x:v>Completed</x:v>
      </x:c>
      <x:c r="G49" s="9" t="d">
        <x:v>2026-10-13T00:00:00.000Z</x:v>
      </x:c>
    </x:row>
    <x:row r="50" ht="70" customHeight="1">
      <x:c r="A50" s="9" t="str">
        <x:v>Q18</x:v>
      </x:c>
      <x:c r="B50" s="9" t="str">
        <x:v>Engine 1</x:v>
      </x:c>
      <x:c r="C50" s="9" t="str">
        <x:v>"SPARC" "Subspace" "Calibration" anomaly detection</x:v>
      </x:c>
      <x:c r="D50" s="9" t="str">
        <x:v>Recent verification</x:v>
      </x:c>
      <x:c r="E50" s="9" t="str">
        <x:v>P06; recency 365 days</x:v>
      </x:c>
      <x:c r="F50" s="9" t="str">
        <x:v>Completed</x:v>
      </x:c>
      <x:c r="G50" s="9" t="d">
        <x:v>2026-10-13T00:00:00.000Z</x:v>
      </x:c>
    </x:row>
    <x:row r="51" ht="70" customHeight="1">
      <x:c r="A51" s="9" t="str">
        <x:v>Q19</x:v>
      </x:c>
      <x:c r="B51" s="9" t="str">
        <x:v>Engine 1</x:v>
      </x:c>
      <x:c r="C51" s="9" t="str">
        <x:v>"NFAD" "Nuisance-Filtered" anomaly detection</x:v>
      </x:c>
      <x:c r="D51" s="9" t="str">
        <x:v>Recent verification</x:v>
      </x:c>
      <x:c r="E51" s="9" t="str">
        <x:v>P07; recency 365 days</x:v>
      </x:c>
      <x:c r="F51" s="9" t="str">
        <x:v>Completed</x:v>
      </x:c>
      <x:c r="G51" s="9" t="d">
        <x:v>2026-10-13T00:00:00.000Z</x:v>
      </x:c>
    </x:row>
    <x:row r="52" ht="70" customHeight="1">
      <x:c r="A52" s="9" t="str">
        <x:v>Q20</x:v>
      </x:c>
      <x:c r="B52" s="9" t="str">
        <x:v>Engine 2</x:v>
      </x:c>
      <x:c r="C52" s="9" t="str">
        <x:v>"Industrial anomaly detection with domain shift" AeBAD github dataset</x:v>
      </x:c>
      <x:c r="D52" s="9" t="str">
        <x:v>Domain data</x:v>
      </x:c>
      <x:c r="E52" s="9" t="str">
        <x:v>P08; D06</x:v>
      </x:c>
      <x:c r="F52" s="9" t="str">
        <x:v>Completed</x:v>
      </x:c>
      <x:c r="G52" s="9" t="d">
        <x:v>2026-10-13T00:00:00.000Z</x:v>
      </x:c>
    </x:row>
    <x:row r="53" ht="70" customHeight="1">
      <x:c r="A53" s="9" t="str">
        <x:v>Q21</x:v>
      </x:c>
      <x:c r="B53" s="9" t="str">
        <x:v>Engine 2</x:v>
      </x:c>
      <x:c r="C53" s="9" t="str">
        <x:v>"corrosion" "selective" "risk" segmentation calibration</x:v>
      </x:c>
      <x:c r="D53" s="9" t="str">
        <x:v>Corrosion overlap</x:v>
      </x:c>
      <x:c r="E53" s="9" t="str">
        <x:v>P10; noisy retrieval</x:v>
      </x:c>
      <x:c r="F53" s="9" t="str">
        <x:v>Completed</x:v>
      </x:c>
      <x:c r="G53" s="9" t="d">
        <x:v>2026-10-13T00:00:00.000Z</x:v>
      </x:c>
    </x:row>
    <x:row r="54" ht="70" customHeight="1">
      <x:c r="A54" s="9" t="str">
        <x:v>Q22</x:v>
      </x:c>
      <x:c r="B54" s="9" t="str">
        <x:v>Engine 2</x:v>
      </x:c>
      <x:c r="C54" s="9" t="str">
        <x:v>"industrial visual" "selective prediction" review survey</x:v>
      </x:c>
      <x:c r="D54" s="9" t="str">
        <x:v>Specific review overlap</x:v>
      </x:c>
      <x:c r="E54" s="9" t="str">
        <x:v>New leads; incomplete search</x:v>
      </x:c>
      <x:c r="F54" s="9" t="str">
        <x:v>Completed</x:v>
      </x:c>
      <x:c r="G54" s="9" t="d">
        <x:v>2026-10-13T00:00:00.000Z</x:v>
      </x:c>
    </x:row>
    <x:row r="55" ht="70" customHeight="1">
      <x:c r="A55" s="9" t="str">
        <x:v>Q23</x:v>
      </x:c>
      <x:c r="B55" s="9" t="str">
        <x:v>Engine 2</x:v>
      </x:c>
      <x:c r="C55" s="9" t="str">
        <x:v>"Shaoliang Yang" "Jun Wang" "Selective" industrial inspection</x:v>
      </x:c>
      <x:c r="D55" s="9" t="str">
        <x:v>Trace recent lead</x:v>
      </x:c>
      <x:c r="E55" s="9" t="str">
        <x:v>P09</x:v>
      </x:c>
      <x:c r="F55" s="9" t="str">
        <x:v>Completed</x:v>
      </x:c>
      <x:c r="G55" s="9" t="d">
        <x:v>2026-10-13T00:00:00.000Z</x:v>
      </x:c>
    </x:row>
    <x:row r="56" ht="70" customHeight="1">
      <x:c r="A56" s="9" t="str">
        <x:v>Q24</x:v>
      </x:c>
      <x:c r="B56" s="9" t="str">
        <x:v>Engine 2</x:v>
      </x:c>
      <x:c r="C56" s="9" t="str">
        <x:v>"industrial" "anomaly detection" "risk-coverage"</x:v>
      </x:c>
      <x:c r="D56" s="9" t="str">
        <x:v>Selective decision precedents</x:v>
      </x:c>
      <x:c r="E56" s="9" t="str">
        <x:v>P09; P05</x:v>
      </x:c>
      <x:c r="F56" s="9" t="str">
        <x:v>Completed</x:v>
      </x:c>
      <x:c r="G56" s="9" t="d">
        <x:v>2026-10-13T00:00:00.000Z</x:v>
      </x:c>
    </x:row>
    <x:row r="57" ht="70" customHeight="1">
      <x:c r="A57" s="9" t="str">
        <x:v>Q25</x:v>
      </x:c>
      <x:c r="B57" s="9" t="str">
        <x:v>Engine 2</x:v>
      </x:c>
      <x:c r="C57" s="9" t="str">
        <x:v>"industrial visual" "reliability" "systematic review"</x:v>
      </x:c>
      <x:c r="D57" s="9" t="str">
        <x:v>Review overlap</x:v>
      </x:c>
      <x:c r="E57" s="9" t="str">
        <x:v>R08; further unregistered leads</x:v>
      </x:c>
      <x:c r="F57" s="9" t="str">
        <x:v>Completed</x:v>
      </x:c>
      <x:c r="G57" s="9" t="d">
        <x:v>2026-10-13T00:00:00.000Z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36332543316548af"/>
  </x:tableParts>
</x:worksheet>
</file>

<file path=xl/worksheets/sheet6.xml><?xml version="1.0" encoding="utf-8"?>
<x:worksheet xmlns:x="http://schemas.openxmlformats.org/spreadsheetml/2006/main">
  <x:sheetViews>
    <x:sheetView showGridLines="1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42" hidden="0" customWidth="1"/>
    <x:col min="20" max="20" width="28" hidden="0" customWidth="1"/>
    <x:col min="21" max="21" width="28" hidden="0" customWidth="1"/>
  </x:cols>
  <x:sheetData>
    <x:row r="2">
      <x:c r="A2" s="1" t="str">
        <x:v>Evidence matrix</x:v>
      </x:c>
    </x:row>
    <x:row r="4">
      <x:c r="A4" s="2" t="str">
        <x:v>Six pilot section extracts retained. Other fields await full-text charting; not extracted never means not reported.</x:v>
      </x:c>
    </x:row>
    <x:row r="7" ht="46" customHeight="1">
      <x:c r="A7" s="7" t="str">
        <x:v>Paper ID</x:v>
      </x:c>
      <x:c r="B7" s="7" t="str">
        <x:v>Extraction status</x:v>
      </x:c>
      <x:c r="C7" s="7" t="str">
        <x:v>Asset / setting</x:v>
      </x:c>
      <x:c r="D7" s="7" t="str">
        <x:v>Modality</x:v>
      </x:c>
      <x:c r="E7" s="7" t="str">
        <x:v>Task</x:v>
      </x:c>
      <x:c r="F7" s="7" t="str">
        <x:v>Shift / challenge</x:v>
      </x:c>
      <x:c r="G7" s="7" t="str">
        <x:v>Dataset / benchmark</x:v>
      </x:c>
      <x:c r="H7" s="7" t="str">
        <x:v>Method family</x:v>
      </x:c>
      <x:c r="I7" s="7" t="str">
        <x:v>Training data</x:v>
      </x:c>
      <x:c r="J7" s="7" t="str">
        <x:v>Tuning / calibration data</x:v>
      </x:c>
      <x:c r="K7" s="7" t="str">
        <x:v>Target data access</x:v>
      </x:c>
      <x:c r="L7" s="7" t="str">
        <x:v>Evaluation unit</x:v>
      </x:c>
      <x:c r="M7" s="7" t="str">
        <x:v>Metrics / risk definition</x:v>
      </x:c>
      <x:c r="N7" s="7" t="str">
        <x:v>Threshold / referral policy</x:v>
      </x:c>
      <x:c r="O7" s="7" t="str">
        <x:v>Review workload</x:v>
      </x:c>
      <x:c r="P7" s="7" t="str">
        <x:v>Uncertainty / statistics</x:v>
      </x:c>
      <x:c r="Q7" s="7" t="str">
        <x:v>Validation maturity</x:v>
      </x:c>
      <x:c r="R7" s="7" t="str">
        <x:v>Key evidence</x:v>
      </x:c>
      <x:c r="S7" s="7" t="str">
        <x:v>Evidence locator</x:v>
      </x:c>
      <x:c r="T7" s="7" t="str">
        <x:v>Extractor</x:v>
      </x:c>
      <x:c r="U7" s="7" t="str">
        <x:v>Checked</x:v>
      </x:c>
    </x:row>
    <x:row r="8" ht="40" customHeight="1">
      <x:c r="A8" s="5" t="str">
        <x:v>B01</x:v>
      </x:c>
      <x:c r="B8" s="5" t="str">
        <x:v>Not extracted</x:v>
      </x:c>
      <x:c r="C8" s="5" t="str">
        <x:v>Not extracted</x:v>
      </x:c>
      <x:c r="D8" s="5" t="str">
        <x:v>Not extracted</x:v>
      </x:c>
      <x:c r="E8" s="5" t="str">
        <x:v>Not extracted</x:v>
      </x:c>
      <x:c r="F8" s="5" t="str">
        <x:v>Not extracted</x:v>
      </x:c>
      <x:c r="G8" s="5" t="str">
        <x:v>Not extracted</x:v>
      </x:c>
      <x:c r="H8" s="5" t="str">
        <x:v>Not extracted</x:v>
      </x:c>
      <x:c r="I8" s="5" t="str">
        <x:v>Not extracted</x:v>
      </x:c>
      <x:c r="J8" s="5" t="str">
        <x:v>Not extracted</x:v>
      </x:c>
      <x:c r="K8" s="5" t="str">
        <x:v>Not extracted</x:v>
      </x:c>
      <x:c r="L8" s="5" t="str">
        <x:v>Not extracted</x:v>
      </x:c>
      <x:c r="M8" s="5" t="str">
        <x:v>Not extracted</x:v>
      </x:c>
      <x:c r="N8" s="5" t="str">
        <x:v>Not extracted</x:v>
      </x:c>
      <x:c r="O8" s="5" t="str">
        <x:v>Not extracted</x:v>
      </x:c>
      <x:c r="P8" s="5" t="str">
        <x:v>Not extracted</x:v>
      </x:c>
      <x:c r="Q8" s="5" t="str">
        <x:v>Not extracted</x:v>
      </x:c>
      <x:c r="R8" s="5" t="str">
        <x:v>Not extracted</x:v>
      </x:c>
      <x:c r="S8" s="5" t="str">
        <x:v>Not extracted</x:v>
      </x:c>
      <x:c r="T8" s="5" t="str">
        <x:v>Not assigned</x:v>
      </x:c>
      <x:c r="U8" s="8"/>
    </x:row>
    <x:row r="9" ht="40" customHeight="1">
      <x:c r="A9" s="5" t="str">
        <x:v>B02</x:v>
      </x:c>
      <x:c r="B9" s="5" t="str">
        <x:v>Not extracted</x:v>
      </x:c>
      <x:c r="C9" s="5" t="str">
        <x:v>Not extracted</x:v>
      </x:c>
      <x:c r="D9" s="5" t="str">
        <x:v>Not extracted</x:v>
      </x:c>
      <x:c r="E9" s="5" t="str">
        <x:v>Not extracted</x:v>
      </x:c>
      <x:c r="F9" s="5" t="str">
        <x:v>Not extracted</x:v>
      </x:c>
      <x:c r="G9" s="5" t="str">
        <x:v>Not extracted</x:v>
      </x:c>
      <x:c r="H9" s="5" t="str">
        <x:v>Not extracted</x:v>
      </x:c>
      <x:c r="I9" s="5" t="str">
        <x:v>Not extracted</x:v>
      </x:c>
      <x:c r="J9" s="5" t="str">
        <x:v>Not extracted</x:v>
      </x:c>
      <x:c r="K9" s="5" t="str">
        <x:v>Not extracted</x:v>
      </x:c>
      <x:c r="L9" s="5" t="str">
        <x:v>Not extracted</x:v>
      </x:c>
      <x:c r="M9" s="5" t="str">
        <x:v>Not extracted</x:v>
      </x:c>
      <x:c r="N9" s="5" t="str">
        <x:v>Not extracted</x:v>
      </x:c>
      <x:c r="O9" s="5" t="str">
        <x:v>Not extracted</x:v>
      </x:c>
      <x:c r="P9" s="5" t="str">
        <x:v>Not extracted</x:v>
      </x:c>
      <x:c r="Q9" s="5" t="str">
        <x:v>Not extracted</x:v>
      </x:c>
      <x:c r="R9" s="5" t="str">
        <x:v>Not extracted</x:v>
      </x:c>
      <x:c r="S9" s="5" t="str">
        <x:v>Not extracted</x:v>
      </x:c>
      <x:c r="T9" s="5" t="str">
        <x:v>Not assigned</x:v>
      </x:c>
      <x:c r="U9" s="8"/>
    </x:row>
    <x:row r="10" ht="40" customHeight="1">
      <x:c r="A10" s="5" t="str">
        <x:v>B03</x:v>
      </x:c>
      <x:c r="B10" s="5" t="str">
        <x:v>Not extracted</x:v>
      </x:c>
      <x:c r="C10" s="5" t="str">
        <x:v>Not extracted</x:v>
      </x:c>
      <x:c r="D10" s="5" t="str">
        <x:v>Not extracted</x:v>
      </x:c>
      <x:c r="E10" s="5" t="str">
        <x:v>Not extracted</x:v>
      </x:c>
      <x:c r="F10" s="5" t="str">
        <x:v>Not extracted</x:v>
      </x:c>
      <x:c r="G10" s="5" t="str">
        <x:v>Not extracted</x:v>
      </x:c>
      <x:c r="H10" s="5" t="str">
        <x:v>Not extracted</x:v>
      </x:c>
      <x:c r="I10" s="5" t="str">
        <x:v>Not extracted</x:v>
      </x:c>
      <x:c r="J10" s="5" t="str">
        <x:v>Not extracted</x:v>
      </x:c>
      <x:c r="K10" s="5" t="str">
        <x:v>Not extracted</x:v>
      </x:c>
      <x:c r="L10" s="5" t="str">
        <x:v>Not extracted</x:v>
      </x:c>
      <x:c r="M10" s="5" t="str">
        <x:v>Not extracted</x:v>
      </x:c>
      <x:c r="N10" s="5" t="str">
        <x:v>Not extracted</x:v>
      </x:c>
      <x:c r="O10" s="5" t="str">
        <x:v>Not extracted</x:v>
      </x:c>
      <x:c r="P10" s="5" t="str">
        <x:v>Not extracted</x:v>
      </x:c>
      <x:c r="Q10" s="5" t="str">
        <x:v>Not extracted</x:v>
      </x:c>
      <x:c r="R10" s="5" t="str">
        <x:v>Not extracted</x:v>
      </x:c>
      <x:c r="S10" s="5" t="str">
        <x:v>Not extracted</x:v>
      </x:c>
      <x:c r="T10" s="5" t="str">
        <x:v>Not assigned</x:v>
      </x:c>
      <x:c r="U10" s="8"/>
    </x:row>
    <x:row r="11" ht="40" customHeight="1">
      <x:c r="A11" s="5" t="str">
        <x:v>B04</x:v>
      </x:c>
      <x:c r="B11" s="5" t="str">
        <x:v>Not extracted</x:v>
      </x:c>
      <x:c r="C11" s="5" t="str">
        <x:v>Not extracted</x:v>
      </x:c>
      <x:c r="D11" s="5" t="str">
        <x:v>Not extracted</x:v>
      </x:c>
      <x:c r="E11" s="5" t="str">
        <x:v>Not extracted</x:v>
      </x:c>
      <x:c r="F11" s="5" t="str">
        <x:v>Not extracted</x:v>
      </x:c>
      <x:c r="G11" s="5" t="str">
        <x:v>Not extracted</x:v>
      </x:c>
      <x:c r="H11" s="5" t="str">
        <x:v>Not extracted</x:v>
      </x:c>
      <x:c r="I11" s="5" t="str">
        <x:v>Not extracted</x:v>
      </x:c>
      <x:c r="J11" s="5" t="str">
        <x:v>Not extracted</x:v>
      </x:c>
      <x:c r="K11" s="5" t="str">
        <x:v>Not extracted</x:v>
      </x:c>
      <x:c r="L11" s="5" t="str">
        <x:v>Not extracted</x:v>
      </x:c>
      <x:c r="M11" s="5" t="str">
        <x:v>Not extracted</x:v>
      </x:c>
      <x:c r="N11" s="5" t="str">
        <x:v>Not extracted</x:v>
      </x:c>
      <x:c r="O11" s="5" t="str">
        <x:v>Not extracted</x:v>
      </x:c>
      <x:c r="P11" s="5" t="str">
        <x:v>Not extracted</x:v>
      </x:c>
      <x:c r="Q11" s="5" t="str">
        <x:v>Not extracted</x:v>
      </x:c>
      <x:c r="R11" s="5" t="str">
        <x:v>Not extracted</x:v>
      </x:c>
      <x:c r="S11" s="5" t="str">
        <x:v>Not extracted</x:v>
      </x:c>
      <x:c r="T11" s="5" t="str">
        <x:v>Not assigned</x:v>
      </x:c>
      <x:c r="U11" s="8"/>
    </x:row>
    <x:row r="12" ht="40" customHeight="1">
      <x:c r="A12" s="5" t="str">
        <x:v>B05</x:v>
      </x:c>
      <x:c r="B12" s="5" t="str">
        <x:v>Not extracted</x:v>
      </x:c>
      <x:c r="C12" s="5" t="str">
        <x:v>Not extracted</x:v>
      </x:c>
      <x:c r="D12" s="5" t="str">
        <x:v>Not extracted</x:v>
      </x:c>
      <x:c r="E12" s="5" t="str">
        <x:v>Not extracted</x:v>
      </x:c>
      <x:c r="F12" s="5" t="str">
        <x:v>Not extracted</x:v>
      </x:c>
      <x:c r="G12" s="5" t="str">
        <x:v>Not extracted</x:v>
      </x:c>
      <x:c r="H12" s="5" t="str">
        <x:v>Not extracted</x:v>
      </x:c>
      <x:c r="I12" s="5" t="str">
        <x:v>Not extracted</x:v>
      </x:c>
      <x:c r="J12" s="5" t="str">
        <x:v>Not extracted</x:v>
      </x:c>
      <x:c r="K12" s="5" t="str">
        <x:v>Not extracted</x:v>
      </x:c>
      <x:c r="L12" s="5" t="str">
        <x:v>Not extracted</x:v>
      </x:c>
      <x:c r="M12" s="5" t="str">
        <x:v>Not extracted</x:v>
      </x:c>
      <x:c r="N12" s="5" t="str">
        <x:v>Not extracted</x:v>
      </x:c>
      <x:c r="O12" s="5" t="str">
        <x:v>Not extracted</x:v>
      </x:c>
      <x:c r="P12" s="5" t="str">
        <x:v>Not extracted</x:v>
      </x:c>
      <x:c r="Q12" s="5" t="str">
        <x:v>Not extracted</x:v>
      </x:c>
      <x:c r="R12" s="5" t="str">
        <x:v>Not extracted</x:v>
      </x:c>
      <x:c r="S12" s="5" t="str">
        <x:v>Not extracted</x:v>
      </x:c>
      <x:c r="T12" s="5" t="str">
        <x:v>Not assigned</x:v>
      </x:c>
      <x:c r="U12" s="8"/>
    </x:row>
    <x:row r="13" ht="40" customHeight="1">
      <x:c r="A13" s="5" t="str">
        <x:v>F01</x:v>
      </x:c>
      <x:c r="B13" s="5" t="str">
        <x:v>Not extracted</x:v>
      </x:c>
      <x:c r="C13" s="5" t="str">
        <x:v>Not extracted</x:v>
      </x:c>
      <x:c r="D13" s="5" t="str">
        <x:v>Not extracted</x:v>
      </x:c>
      <x:c r="E13" s="5" t="str">
        <x:v>Not extracted</x:v>
      </x:c>
      <x:c r="F13" s="5" t="str">
        <x:v>Not extracted</x:v>
      </x:c>
      <x:c r="G13" s="5" t="str">
        <x:v>Not extracted</x:v>
      </x:c>
      <x:c r="H13" s="5" t="str">
        <x:v>Not extracted</x:v>
      </x:c>
      <x:c r="I13" s="5" t="str">
        <x:v>Not extracted</x:v>
      </x:c>
      <x:c r="J13" s="5" t="str">
        <x:v>Not extracted</x:v>
      </x:c>
      <x:c r="K13" s="5" t="str">
        <x:v>Not extracted</x:v>
      </x:c>
      <x:c r="L13" s="5" t="str">
        <x:v>Not extracted</x:v>
      </x:c>
      <x:c r="M13" s="5" t="str">
        <x:v>Not extracted</x:v>
      </x:c>
      <x:c r="N13" s="5" t="str">
        <x:v>Not extracted</x:v>
      </x:c>
      <x:c r="O13" s="5" t="str">
        <x:v>Not extracted</x:v>
      </x:c>
      <x:c r="P13" s="5" t="str">
        <x:v>Not extracted</x:v>
      </x:c>
      <x:c r="Q13" s="5" t="str">
        <x:v>Not extracted</x:v>
      </x:c>
      <x:c r="R13" s="5" t="str">
        <x:v>Not extracted</x:v>
      </x:c>
      <x:c r="S13" s="5" t="str">
        <x:v>Not extracted</x:v>
      </x:c>
      <x:c r="T13" s="5" t="str">
        <x:v>Not assigned</x:v>
      </x:c>
      <x:c r="U13" s="8"/>
    </x:row>
    <x:row r="14" ht="40" customHeight="1">
      <x:c r="A14" s="5" t="str">
        <x:v>F02</x:v>
      </x:c>
      <x:c r="B14" s="5" t="str">
        <x:v>Not extracted</x:v>
      </x:c>
      <x:c r="C14" s="5" t="str">
        <x:v>Not extracted</x:v>
      </x:c>
      <x:c r="D14" s="5" t="str">
        <x:v>Not extracted</x:v>
      </x:c>
      <x:c r="E14" s="5" t="str">
        <x:v>Not extracted</x:v>
      </x:c>
      <x:c r="F14" s="5" t="str">
        <x:v>Not extracted</x:v>
      </x:c>
      <x:c r="G14" s="5" t="str">
        <x:v>Not extracted</x:v>
      </x:c>
      <x:c r="H14" s="5" t="str">
        <x:v>Not extracted</x:v>
      </x:c>
      <x:c r="I14" s="5" t="str">
        <x:v>Not extracted</x:v>
      </x:c>
      <x:c r="J14" s="5" t="str">
        <x:v>Not extracted</x:v>
      </x:c>
      <x:c r="K14" s="5" t="str">
        <x:v>Not extracted</x:v>
      </x:c>
      <x:c r="L14" s="5" t="str">
        <x:v>Not extracted</x:v>
      </x:c>
      <x:c r="M14" s="5" t="str">
        <x:v>Not extracted</x:v>
      </x:c>
      <x:c r="N14" s="5" t="str">
        <x:v>Not extracted</x:v>
      </x:c>
      <x:c r="O14" s="5" t="str">
        <x:v>Not extracted</x:v>
      </x:c>
      <x:c r="P14" s="5" t="str">
        <x:v>Not extracted</x:v>
      </x:c>
      <x:c r="Q14" s="5" t="str">
        <x:v>Not extracted</x:v>
      </x:c>
      <x:c r="R14" s="5" t="str">
        <x:v>Not extracted</x:v>
      </x:c>
      <x:c r="S14" s="5" t="str">
        <x:v>Not extracted</x:v>
      </x:c>
      <x:c r="T14" s="5" t="str">
        <x:v>Not assigned</x:v>
      </x:c>
      <x:c r="U14" s="8"/>
    </x:row>
    <x:row r="15" ht="40" customHeight="1">
      <x:c r="A15" s="5" t="str">
        <x:v>F03</x:v>
      </x:c>
      <x:c r="B15" s="5" t="str">
        <x:v>Not extracted</x:v>
      </x:c>
      <x:c r="C15" s="5" t="str">
        <x:v>Not extracted</x:v>
      </x:c>
      <x:c r="D15" s="5" t="str">
        <x:v>Not extracted</x:v>
      </x:c>
      <x:c r="E15" s="5" t="str">
        <x:v>Not extracted</x:v>
      </x:c>
      <x:c r="F15" s="5" t="str">
        <x:v>Not extracted</x:v>
      </x:c>
      <x:c r="G15" s="5" t="str">
        <x:v>Not extracted</x:v>
      </x:c>
      <x:c r="H15" s="5" t="str">
        <x:v>Not extracted</x:v>
      </x:c>
      <x:c r="I15" s="5" t="str">
        <x:v>Not extracted</x:v>
      </x:c>
      <x:c r="J15" s="5" t="str">
        <x:v>Not extracted</x:v>
      </x:c>
      <x:c r="K15" s="5" t="str">
        <x:v>Not extracted</x:v>
      </x:c>
      <x:c r="L15" s="5" t="str">
        <x:v>Not extracted</x:v>
      </x:c>
      <x:c r="M15" s="5" t="str">
        <x:v>Not extracted</x:v>
      </x:c>
      <x:c r="N15" s="5" t="str">
        <x:v>Not extracted</x:v>
      </x:c>
      <x:c r="O15" s="5" t="str">
        <x:v>Not extracted</x:v>
      </x:c>
      <x:c r="P15" s="5" t="str">
        <x:v>Not extracted</x:v>
      </x:c>
      <x:c r="Q15" s="5" t="str">
        <x:v>Not extracted</x:v>
      </x:c>
      <x:c r="R15" s="5" t="str">
        <x:v>Not extracted</x:v>
      </x:c>
      <x:c r="S15" s="5" t="str">
        <x:v>Not extracted</x:v>
      </x:c>
      <x:c r="T15" s="5" t="str">
        <x:v>Not assigned</x:v>
      </x:c>
      <x:c r="U15" s="8"/>
    </x:row>
    <x:row r="16" ht="53" customHeight="1">
      <x:c r="A16" s="5" t="str">
        <x:v>P01</x:v>
      </x:c>
      <x:c r="B16" s="5" t="str">
        <x:v>Pilot section extraction</x:v>
      </x:c>
      <x:c r="C16" s="5" t="str">
        <x:v>Industrial corrosion</x:v>
      </x:c>
      <x:c r="D16" s="5" t="str">
        <x:v>RGB</x:v>
      </x:c>
      <x:c r="E16" s="5" t="str">
        <x:v>Pixel segmentation</x:v>
      </x:c>
      <x:c r="F16" s="5" t="str">
        <x:v>Novel imagery</x:v>
      </x:c>
      <x:c r="G16" s="5" t="str">
        <x:v>225 source images; 14 novel images</x:v>
      </x:c>
      <x:c r="H16" s="5" t="str">
        <x:v>Bayesian variants</x:v>
      </x:c>
      <x:c r="I16" s="5" t="str">
        <x:v>10-fold training</x:v>
      </x:c>
      <x:c r="J16" s="5" t="str">
        <x:v>Not extracted</x:v>
      </x:c>
      <x:c r="K16" s="5" t="str">
        <x:v>Novel images evaluated</x:v>
      </x:c>
      <x:c r="L16" s="5" t="str">
        <x:v>Pixels / images</x:v>
      </x:c>
      <x:c r="M16" s="5" t="str">
        <x:v>F1, mIoU; sparsity</x:v>
      </x:c>
      <x:c r="N16" s="5" t="str">
        <x:v>Uncertainty-adjusted thresholds; pixel removal</x:v>
      </x:c>
      <x:c r="O16" s="5" t="str">
        <x:v>Pixel removal investigated</x:v>
      </x:c>
      <x:c r="P16" s="5" t="str">
        <x:v>Not extracted</x:v>
      </x:c>
      <x:c r="Q16" s="5" t="str">
        <x:v>Retrospective industrial and novel images</x:v>
      </x:c>
      <x:c r="R16" s="5" t="str">
        <x:v>Uncertainty and selective pixel analysis predate this programme.</x:v>
      </x:c>
      <x:c r="S16" s="5" t="str">
        <x:v>Methods; Results; sparsity plots</x:v>
      </x:c>
      <x:c r="T16" s="5" t="str">
        <x:v>AI-assisted pilot; human audit pending</x:v>
      </x:c>
      <x:c r="U16" s="8" t="d">
        <x:v>2026-10-13T00:00:00.000Z</x:v>
      </x:c>
    </x:row>
    <x:row r="17" ht="53" customHeight="1">
      <x:c r="A17" s="5" t="str">
        <x:v>P02</x:v>
      </x:c>
      <x:c r="B17" s="5" t="str">
        <x:v>Pilot section extraction</x:v>
      </x:c>
      <x:c r="C17" s="5" t="str">
        <x:v>Industrial / general benchmarks</x:v>
      </x:c>
      <x:c r="D17" s="5" t="str">
        <x:v>RGB</x:v>
      </x:c>
      <x:c r="E17" s="5" t="str">
        <x:v>Anomaly detection</x:v>
      </x:c>
      <x:c r="F17" s="5" t="str">
        <x:v>Corrupted acquisition</x:v>
      </x:c>
      <x:c r="G17" s="5" t="str">
        <x:v>MVTec and OOD benchmarks</x:v>
      </x:c>
      <x:c r="H17" s="5" t="str">
        <x:v>Generalised normality learning</x:v>
      </x:c>
      <x:c r="I17" s="5" t="str">
        <x:v>Source normal images</x:v>
      </x:c>
      <x:c r="J17" s="5" t="str">
        <x:v>Not extracted</x:v>
      </x:c>
      <x:c r="K17" s="5" t="str">
        <x:v>No OOD training data in stated problem</x:v>
      </x:c>
      <x:c r="L17" s="5" t="str">
        <x:v>Images</x:v>
      </x:c>
      <x:c r="M17" s="5" t="str">
        <x:v>AUROC</x:v>
      </x:c>
      <x:c r="N17" s="5" t="str">
        <x:v>Not extracted</x:v>
      </x:c>
      <x:c r="O17" s="5" t="str">
        <x:v>Not extracted</x:v>
      </x:c>
      <x:c r="P17" s="5" t="str">
        <x:v>Not extracted</x:v>
      </x:c>
      <x:c r="Q17" s="5" t="str">
        <x:v>Benchmark / controlled shifts</x:v>
      </x:c>
      <x:c r="R17" s="5" t="str">
        <x:v>Ranking robustness is distinct from decision-risk calibration.</x:v>
      </x:c>
      <x:c r="S17" s="5" t="str">
        <x:v>Problem formulation; experimental settings</x:v>
      </x:c>
      <x:c r="T17" s="5" t="str">
        <x:v>AI-assisted pilot; human audit pending</x:v>
      </x:c>
      <x:c r="U17" s="8" t="d">
        <x:v>2026-10-13T00:00:00.000Z</x:v>
      </x:c>
    </x:row>
    <x:row r="18" ht="40" customHeight="1">
      <x:c r="A18" s="5" t="str">
        <x:v>P03</x:v>
      </x:c>
      <x:c r="B18" s="5" t="str">
        <x:v>Pilot section extraction</x:v>
      </x:c>
      <x:c r="C18" s="5" t="str">
        <x:v>Solar receivers</x:v>
      </x:c>
      <x:c r="D18" s="5" t="str">
        <x:v>Thermal</x:v>
      </x:c>
      <x:c r="E18" s="5" t="str">
        <x:v>Anomaly detection</x:v>
      </x:c>
      <x:c r="F18" s="5" t="str">
        <x:v>Two plants / deployment</x:v>
      </x:c>
      <x:c r="G18" s="5" t="str">
        <x:v>Confidential CSP imagery</x:v>
      </x:c>
      <x:c r="H18" s="5" t="str">
        <x:v>Density forecasting; xLTT</x:v>
      </x:c>
      <x:c r="I18" s="5" t="str">
        <x:v>Predominantly normal data</x:v>
      </x:c>
      <x:c r="J18" s="5" t="str">
        <x:v>Labelled validation, calibration, test</x:v>
      </x:c>
      <x:c r="K18" s="5" t="str">
        <x:v>Plant configurations evaluated</x:v>
      </x:c>
      <x:c r="L18" s="5" t="str">
        <x:v>Images / temporal sequences</x:v>
      </x:c>
      <x:c r="M18" s="5" t="str">
        <x:v>FPR and 1-F1; AUROC/AUPR</x:v>
      </x:c>
      <x:c r="N18" s="5" t="str">
        <x:v>Paired thresholds and abstention</x:v>
      </x:c>
      <x:c r="O18" s="5" t="str">
        <x:v>Abstention rate</x:v>
      </x:c>
      <x:c r="P18" s="5" t="str">
        <x:v>Finite-sample risk framework</x:v>
      </x:c>
      <x:c r="Q18" s="5" t="str">
        <x:v>Operational deployment evidence reported</x:v>
      </x:c>
      <x:c r="R18" s="5" t="str">
        <x:v>A close energy-inspection risk-control precedent.</x:v>
      </x:c>
      <x:c r="S18" s="5" t="str">
        <x:v>Sections 3, 4, 6 and 7</x:v>
      </x:c>
      <x:c r="T18" s="5" t="str">
        <x:v>AI-assisted pilot; human audit pending</x:v>
      </x:c>
      <x:c r="U18" s="8" t="d">
        <x:v>2026-10-13T00:00:00.000Z</x:v>
      </x:c>
    </x:row>
    <x:row r="19" ht="40" customHeight="1">
      <x:c r="A19" s="5" t="str">
        <x:v>P04</x:v>
      </x:c>
      <x:c r="B19" s="5" t="str">
        <x:v>Not extracted</x:v>
      </x:c>
      <x:c r="C19" s="5" t="str">
        <x:v>Not extracted</x:v>
      </x:c>
      <x:c r="D19" s="5" t="str">
        <x:v>Not extracted</x:v>
      </x:c>
      <x:c r="E19" s="5" t="str">
        <x:v>Not extracted</x:v>
      </x:c>
      <x:c r="F19" s="5" t="str">
        <x:v>Not extracted</x:v>
      </x:c>
      <x:c r="G19" s="5" t="str">
        <x:v>Not extracted</x:v>
      </x:c>
      <x:c r="H19" s="5" t="str">
        <x:v>Not extracted</x:v>
      </x:c>
      <x:c r="I19" s="5" t="str">
        <x:v>Not extracted</x:v>
      </x:c>
      <x:c r="J19" s="5" t="str">
        <x:v>Not extracted</x:v>
      </x:c>
      <x:c r="K19" s="5" t="str">
        <x:v>Not extracted</x:v>
      </x:c>
      <x:c r="L19" s="5" t="str">
        <x:v>Not extracted</x:v>
      </x:c>
      <x:c r="M19" s="5" t="str">
        <x:v>Not extracted</x:v>
      </x:c>
      <x:c r="N19" s="5" t="str">
        <x:v>Not extracted</x:v>
      </x:c>
      <x:c r="O19" s="5" t="str">
        <x:v>Not extracted</x:v>
      </x:c>
      <x:c r="P19" s="5" t="str">
        <x:v>Not extracted</x:v>
      </x:c>
      <x:c r="Q19" s="5" t="str">
        <x:v>Not extracted</x:v>
      </x:c>
      <x:c r="R19" s="5" t="str">
        <x:v>Not extracted</x:v>
      </x:c>
      <x:c r="S19" s="5" t="str">
        <x:v>Not extracted</x:v>
      </x:c>
      <x:c r="T19" s="5" t="str">
        <x:v>Not assigned</x:v>
      </x:c>
      <x:c r="U19" s="8"/>
    </x:row>
    <x:row r="20" ht="40" customHeight="1">
      <x:c r="A20" s="5" t="str">
        <x:v>P05</x:v>
      </x:c>
      <x:c r="B20" s="5" t="str">
        <x:v>Not extracted</x:v>
      </x:c>
      <x:c r="C20" s="5" t="str">
        <x:v>Not extracted</x:v>
      </x:c>
      <x:c r="D20" s="5" t="str">
        <x:v>Not extracted</x:v>
      </x:c>
      <x:c r="E20" s="5" t="str">
        <x:v>Not extracted</x:v>
      </x:c>
      <x:c r="F20" s="5" t="str">
        <x:v>Not extracted</x:v>
      </x:c>
      <x:c r="G20" s="5" t="str">
        <x:v>Not extracted</x:v>
      </x:c>
      <x:c r="H20" s="5" t="str">
        <x:v>Not extracted</x:v>
      </x:c>
      <x:c r="I20" s="5" t="str">
        <x:v>Not extracted</x:v>
      </x:c>
      <x:c r="J20" s="5" t="str">
        <x:v>Not extracted</x:v>
      </x:c>
      <x:c r="K20" s="5" t="str">
        <x:v>Not extracted</x:v>
      </x:c>
      <x:c r="L20" s="5" t="str">
        <x:v>Not extracted</x:v>
      </x:c>
      <x:c r="M20" s="5" t="str">
        <x:v>Not extracted</x:v>
      </x:c>
      <x:c r="N20" s="5" t="str">
        <x:v>Not extracted</x:v>
      </x:c>
      <x:c r="O20" s="5" t="str">
        <x:v>Not extracted</x:v>
      </x:c>
      <x:c r="P20" s="5" t="str">
        <x:v>Not extracted</x:v>
      </x:c>
      <x:c r="Q20" s="5" t="str">
        <x:v>Not extracted</x:v>
      </x:c>
      <x:c r="R20" s="5" t="str">
        <x:v>Not extracted</x:v>
      </x:c>
      <x:c r="S20" s="5" t="str">
        <x:v>Not extracted</x:v>
      </x:c>
      <x:c r="T20" s="5" t="str">
        <x:v>Not assigned</x:v>
      </x:c>
      <x:c r="U20" s="8"/>
    </x:row>
    <x:row r="21" ht="53" customHeight="1">
      <x:c r="A21" s="5" t="str">
        <x:v>P06</x:v>
      </x:c>
      <x:c r="B21" s="5" t="str">
        <x:v>Pilot section extraction</x:v>
      </x:c>
      <x:c r="C21" s="5" t="str">
        <x:v>Industrial benchmarks</x:v>
      </x:c>
      <x:c r="D21" s="5" t="str">
        <x:v>RGB</x:v>
      </x:c>
      <x:c r="E21" s="5" t="str">
        <x:v>Detection / localisation</x:v>
      </x:c>
      <x:c r="F21" s="5" t="str">
        <x:v>Acquisition shifts</x:v>
      </x:c>
      <x:c r="G21" s="5" t="str">
        <x:v>AD2; AeBAD-S; VisA; RAD</x:v>
      </x:c>
      <x:c r="H21" s="5" t="str">
        <x:v>Per-cell subspace correction</x:v>
      </x:c>
      <x:c r="I21" s="5" t="str">
        <x:v>Frozen source detector</x:v>
      </x:c>
      <x:c r="J21" s="5" t="str">
        <x:v>2/4/8 verified-normal target images</x:v>
      </x:c>
      <x:c r="K21" s="5" t="str">
        <x:v>Support removed from evaluation</x:v>
      </x:c>
      <x:c r="L21" s="5" t="str">
        <x:v>Images / pixels</x:v>
      </x:c>
      <x:c r="M21" s="5" t="str">
        <x:v>Image AUROC; AU-PRO</x:v>
      </x:c>
      <x:c r="N21" s="5" t="str">
        <x:v>No decision policy extracted</x:v>
      </x:c>
      <x:c r="O21" s="5" t="str">
        <x:v>Not extracted</x:v>
      </x:c>
      <x:c r="P21" s="5" t="str">
        <x:v>Five random seeds</x:v>
      </x:c>
      <x:c r="Q21" s="5" t="str">
        <x:v>Benchmark / acquisition shifts</x:v>
      </x:c>
      <x:c r="R21" s="5" t="str">
        <x:v>Feature calibration is not calibrated accepted-case risk.</x:v>
      </x:c>
      <x:c r="S21" s="5" t="str">
        <x:v>Calibration protocol; metrics; ablations</x:v>
      </x:c>
      <x:c r="T21" s="5" t="str">
        <x:v>AI-assisted pilot; human audit pending</x:v>
      </x:c>
      <x:c r="U21" s="8" t="d">
        <x:v>2026-10-13T00:00:00.000Z</x:v>
      </x:c>
    </x:row>
    <x:row r="22" ht="40" customHeight="1">
      <x:c r="A22" s="5" t="str">
        <x:v>P07</x:v>
      </x:c>
      <x:c r="B22" s="5" t="str">
        <x:v>Pilot section extraction</x:v>
      </x:c>
      <x:c r="C22" s="5" t="str">
        <x:v>Industrial benchmarks</x:v>
      </x:c>
      <x:c r="D22" s="5" t="str">
        <x:v>RGB</x:v>
      </x:c>
      <x:c r="E22" s="5" t="str">
        <x:v>Detection / localisation</x:v>
      </x:c>
      <x:c r="F22" s="5" t="str">
        <x:v>Acquisition shifts</x:v>
      </x:c>
      <x:c r="G22" s="5" t="str">
        <x:v>AeBAD-S; MVTec; VisA</x:v>
      </x:c>
      <x:c r="H22" s="5" t="str">
        <x:v>Nuisance-filtered features</x:v>
      </x:c>
      <x:c r="I22" s="5" t="str">
        <x:v>Not extracted</x:v>
      </x:c>
      <x:c r="J22" s="5" t="str">
        <x:v>Not extracted</x:v>
      </x:c>
      <x:c r="K22" s="5" t="str">
        <x:v>No target data in stated design</x:v>
      </x:c>
      <x:c r="L22" s="5" t="str">
        <x:v>Images / pixels</x:v>
      </x:c>
      <x:c r="M22" s="5" t="str">
        <x:v>I/P AUROC; AUPRO</x:v>
      </x:c>
      <x:c r="N22" s="5" t="str">
        <x:v>Not extracted</x:v>
      </x:c>
      <x:c r="O22" s="5" t="str">
        <x:v>Not extracted</x:v>
      </x:c>
      <x:c r="P22" s="5" t="str">
        <x:v>Not extracted</x:v>
      </x:c>
      <x:c r="Q22" s="5" t="str">
        <x:v>Benchmark evidence</x:v>
      </x:c>
      <x:c r="R22" s="5" t="str">
        <x:v>Nuisance filtering is existing work.</x:v>
      </x:c>
      <x:c r="S22" s="5" t="str">
        <x:v>Method and benchmark sections</x:v>
      </x:c>
      <x:c r="T22" s="5" t="str">
        <x:v>AI-assisted pilot; human audit pending</x:v>
      </x:c>
      <x:c r="U22" s="8" t="d">
        <x:v>2026-10-13T00:00:00.000Z</x:v>
      </x:c>
    </x:row>
    <x:row r="23" ht="40" customHeight="1">
      <x:c r="A23" s="5" t="str">
        <x:v>P08</x:v>
      </x:c>
      <x:c r="B23" s="5" t="str">
        <x:v>Not extracted</x:v>
      </x:c>
      <x:c r="C23" s="5" t="str">
        <x:v>Not extracted</x:v>
      </x:c>
      <x:c r="D23" s="5" t="str">
        <x:v>Not extracted</x:v>
      </x:c>
      <x:c r="E23" s="5" t="str">
        <x:v>Not extracted</x:v>
      </x:c>
      <x:c r="F23" s="5" t="str">
        <x:v>Not extracted</x:v>
      </x:c>
      <x:c r="G23" s="5" t="str">
        <x:v>Not extracted</x:v>
      </x:c>
      <x:c r="H23" s="5" t="str">
        <x:v>Not extracted</x:v>
      </x:c>
      <x:c r="I23" s="5" t="str">
        <x:v>Not extracted</x:v>
      </x:c>
      <x:c r="J23" s="5" t="str">
        <x:v>Not extracted</x:v>
      </x:c>
      <x:c r="K23" s="5" t="str">
        <x:v>Not extracted</x:v>
      </x:c>
      <x:c r="L23" s="5" t="str">
        <x:v>Not extracted</x:v>
      </x:c>
      <x:c r="M23" s="5" t="str">
        <x:v>Not extracted</x:v>
      </x:c>
      <x:c r="N23" s="5" t="str">
        <x:v>Not extracted</x:v>
      </x:c>
      <x:c r="O23" s="5" t="str">
        <x:v>Not extracted</x:v>
      </x:c>
      <x:c r="P23" s="5" t="str">
        <x:v>Not extracted</x:v>
      </x:c>
      <x:c r="Q23" s="5" t="str">
        <x:v>Not extracted</x:v>
      </x:c>
      <x:c r="R23" s="5" t="str">
        <x:v>Not extracted</x:v>
      </x:c>
      <x:c r="S23" s="5" t="str">
        <x:v>Not extracted</x:v>
      </x:c>
      <x:c r="T23" s="5" t="str">
        <x:v>Not assigned</x:v>
      </x:c>
      <x:c r="U23" s="8"/>
    </x:row>
    <x:row r="24" ht="53" customHeight="1">
      <x:c r="A24" s="5" t="str">
        <x:v>P09</x:v>
      </x:c>
      <x:c r="B24" s="5" t="str">
        <x:v>Pilot section extraction</x:v>
      </x:c>
      <x:c r="C24" s="5" t="str">
        <x:v>Industrial defect imagery</x:v>
      </x:c>
      <x:c r="D24" s="5" t="str">
        <x:v>RGB</x:v>
      </x:c>
      <x:c r="E24" s="5" t="str">
        <x:v>Selective restoration</x:v>
      </x:c>
      <x:c r="F24" s="5" t="str">
        <x:v>Reserved morphologies</x:v>
      </x:c>
      <x:c r="G24" s="5" t="str">
        <x:v>Carinthia-S; KolektorSDD</x:v>
      </x:c>
      <x:c r="H24" s="5" t="str">
        <x:v>Selective actions / certification</x:v>
      </x:c>
      <x:c r="I24" s="5" t="str">
        <x:v>Not extracted</x:v>
      </x:c>
      <x:c r="J24" s="5" t="str">
        <x:v>Disjoint gate tuning and certification</x:v>
      </x:c>
      <x:c r="K24" s="5" t="str">
        <x:v>Not extracted</x:v>
      </x:c>
      <x:c r="L24" s="5" t="str">
        <x:v>Images</x:v>
      </x:c>
      <x:c r="M24" s="5" t="str">
        <x:v>Detector-relative incident risks</x:v>
      </x:c>
      <x:c r="N24" s="5" t="str">
        <x:v>Fixed gate, restoration candidates and review</x:v>
      </x:c>
      <x:c r="O24" s="5" t="str">
        <x:v>Coverage</x:v>
      </x:c>
      <x:c r="P24" s="5" t="str">
        <x:v>One-sided exact binomial bounds</x:v>
      </x:c>
      <x:c r="Q24" s="5" t="str">
        <x:v>Retrospective split-sample</x:v>
      </x:c>
      <x:c r="R24" s="5" t="str">
        <x:v>Certification is relative to a detector and specified risk.</x:v>
      </x:c>
      <x:c r="S24" s="5" t="str">
        <x:v>Abstract and certification design</x:v>
      </x:c>
      <x:c r="T24" s="5" t="str">
        <x:v>AI-assisted pilot; human audit pending</x:v>
      </x:c>
      <x:c r="U24" s="8" t="d">
        <x:v>2026-10-13T00:00:00.000Z</x:v>
      </x:c>
    </x:row>
    <x:row r="25" ht="40" customHeight="1">
      <x:c r="A25" s="5" t="str">
        <x:v>P10</x:v>
      </x:c>
      <x:c r="B25" s="5" t="str">
        <x:v>Not extracted</x:v>
      </x:c>
      <x:c r="C25" s="5" t="str">
        <x:v>Not extracted</x:v>
      </x:c>
      <x:c r="D25" s="5" t="str">
        <x:v>Not extracted</x:v>
      </x:c>
      <x:c r="E25" s="5" t="str">
        <x:v>Not extracted</x:v>
      </x:c>
      <x:c r="F25" s="5" t="str">
        <x:v>Not extracted</x:v>
      </x:c>
      <x:c r="G25" s="5" t="str">
        <x:v>Not extracted</x:v>
      </x:c>
      <x:c r="H25" s="5" t="str">
        <x:v>Not extracted</x:v>
      </x:c>
      <x:c r="I25" s="5" t="str">
        <x:v>Not extracted</x:v>
      </x:c>
      <x:c r="J25" s="5" t="str">
        <x:v>Not extracted</x:v>
      </x:c>
      <x:c r="K25" s="5" t="str">
        <x:v>Not extracted</x:v>
      </x:c>
      <x:c r="L25" s="5" t="str">
        <x:v>Not extracted</x:v>
      </x:c>
      <x:c r="M25" s="5" t="str">
        <x:v>Not extracted</x:v>
      </x:c>
      <x:c r="N25" s="5" t="str">
        <x:v>Not extracted</x:v>
      </x:c>
      <x:c r="O25" s="5" t="str">
        <x:v>Not extracted</x:v>
      </x:c>
      <x:c r="P25" s="5" t="str">
        <x:v>Not extracted</x:v>
      </x:c>
      <x:c r="Q25" s="5" t="str">
        <x:v>Not extracted</x:v>
      </x:c>
      <x:c r="R25" s="5" t="str">
        <x:v>Not extracted</x:v>
      </x:c>
      <x:c r="S25" s="5" t="str">
        <x:v>Not extracted</x:v>
      </x:c>
      <x:c r="T25" s="5" t="str">
        <x:v>Not assigned</x:v>
      </x:c>
      <x:c r="U25" s="8"/>
    </x:row>
    <x:row r="26" ht="40" customHeight="1">
      <x:c r="A26" s="5" t="str">
        <x:v>P11</x:v>
      </x:c>
      <x:c r="B26" s="5" t="str">
        <x:v>Not extracted</x:v>
      </x:c>
      <x:c r="C26" s="5" t="str">
        <x:v>Not extracted</x:v>
      </x:c>
      <x:c r="D26" s="5" t="str">
        <x:v>Not extracted</x:v>
      </x:c>
      <x:c r="E26" s="5" t="str">
        <x:v>Not extracted</x:v>
      </x:c>
      <x:c r="F26" s="5" t="str">
        <x:v>Not extracted</x:v>
      </x:c>
      <x:c r="G26" s="5" t="str">
        <x:v>Not extracted</x:v>
      </x:c>
      <x:c r="H26" s="5" t="str">
        <x:v>Not extracted</x:v>
      </x:c>
      <x:c r="I26" s="5" t="str">
        <x:v>Not extracted</x:v>
      </x:c>
      <x:c r="J26" s="5" t="str">
        <x:v>Not extracted</x:v>
      </x:c>
      <x:c r="K26" s="5" t="str">
        <x:v>Not extracted</x:v>
      </x:c>
      <x:c r="L26" s="5" t="str">
        <x:v>Not extracted</x:v>
      </x:c>
      <x:c r="M26" s="5" t="str">
        <x:v>Not extracted</x:v>
      </x:c>
      <x:c r="N26" s="5" t="str">
        <x:v>Not extracted</x:v>
      </x:c>
      <x:c r="O26" s="5" t="str">
        <x:v>Not extracted</x:v>
      </x:c>
      <x:c r="P26" s="5" t="str">
        <x:v>Not extracted</x:v>
      </x:c>
      <x:c r="Q26" s="5" t="str">
        <x:v>Not extracted</x:v>
      </x:c>
      <x:c r="R26" s="5" t="str">
        <x:v>Not extracted</x:v>
      </x:c>
      <x:c r="S26" s="5" t="str">
        <x:v>Not extracted</x:v>
      </x:c>
      <x:c r="T26" s="5" t="str">
        <x:v>Not assigned</x:v>
      </x:c>
      <x:c r="U26" s="8"/>
    </x:row>
    <x:row r="27" ht="40" customHeight="1">
      <x:c r="A27" s="5" t="str">
        <x:v>P12</x:v>
      </x:c>
      <x:c r="B27" s="5" t="str">
        <x:v>Not extracted</x:v>
      </x:c>
      <x:c r="C27" s="5" t="str">
        <x:v>Not extracted</x:v>
      </x:c>
      <x:c r="D27" s="5" t="str">
        <x:v>Not extracted</x:v>
      </x:c>
      <x:c r="E27" s="5" t="str">
        <x:v>Not extracted</x:v>
      </x:c>
      <x:c r="F27" s="5" t="str">
        <x:v>Not extracted</x:v>
      </x:c>
      <x:c r="G27" s="5" t="str">
        <x:v>Not extracted</x:v>
      </x:c>
      <x:c r="H27" s="5" t="str">
        <x:v>Not extracted</x:v>
      </x:c>
      <x:c r="I27" s="5" t="str">
        <x:v>Not extracted</x:v>
      </x:c>
      <x:c r="J27" s="5" t="str">
        <x:v>Not extracted</x:v>
      </x:c>
      <x:c r="K27" s="5" t="str">
        <x:v>Not extracted</x:v>
      </x:c>
      <x:c r="L27" s="5" t="str">
        <x:v>Not extracted</x:v>
      </x:c>
      <x:c r="M27" s="5" t="str">
        <x:v>Not extracted</x:v>
      </x:c>
      <x:c r="N27" s="5" t="str">
        <x:v>Not extracted</x:v>
      </x:c>
      <x:c r="O27" s="5" t="str">
        <x:v>Not extracted</x:v>
      </x:c>
      <x:c r="P27" s="5" t="str">
        <x:v>Not extracted</x:v>
      </x:c>
      <x:c r="Q27" s="5" t="str">
        <x:v>Not extracted</x:v>
      </x:c>
      <x:c r="R27" s="5" t="str">
        <x:v>Not extracted</x:v>
      </x:c>
      <x:c r="S27" s="5" t="str">
        <x:v>Not extracted</x:v>
      </x:c>
      <x:c r="T27" s="5" t="str">
        <x:v>Not assigned</x:v>
      </x:c>
      <x:c r="U27" s="8"/>
    </x:row>
    <x:row r="28" ht="40" customHeight="1">
      <x:c r="A28" s="5" t="str">
        <x:v>R01</x:v>
      </x:c>
      <x:c r="B28" s="5" t="str">
        <x:v>Not extracted</x:v>
      </x:c>
      <x:c r="C28" s="5" t="str">
        <x:v>Not extracted</x:v>
      </x:c>
      <x:c r="D28" s="5" t="str">
        <x:v>Not extracted</x:v>
      </x:c>
      <x:c r="E28" s="5" t="str">
        <x:v>Not extracted</x:v>
      </x:c>
      <x:c r="F28" s="5" t="str">
        <x:v>Not extracted</x:v>
      </x:c>
      <x:c r="G28" s="5" t="str">
        <x:v>Not extracted</x:v>
      </x:c>
      <x:c r="H28" s="5" t="str">
        <x:v>Not extracted</x:v>
      </x:c>
      <x:c r="I28" s="5" t="str">
        <x:v>Not extracted</x:v>
      </x:c>
      <x:c r="J28" s="5" t="str">
        <x:v>Not extracted</x:v>
      </x:c>
      <x:c r="K28" s="5" t="str">
        <x:v>Not extracted</x:v>
      </x:c>
      <x:c r="L28" s="5" t="str">
        <x:v>Not extracted</x:v>
      </x:c>
      <x:c r="M28" s="5" t="str">
        <x:v>Not extracted</x:v>
      </x:c>
      <x:c r="N28" s="5" t="str">
        <x:v>Not extracted</x:v>
      </x:c>
      <x:c r="O28" s="5" t="str">
        <x:v>Not extracted</x:v>
      </x:c>
      <x:c r="P28" s="5" t="str">
        <x:v>Not extracted</x:v>
      </x:c>
      <x:c r="Q28" s="5" t="str">
        <x:v>Not extracted</x:v>
      </x:c>
      <x:c r="R28" s="5" t="str">
        <x:v>Not extracted</x:v>
      </x:c>
      <x:c r="S28" s="5" t="str">
        <x:v>Not extracted</x:v>
      </x:c>
      <x:c r="T28" s="5" t="str">
        <x:v>Not assigned</x:v>
      </x:c>
      <x:c r="U28" s="8"/>
    </x:row>
    <x:row r="29" ht="40" customHeight="1">
      <x:c r="A29" s="5" t="str">
        <x:v>R02</x:v>
      </x:c>
      <x:c r="B29" s="5" t="str">
        <x:v>Not extracted</x:v>
      </x:c>
      <x:c r="C29" s="5" t="str">
        <x:v>Not extracted</x:v>
      </x:c>
      <x:c r="D29" s="5" t="str">
        <x:v>Not extracted</x:v>
      </x:c>
      <x:c r="E29" s="5" t="str">
        <x:v>Not extracted</x:v>
      </x:c>
      <x:c r="F29" s="5" t="str">
        <x:v>Not extracted</x:v>
      </x:c>
      <x:c r="G29" s="5" t="str">
        <x:v>Not extracted</x:v>
      </x:c>
      <x:c r="H29" s="5" t="str">
        <x:v>Not extracted</x:v>
      </x:c>
      <x:c r="I29" s="5" t="str">
        <x:v>Not extracted</x:v>
      </x:c>
      <x:c r="J29" s="5" t="str">
        <x:v>Not extracted</x:v>
      </x:c>
      <x:c r="K29" s="5" t="str">
        <x:v>Not extracted</x:v>
      </x:c>
      <x:c r="L29" s="5" t="str">
        <x:v>Not extracted</x:v>
      </x:c>
      <x:c r="M29" s="5" t="str">
        <x:v>Not extracted</x:v>
      </x:c>
      <x:c r="N29" s="5" t="str">
        <x:v>Not extracted</x:v>
      </x:c>
      <x:c r="O29" s="5" t="str">
        <x:v>Not extracted</x:v>
      </x:c>
      <x:c r="P29" s="5" t="str">
        <x:v>Not extracted</x:v>
      </x:c>
      <x:c r="Q29" s="5" t="str">
        <x:v>Not extracted</x:v>
      </x:c>
      <x:c r="R29" s="5" t="str">
        <x:v>Not extracted</x:v>
      </x:c>
      <x:c r="S29" s="5" t="str">
        <x:v>Not extracted</x:v>
      </x:c>
      <x:c r="T29" s="5" t="str">
        <x:v>Not assigned</x:v>
      </x:c>
      <x:c r="U29" s="8"/>
    </x:row>
    <x:row r="30" ht="40" customHeight="1">
      <x:c r="A30" s="5" t="str">
        <x:v>R03</x:v>
      </x:c>
      <x:c r="B30" s="5" t="str">
        <x:v>Not extracted</x:v>
      </x:c>
      <x:c r="C30" s="5" t="str">
        <x:v>Not extracted</x:v>
      </x:c>
      <x:c r="D30" s="5" t="str">
        <x:v>Not extracted</x:v>
      </x:c>
      <x:c r="E30" s="5" t="str">
        <x:v>Not extracted</x:v>
      </x:c>
      <x:c r="F30" s="5" t="str">
        <x:v>Not extracted</x:v>
      </x:c>
      <x:c r="G30" s="5" t="str">
        <x:v>Not extracted</x:v>
      </x:c>
      <x:c r="H30" s="5" t="str">
        <x:v>Not extracted</x:v>
      </x:c>
      <x:c r="I30" s="5" t="str">
        <x:v>Not extracted</x:v>
      </x:c>
      <x:c r="J30" s="5" t="str">
        <x:v>Not extracted</x:v>
      </x:c>
      <x:c r="K30" s="5" t="str">
        <x:v>Not extracted</x:v>
      </x:c>
      <x:c r="L30" s="5" t="str">
        <x:v>Not extracted</x:v>
      </x:c>
      <x:c r="M30" s="5" t="str">
        <x:v>Not extracted</x:v>
      </x:c>
      <x:c r="N30" s="5" t="str">
        <x:v>Not extracted</x:v>
      </x:c>
      <x:c r="O30" s="5" t="str">
        <x:v>Not extracted</x:v>
      </x:c>
      <x:c r="P30" s="5" t="str">
        <x:v>Not extracted</x:v>
      </x:c>
      <x:c r="Q30" s="5" t="str">
        <x:v>Not extracted</x:v>
      </x:c>
      <x:c r="R30" s="5" t="str">
        <x:v>Not extracted</x:v>
      </x:c>
      <x:c r="S30" s="5" t="str">
        <x:v>Not extracted</x:v>
      </x:c>
      <x:c r="T30" s="5" t="str">
        <x:v>Not assigned</x:v>
      </x:c>
      <x:c r="U30" s="8"/>
    </x:row>
    <x:row r="31" ht="40" customHeight="1">
      <x:c r="A31" s="5" t="str">
        <x:v>R04</x:v>
      </x:c>
      <x:c r="B31" s="5" t="str">
        <x:v>Not extracted</x:v>
      </x:c>
      <x:c r="C31" s="5" t="str">
        <x:v>Not extracted</x:v>
      </x:c>
      <x:c r="D31" s="5" t="str">
        <x:v>Not extracted</x:v>
      </x:c>
      <x:c r="E31" s="5" t="str">
        <x:v>Not extracted</x:v>
      </x:c>
      <x:c r="F31" s="5" t="str">
        <x:v>Not extracted</x:v>
      </x:c>
      <x:c r="G31" s="5" t="str">
        <x:v>Not extracted</x:v>
      </x:c>
      <x:c r="H31" s="5" t="str">
        <x:v>Not extracted</x:v>
      </x:c>
      <x:c r="I31" s="5" t="str">
        <x:v>Not extracted</x:v>
      </x:c>
      <x:c r="J31" s="5" t="str">
        <x:v>Not extracted</x:v>
      </x:c>
      <x:c r="K31" s="5" t="str">
        <x:v>Not extracted</x:v>
      </x:c>
      <x:c r="L31" s="5" t="str">
        <x:v>Not extracted</x:v>
      </x:c>
      <x:c r="M31" s="5" t="str">
        <x:v>Not extracted</x:v>
      </x:c>
      <x:c r="N31" s="5" t="str">
        <x:v>Not extracted</x:v>
      </x:c>
      <x:c r="O31" s="5" t="str">
        <x:v>Not extracted</x:v>
      </x:c>
      <x:c r="P31" s="5" t="str">
        <x:v>Not extracted</x:v>
      </x:c>
      <x:c r="Q31" s="5" t="str">
        <x:v>Not extracted</x:v>
      </x:c>
      <x:c r="R31" s="5" t="str">
        <x:v>Not extracted</x:v>
      </x:c>
      <x:c r="S31" s="5" t="str">
        <x:v>Not extracted</x:v>
      </x:c>
      <x:c r="T31" s="5" t="str">
        <x:v>Not assigned</x:v>
      </x:c>
      <x:c r="U31" s="8"/>
    </x:row>
    <x:row r="32" ht="40" customHeight="1">
      <x:c r="A32" s="5" t="str">
        <x:v>R05</x:v>
      </x:c>
      <x:c r="B32" s="5" t="str">
        <x:v>Not extracted</x:v>
      </x:c>
      <x:c r="C32" s="5" t="str">
        <x:v>Not extracted</x:v>
      </x:c>
      <x:c r="D32" s="5" t="str">
        <x:v>Not extracted</x:v>
      </x:c>
      <x:c r="E32" s="5" t="str">
        <x:v>Not extracted</x:v>
      </x:c>
      <x:c r="F32" s="5" t="str">
        <x:v>Not extracted</x:v>
      </x:c>
      <x:c r="G32" s="5" t="str">
        <x:v>Not extracted</x:v>
      </x:c>
      <x:c r="H32" s="5" t="str">
        <x:v>Not extracted</x:v>
      </x:c>
      <x:c r="I32" s="5" t="str">
        <x:v>Not extracted</x:v>
      </x:c>
      <x:c r="J32" s="5" t="str">
        <x:v>Not extracted</x:v>
      </x:c>
      <x:c r="K32" s="5" t="str">
        <x:v>Not extracted</x:v>
      </x:c>
      <x:c r="L32" s="5" t="str">
        <x:v>Not extracted</x:v>
      </x:c>
      <x:c r="M32" s="5" t="str">
        <x:v>Not extracted</x:v>
      </x:c>
      <x:c r="N32" s="5" t="str">
        <x:v>Not extracted</x:v>
      </x:c>
      <x:c r="O32" s="5" t="str">
        <x:v>Not extracted</x:v>
      </x:c>
      <x:c r="P32" s="5" t="str">
        <x:v>Not extracted</x:v>
      </x:c>
      <x:c r="Q32" s="5" t="str">
        <x:v>Not extracted</x:v>
      </x:c>
      <x:c r="R32" s="5" t="str">
        <x:v>Not extracted</x:v>
      </x:c>
      <x:c r="S32" s="5" t="str">
        <x:v>Not extracted</x:v>
      </x:c>
      <x:c r="T32" s="5" t="str">
        <x:v>Not assigned</x:v>
      </x:c>
      <x:c r="U32" s="8"/>
    </x:row>
    <x:row r="33" ht="40" customHeight="1">
      <x:c r="A33" s="5" t="str">
        <x:v>R06</x:v>
      </x:c>
      <x:c r="B33" s="5" t="str">
        <x:v>Not extracted</x:v>
      </x:c>
      <x:c r="C33" s="5" t="str">
        <x:v>Not extracted</x:v>
      </x:c>
      <x:c r="D33" s="5" t="str">
        <x:v>Not extracted</x:v>
      </x:c>
      <x:c r="E33" s="5" t="str">
        <x:v>Not extracted</x:v>
      </x:c>
      <x:c r="F33" s="5" t="str">
        <x:v>Not extracted</x:v>
      </x:c>
      <x:c r="G33" s="5" t="str">
        <x:v>Not extracted</x:v>
      </x:c>
      <x:c r="H33" s="5" t="str">
        <x:v>Not extracted</x:v>
      </x:c>
      <x:c r="I33" s="5" t="str">
        <x:v>Not extracted</x:v>
      </x:c>
      <x:c r="J33" s="5" t="str">
        <x:v>Not extracted</x:v>
      </x:c>
      <x:c r="K33" s="5" t="str">
        <x:v>Not extracted</x:v>
      </x:c>
      <x:c r="L33" s="5" t="str">
        <x:v>Not extracted</x:v>
      </x:c>
      <x:c r="M33" s="5" t="str">
        <x:v>Not extracted</x:v>
      </x:c>
      <x:c r="N33" s="5" t="str">
        <x:v>Not extracted</x:v>
      </x:c>
      <x:c r="O33" s="5" t="str">
        <x:v>Not extracted</x:v>
      </x:c>
      <x:c r="P33" s="5" t="str">
        <x:v>Not extracted</x:v>
      </x:c>
      <x:c r="Q33" s="5" t="str">
        <x:v>Not extracted</x:v>
      </x:c>
      <x:c r="R33" s="5" t="str">
        <x:v>Not extracted</x:v>
      </x:c>
      <x:c r="S33" s="5" t="str">
        <x:v>Not extracted</x:v>
      </x:c>
      <x:c r="T33" s="5" t="str">
        <x:v>Not assigned</x:v>
      </x:c>
      <x:c r="U33" s="8"/>
    </x:row>
    <x:row r="34" ht="40" customHeight="1">
      <x:c r="A34" s="5" t="str">
        <x:v>R07</x:v>
      </x:c>
      <x:c r="B34" s="5" t="str">
        <x:v>Not extracted</x:v>
      </x:c>
      <x:c r="C34" s="5" t="str">
        <x:v>Not extracted</x:v>
      </x:c>
      <x:c r="D34" s="5" t="str">
        <x:v>Not extracted</x:v>
      </x:c>
      <x:c r="E34" s="5" t="str">
        <x:v>Not extracted</x:v>
      </x:c>
      <x:c r="F34" s="5" t="str">
        <x:v>Not extracted</x:v>
      </x:c>
      <x:c r="G34" s="5" t="str">
        <x:v>Not extracted</x:v>
      </x:c>
      <x:c r="H34" s="5" t="str">
        <x:v>Not extracted</x:v>
      </x:c>
      <x:c r="I34" s="5" t="str">
        <x:v>Not extracted</x:v>
      </x:c>
      <x:c r="J34" s="5" t="str">
        <x:v>Not extracted</x:v>
      </x:c>
      <x:c r="K34" s="5" t="str">
        <x:v>Not extracted</x:v>
      </x:c>
      <x:c r="L34" s="5" t="str">
        <x:v>Not extracted</x:v>
      </x:c>
      <x:c r="M34" s="5" t="str">
        <x:v>Not extracted</x:v>
      </x:c>
      <x:c r="N34" s="5" t="str">
        <x:v>Not extracted</x:v>
      </x:c>
      <x:c r="O34" s="5" t="str">
        <x:v>Not extracted</x:v>
      </x:c>
      <x:c r="P34" s="5" t="str">
        <x:v>Not extracted</x:v>
      </x:c>
      <x:c r="Q34" s="5" t="str">
        <x:v>Not extracted</x:v>
      </x:c>
      <x:c r="R34" s="5" t="str">
        <x:v>Not extracted</x:v>
      </x:c>
      <x:c r="S34" s="5" t="str">
        <x:v>Not extracted</x:v>
      </x:c>
      <x:c r="T34" s="5" t="str">
        <x:v>Not assigned</x:v>
      </x:c>
      <x:c r="U34" s="8"/>
    </x:row>
    <x:row r="35" ht="40" customHeight="1">
      <x:c r="A35" s="5" t="str">
        <x:v>R08</x:v>
      </x:c>
      <x:c r="B35" s="5" t="str">
        <x:v>Not extracted</x:v>
      </x:c>
      <x:c r="C35" s="5" t="str">
        <x:v>Not extracted</x:v>
      </x:c>
      <x:c r="D35" s="5" t="str">
        <x:v>Not extracted</x:v>
      </x:c>
      <x:c r="E35" s="5" t="str">
        <x:v>Not extracted</x:v>
      </x:c>
      <x:c r="F35" s="5" t="str">
        <x:v>Not extracted</x:v>
      </x:c>
      <x:c r="G35" s="5" t="str">
        <x:v>Not extracted</x:v>
      </x:c>
      <x:c r="H35" s="5" t="str">
        <x:v>Not extracted</x:v>
      </x:c>
      <x:c r="I35" s="5" t="str">
        <x:v>Not extracted</x:v>
      </x:c>
      <x:c r="J35" s="5" t="str">
        <x:v>Not extracted</x:v>
      </x:c>
      <x:c r="K35" s="5" t="str">
        <x:v>Not extracted</x:v>
      </x:c>
      <x:c r="L35" s="5" t="str">
        <x:v>Not extracted</x:v>
      </x:c>
      <x:c r="M35" s="5" t="str">
        <x:v>Not extracted</x:v>
      </x:c>
      <x:c r="N35" s="5" t="str">
        <x:v>Not extracted</x:v>
      </x:c>
      <x:c r="O35" s="5" t="str">
        <x:v>Not extracted</x:v>
      </x:c>
      <x:c r="P35" s="5" t="str">
        <x:v>Not extracted</x:v>
      </x:c>
      <x:c r="Q35" s="5" t="str">
        <x:v>Not extracted</x:v>
      </x:c>
      <x:c r="R35" s="5" t="str">
        <x:v>Not extracted</x:v>
      </x:c>
      <x:c r="S35" s="5" t="str">
        <x:v>Not extracted</x:v>
      </x:c>
      <x:c r="T35" s="5" t="str">
        <x:v>Not assigned</x:v>
      </x:c>
      <x:c r="U35" s="8"/>
    </x:row>
    <x:row r="36" ht="40" customHeight="1">
      <x:c r="A36" s="5" t="str">
        <x:v>R09</x:v>
      </x:c>
      <x:c r="B36" s="5" t="str">
        <x:v>Not extracted</x:v>
      </x:c>
      <x:c r="C36" s="5" t="str">
        <x:v>Not extracted</x:v>
      </x:c>
      <x:c r="D36" s="5" t="str">
        <x:v>Not extracted</x:v>
      </x:c>
      <x:c r="E36" s="5" t="str">
        <x:v>Not extracted</x:v>
      </x:c>
      <x:c r="F36" s="5" t="str">
        <x:v>Not extracted</x:v>
      </x:c>
      <x:c r="G36" s="5" t="str">
        <x:v>Not extracted</x:v>
      </x:c>
      <x:c r="H36" s="5" t="str">
        <x:v>Not extracted</x:v>
      </x:c>
      <x:c r="I36" s="5" t="str">
        <x:v>Not extracted</x:v>
      </x:c>
      <x:c r="J36" s="5" t="str">
        <x:v>Not extracted</x:v>
      </x:c>
      <x:c r="K36" s="5" t="str">
        <x:v>Not extracted</x:v>
      </x:c>
      <x:c r="L36" s="5" t="str">
        <x:v>Not extracted</x:v>
      </x:c>
      <x:c r="M36" s="5" t="str">
        <x:v>Not extracted</x:v>
      </x:c>
      <x:c r="N36" s="5" t="str">
        <x:v>Not extracted</x:v>
      </x:c>
      <x:c r="O36" s="5" t="str">
        <x:v>Not extracted</x:v>
      </x:c>
      <x:c r="P36" s="5" t="str">
        <x:v>Not extracted</x:v>
      </x:c>
      <x:c r="Q36" s="5" t="str">
        <x:v>Not extracted</x:v>
      </x:c>
      <x:c r="R36" s="5" t="str">
        <x:v>Not extracted</x:v>
      </x:c>
      <x:c r="S36" s="5" t="str">
        <x:v>Not extracted</x:v>
      </x:c>
      <x:c r="T36" s="5" t="str">
        <x:v>Not assigned</x:v>
      </x:c>
      <x:c r="U36" s="8"/>
    </x:row>
    <x:row r="37" ht="40" customHeight="1">
      <x:c r="A37" s="5" t="str">
        <x:v>R10</x:v>
      </x:c>
      <x:c r="B37" s="5" t="str">
        <x:v>Not extracted</x:v>
      </x:c>
      <x:c r="C37" s="5" t="str">
        <x:v>Not extracted</x:v>
      </x:c>
      <x:c r="D37" s="5" t="str">
        <x:v>Not extracted</x:v>
      </x:c>
      <x:c r="E37" s="5" t="str">
        <x:v>Not extracted</x:v>
      </x:c>
      <x:c r="F37" s="5" t="str">
        <x:v>Not extracted</x:v>
      </x:c>
      <x:c r="G37" s="5" t="str">
        <x:v>Not extracted</x:v>
      </x:c>
      <x:c r="H37" s="5" t="str">
        <x:v>Not extracted</x:v>
      </x:c>
      <x:c r="I37" s="5" t="str">
        <x:v>Not extracted</x:v>
      </x:c>
      <x:c r="J37" s="5" t="str">
        <x:v>Not extracted</x:v>
      </x:c>
      <x:c r="K37" s="5" t="str">
        <x:v>Not extracted</x:v>
      </x:c>
      <x:c r="L37" s="5" t="str">
        <x:v>Not extracted</x:v>
      </x:c>
      <x:c r="M37" s="5" t="str">
        <x:v>Not extracted</x:v>
      </x:c>
      <x:c r="N37" s="5" t="str">
        <x:v>Not extracted</x:v>
      </x:c>
      <x:c r="O37" s="5" t="str">
        <x:v>Not extracted</x:v>
      </x:c>
      <x:c r="P37" s="5" t="str">
        <x:v>Not extracted</x:v>
      </x:c>
      <x:c r="Q37" s="5" t="str">
        <x:v>Not extracted</x:v>
      </x:c>
      <x:c r="R37" s="5" t="str">
        <x:v>Not extracted</x:v>
      </x:c>
      <x:c r="S37" s="5" t="str">
        <x:v>Not extracted</x:v>
      </x:c>
      <x:c r="T37" s="5" t="str">
        <x:v>Not assigned</x:v>
      </x:c>
      <x:c r="U37" s="8"/>
    </x:row>
    <x:row r="38" ht="40" customHeight="1">
      <x:c r="A38" s="5" t="str">
        <x:v>R11</x:v>
      </x:c>
      <x:c r="B38" s="5" t="str">
        <x:v>Not extracted</x:v>
      </x:c>
      <x:c r="C38" s="5" t="str">
        <x:v>Not extracted</x:v>
      </x:c>
      <x:c r="D38" s="5" t="str">
        <x:v>Not extracted</x:v>
      </x:c>
      <x:c r="E38" s="5" t="str">
        <x:v>Not extracted</x:v>
      </x:c>
      <x:c r="F38" s="5" t="str">
        <x:v>Not extracted</x:v>
      </x:c>
      <x:c r="G38" s="5" t="str">
        <x:v>Not extracted</x:v>
      </x:c>
      <x:c r="H38" s="5" t="str">
        <x:v>Not extracted</x:v>
      </x:c>
      <x:c r="I38" s="5" t="str">
        <x:v>Not extracted</x:v>
      </x:c>
      <x:c r="J38" s="5" t="str">
        <x:v>Not extracted</x:v>
      </x:c>
      <x:c r="K38" s="5" t="str">
        <x:v>Not extracted</x:v>
      </x:c>
      <x:c r="L38" s="5" t="str">
        <x:v>Not extracted</x:v>
      </x:c>
      <x:c r="M38" s="5" t="str">
        <x:v>Not extracted</x:v>
      </x:c>
      <x:c r="N38" s="5" t="str">
        <x:v>Not extracted</x:v>
      </x:c>
      <x:c r="O38" s="5" t="str">
        <x:v>Not extracted</x:v>
      </x:c>
      <x:c r="P38" s="5" t="str">
        <x:v>Not extracted</x:v>
      </x:c>
      <x:c r="Q38" s="5" t="str">
        <x:v>Not extracted</x:v>
      </x:c>
      <x:c r="R38" s="5" t="str">
        <x:v>Not extracted</x:v>
      </x:c>
      <x:c r="S38" s="5" t="str">
        <x:v>Not extracted</x:v>
      </x:c>
      <x:c r="T38" s="5" t="str">
        <x:v>Not assigned</x:v>
      </x:c>
      <x:c r="U38" s="8"/>
    </x:row>
    <x:row r="39" ht="40" customHeight="1">
      <x:c r="A39" s="5" t="str">
        <x:v>R12</x:v>
      </x:c>
      <x:c r="B39" s="5" t="str">
        <x:v>Not extracted</x:v>
      </x:c>
      <x:c r="C39" s="5" t="str">
        <x:v>Not extracted</x:v>
      </x:c>
      <x:c r="D39" s="5" t="str">
        <x:v>Not extracted</x:v>
      </x:c>
      <x:c r="E39" s="5" t="str">
        <x:v>Not extracted</x:v>
      </x:c>
      <x:c r="F39" s="5" t="str">
        <x:v>Not extracted</x:v>
      </x:c>
      <x:c r="G39" s="5" t="str">
        <x:v>Not extracted</x:v>
      </x:c>
      <x:c r="H39" s="5" t="str">
        <x:v>Not extracted</x:v>
      </x:c>
      <x:c r="I39" s="5" t="str">
        <x:v>Not extracted</x:v>
      </x:c>
      <x:c r="J39" s="5" t="str">
        <x:v>Not extracted</x:v>
      </x:c>
      <x:c r="K39" s="5" t="str">
        <x:v>Not extracted</x:v>
      </x:c>
      <x:c r="L39" s="5" t="str">
        <x:v>Not extracted</x:v>
      </x:c>
      <x:c r="M39" s="5" t="str">
        <x:v>Not extracted</x:v>
      </x:c>
      <x:c r="N39" s="5" t="str">
        <x:v>Not extracted</x:v>
      </x:c>
      <x:c r="O39" s="5" t="str">
        <x:v>Not extracted</x:v>
      </x:c>
      <x:c r="P39" s="5" t="str">
        <x:v>Not extracted</x:v>
      </x:c>
      <x:c r="Q39" s="5" t="str">
        <x:v>Not extracted</x:v>
      </x:c>
      <x:c r="R39" s="5" t="str">
        <x:v>Not extracted</x:v>
      </x:c>
      <x:c r="S39" s="5" t="str">
        <x:v>Not extracted</x:v>
      </x:c>
      <x:c r="T39" s="5" t="str">
        <x:v>Not assigned</x:v>
      </x:c>
      <x:c r="U39" s="8"/>
    </x:row>
    <x:row r="40" ht="40" customHeight="1">
      <x:c r="A40" s="5" t="str">
        <x:v>R13</x:v>
      </x:c>
      <x:c r="B40" s="5" t="str">
        <x:v>Not extracted</x:v>
      </x:c>
      <x:c r="C40" s="5" t="str">
        <x:v>Not extracted</x:v>
      </x:c>
      <x:c r="D40" s="5" t="str">
        <x:v>Not extracted</x:v>
      </x:c>
      <x:c r="E40" s="5" t="str">
        <x:v>Not extracted</x:v>
      </x:c>
      <x:c r="F40" s="5" t="str">
        <x:v>Not extracted</x:v>
      </x:c>
      <x:c r="G40" s="5" t="str">
        <x:v>Not extracted</x:v>
      </x:c>
      <x:c r="H40" s="5" t="str">
        <x:v>Not extracted</x:v>
      </x:c>
      <x:c r="I40" s="5" t="str">
        <x:v>Not extracted</x:v>
      </x:c>
      <x:c r="J40" s="5" t="str">
        <x:v>Not extracted</x:v>
      </x:c>
      <x:c r="K40" s="5" t="str">
        <x:v>Not extracted</x:v>
      </x:c>
      <x:c r="L40" s="5" t="str">
        <x:v>Not extracted</x:v>
      </x:c>
      <x:c r="M40" s="5" t="str">
        <x:v>Not extracted</x:v>
      </x:c>
      <x:c r="N40" s="5" t="str">
        <x:v>Not extracted</x:v>
      </x:c>
      <x:c r="O40" s="5" t="str">
        <x:v>Not extracted</x:v>
      </x:c>
      <x:c r="P40" s="5" t="str">
        <x:v>Not extracted</x:v>
      </x:c>
      <x:c r="Q40" s="5" t="str">
        <x:v>Not extracted</x:v>
      </x:c>
      <x:c r="R40" s="5" t="str">
        <x:v>Not extracted</x:v>
      </x:c>
      <x:c r="S40" s="5" t="str">
        <x:v>Not extracted</x:v>
      </x:c>
      <x:c r="T40" s="5" t="str">
        <x:v>Not assigned</x:v>
      </x:c>
      <x:c r="U40" s="8"/>
    </x:row>
    <x:row r="41" ht="40" customHeight="1">
      <x:c r="A41" s="5" t="str">
        <x:v>C0001</x:v>
      </x:c>
      <x:c r="B41" s="5" t="str">
        <x:v>Not extracted</x:v>
      </x:c>
      <x:c r="C41" s="5" t="str">
        <x:v>Not extracted</x:v>
      </x:c>
      <x:c r="D41" s="5" t="str">
        <x:v>Not extracted</x:v>
      </x:c>
      <x:c r="E41" s="5" t="str">
        <x:v>Not extracted</x:v>
      </x:c>
      <x:c r="F41" s="5" t="str">
        <x:v>Not extracted</x:v>
      </x:c>
      <x:c r="G41" s="5" t="str">
        <x:v>Not extracted</x:v>
      </x:c>
      <x:c r="H41" s="5" t="str">
        <x:v>Not extracted</x:v>
      </x:c>
      <x:c r="I41" s="5" t="str">
        <x:v>Not extracted</x:v>
      </x:c>
      <x:c r="J41" s="5" t="str">
        <x:v>Not extracted</x:v>
      </x:c>
      <x:c r="K41" s="5" t="str">
        <x:v>Not extracted</x:v>
      </x:c>
      <x:c r="L41" s="5" t="str">
        <x:v>Not extracted</x:v>
      </x:c>
      <x:c r="M41" s="5" t="str">
        <x:v>Not extracted</x:v>
      </x:c>
      <x:c r="N41" s="5" t="str">
        <x:v>Not extracted</x:v>
      </x:c>
      <x:c r="O41" s="5" t="str">
        <x:v>Not extracted</x:v>
      </x:c>
      <x:c r="P41" s="5" t="str">
        <x:v>Not extracted</x:v>
      </x:c>
      <x:c r="Q41" s="5" t="str">
        <x:v>Not extracted</x:v>
      </x:c>
      <x:c r="R41" s="5" t="str">
        <x:v>Not extracted</x:v>
      </x:c>
      <x:c r="S41" s="5" t="str">
        <x:v>Not extracted</x:v>
      </x:c>
      <x:c r="T41" s="5" t="str">
        <x:v>Not assigned</x:v>
      </x:c>
      <x:c r="U41" s="8"/>
    </x:row>
    <x:row r="42" ht="40" customHeight="1">
      <x:c r="A42" s="5" t="str">
        <x:v>C0002</x:v>
      </x:c>
      <x:c r="B42" s="5" t="str">
        <x:v>Not extracted</x:v>
      </x:c>
      <x:c r="C42" s="5" t="str">
        <x:v>Not extracted</x:v>
      </x:c>
      <x:c r="D42" s="5" t="str">
        <x:v>Not extracted</x:v>
      </x:c>
      <x:c r="E42" s="5" t="str">
        <x:v>Not extracted</x:v>
      </x:c>
      <x:c r="F42" s="5" t="str">
        <x:v>Not extracted</x:v>
      </x:c>
      <x:c r="G42" s="5" t="str">
        <x:v>Not extracted</x:v>
      </x:c>
      <x:c r="H42" s="5" t="str">
        <x:v>Not extracted</x:v>
      </x:c>
      <x:c r="I42" s="5" t="str">
        <x:v>Not extracted</x:v>
      </x:c>
      <x:c r="J42" s="5" t="str">
        <x:v>Not extracted</x:v>
      </x:c>
      <x:c r="K42" s="5" t="str">
        <x:v>Not extracted</x:v>
      </x:c>
      <x:c r="L42" s="5" t="str">
        <x:v>Not extracted</x:v>
      </x:c>
      <x:c r="M42" s="5" t="str">
        <x:v>Not extracted</x:v>
      </x:c>
      <x:c r="N42" s="5" t="str">
        <x:v>Not extracted</x:v>
      </x:c>
      <x:c r="O42" s="5" t="str">
        <x:v>Not extracted</x:v>
      </x:c>
      <x:c r="P42" s="5" t="str">
        <x:v>Not extracted</x:v>
      </x:c>
      <x:c r="Q42" s="5" t="str">
        <x:v>Not extracted</x:v>
      </x:c>
      <x:c r="R42" s="5" t="str">
        <x:v>Not extracted</x:v>
      </x:c>
      <x:c r="S42" s="5" t="str">
        <x:v>Not extracted</x:v>
      </x:c>
      <x:c r="T42" s="5" t="str">
        <x:v>Not assigned</x:v>
      </x:c>
      <x:c r="U42" s="8"/>
    </x:row>
    <x:row r="43" ht="40" customHeight="1">
      <x:c r="A43" s="5" t="str">
        <x:v>C0003</x:v>
      </x:c>
      <x:c r="B43" s="5" t="str">
        <x:v>Not extracted</x:v>
      </x:c>
      <x:c r="C43" s="5" t="str">
        <x:v>Not extracted</x:v>
      </x:c>
      <x:c r="D43" s="5" t="str">
        <x:v>Not extracted</x:v>
      </x:c>
      <x:c r="E43" s="5" t="str">
        <x:v>Not extracted</x:v>
      </x:c>
      <x:c r="F43" s="5" t="str">
        <x:v>Not extracted</x:v>
      </x:c>
      <x:c r="G43" s="5" t="str">
        <x:v>Not extracted</x:v>
      </x:c>
      <x:c r="H43" s="5" t="str">
        <x:v>Not extracted</x:v>
      </x:c>
      <x:c r="I43" s="5" t="str">
        <x:v>Not extracted</x:v>
      </x:c>
      <x:c r="J43" s="5" t="str">
        <x:v>Not extracted</x:v>
      </x:c>
      <x:c r="K43" s="5" t="str">
        <x:v>Not extracted</x:v>
      </x:c>
      <x:c r="L43" s="5" t="str">
        <x:v>Not extracted</x:v>
      </x:c>
      <x:c r="M43" s="5" t="str">
        <x:v>Not extracted</x:v>
      </x:c>
      <x:c r="N43" s="5" t="str">
        <x:v>Not extracted</x:v>
      </x:c>
      <x:c r="O43" s="5" t="str">
        <x:v>Not extracted</x:v>
      </x:c>
      <x:c r="P43" s="5" t="str">
        <x:v>Not extracted</x:v>
      </x:c>
      <x:c r="Q43" s="5" t="str">
        <x:v>Not extracted</x:v>
      </x:c>
      <x:c r="R43" s="5" t="str">
        <x:v>Not extracted</x:v>
      </x:c>
      <x:c r="S43" s="5" t="str">
        <x:v>Not extracted</x:v>
      </x:c>
      <x:c r="T43" s="5" t="str">
        <x:v>Not assigned</x:v>
      </x:c>
      <x:c r="U43" s="8"/>
    </x:row>
    <x:row r="44" ht="40" customHeight="1">
      <x:c r="A44" s="5" t="str">
        <x:v>C0004</x:v>
      </x:c>
      <x:c r="B44" s="5" t="str">
        <x:v>Not extracted</x:v>
      </x:c>
      <x:c r="C44" s="5" t="str">
        <x:v>Not extracted</x:v>
      </x:c>
      <x:c r="D44" s="5" t="str">
        <x:v>Not extracted</x:v>
      </x:c>
      <x:c r="E44" s="5" t="str">
        <x:v>Not extracted</x:v>
      </x:c>
      <x:c r="F44" s="5" t="str">
        <x:v>Not extracted</x:v>
      </x:c>
      <x:c r="G44" s="5" t="str">
        <x:v>Not extracted</x:v>
      </x:c>
      <x:c r="H44" s="5" t="str">
        <x:v>Not extracted</x:v>
      </x:c>
      <x:c r="I44" s="5" t="str">
        <x:v>Not extracted</x:v>
      </x:c>
      <x:c r="J44" s="5" t="str">
        <x:v>Not extracted</x:v>
      </x:c>
      <x:c r="K44" s="5" t="str">
        <x:v>Not extracted</x:v>
      </x:c>
      <x:c r="L44" s="5" t="str">
        <x:v>Not extracted</x:v>
      </x:c>
      <x:c r="M44" s="5" t="str">
        <x:v>Not extracted</x:v>
      </x:c>
      <x:c r="N44" s="5" t="str">
        <x:v>Not extracted</x:v>
      </x:c>
      <x:c r="O44" s="5" t="str">
        <x:v>Not extracted</x:v>
      </x:c>
      <x:c r="P44" s="5" t="str">
        <x:v>Not extracted</x:v>
      </x:c>
      <x:c r="Q44" s="5" t="str">
        <x:v>Not extracted</x:v>
      </x:c>
      <x:c r="R44" s="5" t="str">
        <x:v>Not extracted</x:v>
      </x:c>
      <x:c r="S44" s="5" t="str">
        <x:v>Not extracted</x:v>
      </x:c>
      <x:c r="T44" s="5" t="str">
        <x:v>Not assigned</x:v>
      </x:c>
      <x:c r="U44" s="8"/>
    </x:row>
    <x:row r="45" ht="40" customHeight="1">
      <x:c r="A45" s="5" t="str">
        <x:v>C0005</x:v>
      </x:c>
      <x:c r="B45" s="5" t="str">
        <x:v>Not extracted</x:v>
      </x:c>
      <x:c r="C45" s="5" t="str">
        <x:v>Not extracted</x:v>
      </x:c>
      <x:c r="D45" s="5" t="str">
        <x:v>Not extracted</x:v>
      </x:c>
      <x:c r="E45" s="5" t="str">
        <x:v>Not extracted</x:v>
      </x:c>
      <x:c r="F45" s="5" t="str">
        <x:v>Not extracted</x:v>
      </x:c>
      <x:c r="G45" s="5" t="str">
        <x:v>Not extracted</x:v>
      </x:c>
      <x:c r="H45" s="5" t="str">
        <x:v>Not extracted</x:v>
      </x:c>
      <x:c r="I45" s="5" t="str">
        <x:v>Not extracted</x:v>
      </x:c>
      <x:c r="J45" s="5" t="str">
        <x:v>Not extracted</x:v>
      </x:c>
      <x:c r="K45" s="5" t="str">
        <x:v>Not extracted</x:v>
      </x:c>
      <x:c r="L45" s="5" t="str">
        <x:v>Not extracted</x:v>
      </x:c>
      <x:c r="M45" s="5" t="str">
        <x:v>Not extracted</x:v>
      </x:c>
      <x:c r="N45" s="5" t="str">
        <x:v>Not extracted</x:v>
      </x:c>
      <x:c r="O45" s="5" t="str">
        <x:v>Not extracted</x:v>
      </x:c>
      <x:c r="P45" s="5" t="str">
        <x:v>Not extracted</x:v>
      </x:c>
      <x:c r="Q45" s="5" t="str">
        <x:v>Not extracted</x:v>
      </x:c>
      <x:c r="R45" s="5" t="str">
        <x:v>Not extracted</x:v>
      </x:c>
      <x:c r="S45" s="5" t="str">
        <x:v>Not extracted</x:v>
      </x:c>
      <x:c r="T45" s="5" t="str">
        <x:v>Not assigned</x:v>
      </x:c>
      <x:c r="U45" s="8"/>
    </x:row>
    <x:row r="46" ht="40" customHeight="1">
      <x:c r="A46" s="5" t="str">
        <x:v>C0006</x:v>
      </x:c>
      <x:c r="B46" s="5" t="str">
        <x:v>Not extracted</x:v>
      </x:c>
      <x:c r="C46" s="5" t="str">
        <x:v>Not extracted</x:v>
      </x:c>
      <x:c r="D46" s="5" t="str">
        <x:v>Not extracted</x:v>
      </x:c>
      <x:c r="E46" s="5" t="str">
        <x:v>Not extracted</x:v>
      </x:c>
      <x:c r="F46" s="5" t="str">
        <x:v>Not extracted</x:v>
      </x:c>
      <x:c r="G46" s="5" t="str">
        <x:v>Not extracted</x:v>
      </x:c>
      <x:c r="H46" s="5" t="str">
        <x:v>Not extracted</x:v>
      </x:c>
      <x:c r="I46" s="5" t="str">
        <x:v>Not extracted</x:v>
      </x:c>
      <x:c r="J46" s="5" t="str">
        <x:v>Not extracted</x:v>
      </x:c>
      <x:c r="K46" s="5" t="str">
        <x:v>Not extracted</x:v>
      </x:c>
      <x:c r="L46" s="5" t="str">
        <x:v>Not extracted</x:v>
      </x:c>
      <x:c r="M46" s="5" t="str">
        <x:v>Not extracted</x:v>
      </x:c>
      <x:c r="N46" s="5" t="str">
        <x:v>Not extracted</x:v>
      </x:c>
      <x:c r="O46" s="5" t="str">
        <x:v>Not extracted</x:v>
      </x:c>
      <x:c r="P46" s="5" t="str">
        <x:v>Not extracted</x:v>
      </x:c>
      <x:c r="Q46" s="5" t="str">
        <x:v>Not extracted</x:v>
      </x:c>
      <x:c r="R46" s="5" t="str">
        <x:v>Not extracted</x:v>
      </x:c>
      <x:c r="S46" s="5" t="str">
        <x:v>Not extracted</x:v>
      </x:c>
      <x:c r="T46" s="5" t="str">
        <x:v>Not assigned</x:v>
      </x:c>
      <x:c r="U46" s="8"/>
    </x:row>
    <x:row r="47" ht="40" customHeight="1">
      <x:c r="A47" s="5" t="str">
        <x:v>C0007</x:v>
      </x:c>
      <x:c r="B47" s="5" t="str">
        <x:v>Not extracted</x:v>
      </x:c>
      <x:c r="C47" s="5" t="str">
        <x:v>Not extracted</x:v>
      </x:c>
      <x:c r="D47" s="5" t="str">
        <x:v>Not extracted</x:v>
      </x:c>
      <x:c r="E47" s="5" t="str">
        <x:v>Not extracted</x:v>
      </x:c>
      <x:c r="F47" s="5" t="str">
        <x:v>Not extracted</x:v>
      </x:c>
      <x:c r="G47" s="5" t="str">
        <x:v>Not extracted</x:v>
      </x:c>
      <x:c r="H47" s="5" t="str">
        <x:v>Not extracted</x:v>
      </x:c>
      <x:c r="I47" s="5" t="str">
        <x:v>Not extracted</x:v>
      </x:c>
      <x:c r="J47" s="5" t="str">
        <x:v>Not extracted</x:v>
      </x:c>
      <x:c r="K47" s="5" t="str">
        <x:v>Not extracted</x:v>
      </x:c>
      <x:c r="L47" s="5" t="str">
        <x:v>Not extracted</x:v>
      </x:c>
      <x:c r="M47" s="5" t="str">
        <x:v>Not extracted</x:v>
      </x:c>
      <x:c r="N47" s="5" t="str">
        <x:v>Not extracted</x:v>
      </x:c>
      <x:c r="O47" s="5" t="str">
        <x:v>Not extracted</x:v>
      </x:c>
      <x:c r="P47" s="5" t="str">
        <x:v>Not extracted</x:v>
      </x:c>
      <x:c r="Q47" s="5" t="str">
        <x:v>Not extracted</x:v>
      </x:c>
      <x:c r="R47" s="5" t="str">
        <x:v>Not extracted</x:v>
      </x:c>
      <x:c r="S47" s="5" t="str">
        <x:v>Not extracted</x:v>
      </x:c>
      <x:c r="T47" s="5" t="str">
        <x:v>Not assigned</x:v>
      </x:c>
      <x:c r="U47" s="8"/>
    </x:row>
    <x:row r="48" ht="40" customHeight="1">
      <x:c r="A48" s="5" t="str">
        <x:v>C0008</x:v>
      </x:c>
      <x:c r="B48" s="5" t="str">
        <x:v>Not extracted</x:v>
      </x:c>
      <x:c r="C48" s="5" t="str">
        <x:v>Not extracted</x:v>
      </x:c>
      <x:c r="D48" s="5" t="str">
        <x:v>Not extracted</x:v>
      </x:c>
      <x:c r="E48" s="5" t="str">
        <x:v>Not extracted</x:v>
      </x:c>
      <x:c r="F48" s="5" t="str">
        <x:v>Not extracted</x:v>
      </x:c>
      <x:c r="G48" s="5" t="str">
        <x:v>Not extracted</x:v>
      </x:c>
      <x:c r="H48" s="5" t="str">
        <x:v>Not extracted</x:v>
      </x:c>
      <x:c r="I48" s="5" t="str">
        <x:v>Not extracted</x:v>
      </x:c>
      <x:c r="J48" s="5" t="str">
        <x:v>Not extracted</x:v>
      </x:c>
      <x:c r="K48" s="5" t="str">
        <x:v>Not extracted</x:v>
      </x:c>
      <x:c r="L48" s="5" t="str">
        <x:v>Not extracted</x:v>
      </x:c>
      <x:c r="M48" s="5" t="str">
        <x:v>Not extracted</x:v>
      </x:c>
      <x:c r="N48" s="5" t="str">
        <x:v>Not extracted</x:v>
      </x:c>
      <x:c r="O48" s="5" t="str">
        <x:v>Not extracted</x:v>
      </x:c>
      <x:c r="P48" s="5" t="str">
        <x:v>Not extracted</x:v>
      </x:c>
      <x:c r="Q48" s="5" t="str">
        <x:v>Not extracted</x:v>
      </x:c>
      <x:c r="R48" s="5" t="str">
        <x:v>Not extracted</x:v>
      </x:c>
      <x:c r="S48" s="5" t="str">
        <x:v>Not extracted</x:v>
      </x:c>
      <x:c r="T48" s="5" t="str">
        <x:v>Not assigned</x:v>
      </x:c>
      <x:c r="U48" s="8"/>
    </x:row>
    <x:row r="49" ht="40" customHeight="1">
      <x:c r="A49" s="5" t="str">
        <x:v>C0009</x:v>
      </x:c>
      <x:c r="B49" s="5" t="str">
        <x:v>Not extracted</x:v>
      </x:c>
      <x:c r="C49" s="5" t="str">
        <x:v>Not extracted</x:v>
      </x:c>
      <x:c r="D49" s="5" t="str">
        <x:v>Not extracted</x:v>
      </x:c>
      <x:c r="E49" s="5" t="str">
        <x:v>Not extracted</x:v>
      </x:c>
      <x:c r="F49" s="5" t="str">
        <x:v>Not extracted</x:v>
      </x:c>
      <x:c r="G49" s="5" t="str">
        <x:v>Not extracted</x:v>
      </x:c>
      <x:c r="H49" s="5" t="str">
        <x:v>Not extracted</x:v>
      </x:c>
      <x:c r="I49" s="5" t="str">
        <x:v>Not extracted</x:v>
      </x:c>
      <x:c r="J49" s="5" t="str">
        <x:v>Not extracted</x:v>
      </x:c>
      <x:c r="K49" s="5" t="str">
        <x:v>Not extracted</x:v>
      </x:c>
      <x:c r="L49" s="5" t="str">
        <x:v>Not extracted</x:v>
      </x:c>
      <x:c r="M49" s="5" t="str">
        <x:v>Not extracted</x:v>
      </x:c>
      <x:c r="N49" s="5" t="str">
        <x:v>Not extracted</x:v>
      </x:c>
      <x:c r="O49" s="5" t="str">
        <x:v>Not extracted</x:v>
      </x:c>
      <x:c r="P49" s="5" t="str">
        <x:v>Not extracted</x:v>
      </x:c>
      <x:c r="Q49" s="5" t="str">
        <x:v>Not extracted</x:v>
      </x:c>
      <x:c r="R49" s="5" t="str">
        <x:v>Not extracted</x:v>
      </x:c>
      <x:c r="S49" s="5" t="str">
        <x:v>Not extracted</x:v>
      </x:c>
      <x:c r="T49" s="5" t="str">
        <x:v>Not assigned</x:v>
      </x:c>
      <x:c r="U49" s="8"/>
    </x:row>
    <x:row r="50" ht="40" customHeight="1">
      <x:c r="A50" s="5" t="str">
        <x:v>C0010</x:v>
      </x:c>
      <x:c r="B50" s="5" t="str">
        <x:v>Not extracted</x:v>
      </x:c>
      <x:c r="C50" s="5" t="str">
        <x:v>Not extracted</x:v>
      </x:c>
      <x:c r="D50" s="5" t="str">
        <x:v>Not extracted</x:v>
      </x:c>
      <x:c r="E50" s="5" t="str">
        <x:v>Not extracted</x:v>
      </x:c>
      <x:c r="F50" s="5" t="str">
        <x:v>Not extracted</x:v>
      </x:c>
      <x:c r="G50" s="5" t="str">
        <x:v>Not extracted</x:v>
      </x:c>
      <x:c r="H50" s="5" t="str">
        <x:v>Not extracted</x:v>
      </x:c>
      <x:c r="I50" s="5" t="str">
        <x:v>Not extracted</x:v>
      </x:c>
      <x:c r="J50" s="5" t="str">
        <x:v>Not extracted</x:v>
      </x:c>
      <x:c r="K50" s="5" t="str">
        <x:v>Not extracted</x:v>
      </x:c>
      <x:c r="L50" s="5" t="str">
        <x:v>Not extracted</x:v>
      </x:c>
      <x:c r="M50" s="5" t="str">
        <x:v>Not extracted</x:v>
      </x:c>
      <x:c r="N50" s="5" t="str">
        <x:v>Not extracted</x:v>
      </x:c>
      <x:c r="O50" s="5" t="str">
        <x:v>Not extracted</x:v>
      </x:c>
      <x:c r="P50" s="5" t="str">
        <x:v>Not extracted</x:v>
      </x:c>
      <x:c r="Q50" s="5" t="str">
        <x:v>Not extracted</x:v>
      </x:c>
      <x:c r="R50" s="5" t="str">
        <x:v>Not extracted</x:v>
      </x:c>
      <x:c r="S50" s="5" t="str">
        <x:v>Not extracted</x:v>
      </x:c>
      <x:c r="T50" s="5" t="str">
        <x:v>Not assigned</x:v>
      </x:c>
      <x:c r="U50" s="8"/>
    </x:row>
    <x:row r="51" ht="40" customHeight="1">
      <x:c r="A51" s="5" t="str">
        <x:v>C0011</x:v>
      </x:c>
      <x:c r="B51" s="5" t="str">
        <x:v>Not extracted</x:v>
      </x:c>
      <x:c r="C51" s="5" t="str">
        <x:v>Not extracted</x:v>
      </x:c>
      <x:c r="D51" s="5" t="str">
        <x:v>Not extracted</x:v>
      </x:c>
      <x:c r="E51" s="5" t="str">
        <x:v>Not extracted</x:v>
      </x:c>
      <x:c r="F51" s="5" t="str">
        <x:v>Not extracted</x:v>
      </x:c>
      <x:c r="G51" s="5" t="str">
        <x:v>Not extracted</x:v>
      </x:c>
      <x:c r="H51" s="5" t="str">
        <x:v>Not extracted</x:v>
      </x:c>
      <x:c r="I51" s="5" t="str">
        <x:v>Not extracted</x:v>
      </x:c>
      <x:c r="J51" s="5" t="str">
        <x:v>Not extracted</x:v>
      </x:c>
      <x:c r="K51" s="5" t="str">
        <x:v>Not extracted</x:v>
      </x:c>
      <x:c r="L51" s="5" t="str">
        <x:v>Not extracted</x:v>
      </x:c>
      <x:c r="M51" s="5" t="str">
        <x:v>Not extracted</x:v>
      </x:c>
      <x:c r="N51" s="5" t="str">
        <x:v>Not extracted</x:v>
      </x:c>
      <x:c r="O51" s="5" t="str">
        <x:v>Not extracted</x:v>
      </x:c>
      <x:c r="P51" s="5" t="str">
        <x:v>Not extracted</x:v>
      </x:c>
      <x:c r="Q51" s="5" t="str">
        <x:v>Not extracted</x:v>
      </x:c>
      <x:c r="R51" s="5" t="str">
        <x:v>Not extracted</x:v>
      </x:c>
      <x:c r="S51" s="5" t="str">
        <x:v>Not extracted</x:v>
      </x:c>
      <x:c r="T51" s="5" t="str">
        <x:v>Not assigned</x:v>
      </x:c>
      <x:c r="U51" s="8"/>
    </x:row>
    <x:row r="52" ht="40" customHeight="1">
      <x:c r="A52" s="5" t="str">
        <x:v>C0012</x:v>
      </x:c>
      <x:c r="B52" s="5" t="str">
        <x:v>Not extracted</x:v>
      </x:c>
      <x:c r="C52" s="5" t="str">
        <x:v>Not extracted</x:v>
      </x:c>
      <x:c r="D52" s="5" t="str">
        <x:v>Not extracted</x:v>
      </x:c>
      <x:c r="E52" s="5" t="str">
        <x:v>Not extracted</x:v>
      </x:c>
      <x:c r="F52" s="5" t="str">
        <x:v>Not extracted</x:v>
      </x:c>
      <x:c r="G52" s="5" t="str">
        <x:v>Not extracted</x:v>
      </x:c>
      <x:c r="H52" s="5" t="str">
        <x:v>Not extracted</x:v>
      </x:c>
      <x:c r="I52" s="5" t="str">
        <x:v>Not extracted</x:v>
      </x:c>
      <x:c r="J52" s="5" t="str">
        <x:v>Not extracted</x:v>
      </x:c>
      <x:c r="K52" s="5" t="str">
        <x:v>Not extracted</x:v>
      </x:c>
      <x:c r="L52" s="5" t="str">
        <x:v>Not extracted</x:v>
      </x:c>
      <x:c r="M52" s="5" t="str">
        <x:v>Not extracted</x:v>
      </x:c>
      <x:c r="N52" s="5" t="str">
        <x:v>Not extracted</x:v>
      </x:c>
      <x:c r="O52" s="5" t="str">
        <x:v>Not extracted</x:v>
      </x:c>
      <x:c r="P52" s="5" t="str">
        <x:v>Not extracted</x:v>
      </x:c>
      <x:c r="Q52" s="5" t="str">
        <x:v>Not extracted</x:v>
      </x:c>
      <x:c r="R52" s="5" t="str">
        <x:v>Not extracted</x:v>
      </x:c>
      <x:c r="S52" s="5" t="str">
        <x:v>Not extracted</x:v>
      </x:c>
      <x:c r="T52" s="5" t="str">
        <x:v>Not assigned</x:v>
      </x:c>
      <x:c r="U52" s="8"/>
    </x:row>
    <x:row r="53" ht="40" customHeight="1">
      <x:c r="A53" s="5" t="str">
        <x:v>C0014</x:v>
      </x:c>
      <x:c r="B53" s="5" t="str">
        <x:v>Not extracted</x:v>
      </x:c>
      <x:c r="C53" s="5" t="str">
        <x:v>Not extracted</x:v>
      </x:c>
      <x:c r="D53" s="5" t="str">
        <x:v>Not extracted</x:v>
      </x:c>
      <x:c r="E53" s="5" t="str">
        <x:v>Not extracted</x:v>
      </x:c>
      <x:c r="F53" s="5" t="str">
        <x:v>Not extracted</x:v>
      </x:c>
      <x:c r="G53" s="5" t="str">
        <x:v>Not extracted</x:v>
      </x:c>
      <x:c r="H53" s="5" t="str">
        <x:v>Not extracted</x:v>
      </x:c>
      <x:c r="I53" s="5" t="str">
        <x:v>Not extracted</x:v>
      </x:c>
      <x:c r="J53" s="5" t="str">
        <x:v>Not extracted</x:v>
      </x:c>
      <x:c r="K53" s="5" t="str">
        <x:v>Not extracted</x:v>
      </x:c>
      <x:c r="L53" s="5" t="str">
        <x:v>Not extracted</x:v>
      </x:c>
      <x:c r="M53" s="5" t="str">
        <x:v>Not extracted</x:v>
      </x:c>
      <x:c r="N53" s="5" t="str">
        <x:v>Not extracted</x:v>
      </x:c>
      <x:c r="O53" s="5" t="str">
        <x:v>Not extracted</x:v>
      </x:c>
      <x:c r="P53" s="5" t="str">
        <x:v>Not extracted</x:v>
      </x:c>
      <x:c r="Q53" s="5" t="str">
        <x:v>Not extracted</x:v>
      </x:c>
      <x:c r="R53" s="5" t="str">
        <x:v>Not extracted</x:v>
      </x:c>
      <x:c r="S53" s="5" t="str">
        <x:v>Not extracted</x:v>
      </x:c>
      <x:c r="T53" s="5" t="str">
        <x:v>Not assigned</x:v>
      </x:c>
      <x:c r="U53" s="8"/>
    </x:row>
    <x:row r="54" ht="40" customHeight="1">
      <x:c r="A54" s="5" t="str">
        <x:v>C0015</x:v>
      </x:c>
      <x:c r="B54" s="5" t="str">
        <x:v>Not extracted</x:v>
      </x:c>
      <x:c r="C54" s="5" t="str">
        <x:v>Not extracted</x:v>
      </x:c>
      <x:c r="D54" s="5" t="str">
        <x:v>Not extracted</x:v>
      </x:c>
      <x:c r="E54" s="5" t="str">
        <x:v>Not extracted</x:v>
      </x:c>
      <x:c r="F54" s="5" t="str">
        <x:v>Not extracted</x:v>
      </x:c>
      <x:c r="G54" s="5" t="str">
        <x:v>Not extracted</x:v>
      </x:c>
      <x:c r="H54" s="5" t="str">
        <x:v>Not extracted</x:v>
      </x:c>
      <x:c r="I54" s="5" t="str">
        <x:v>Not extracted</x:v>
      </x:c>
      <x:c r="J54" s="5" t="str">
        <x:v>Not extracted</x:v>
      </x:c>
      <x:c r="K54" s="5" t="str">
        <x:v>Not extracted</x:v>
      </x:c>
      <x:c r="L54" s="5" t="str">
        <x:v>Not extracted</x:v>
      </x:c>
      <x:c r="M54" s="5" t="str">
        <x:v>Not extracted</x:v>
      </x:c>
      <x:c r="N54" s="5" t="str">
        <x:v>Not extracted</x:v>
      </x:c>
      <x:c r="O54" s="5" t="str">
        <x:v>Not extracted</x:v>
      </x:c>
      <x:c r="P54" s="5" t="str">
        <x:v>Not extracted</x:v>
      </x:c>
      <x:c r="Q54" s="5" t="str">
        <x:v>Not extracted</x:v>
      </x:c>
      <x:c r="R54" s="5" t="str">
        <x:v>Not extracted</x:v>
      </x:c>
      <x:c r="S54" s="5" t="str">
        <x:v>Not extracted</x:v>
      </x:c>
      <x:c r="T54" s="5" t="str">
        <x:v>Not assigned</x:v>
      </x:c>
      <x:c r="U54" s="8"/>
    </x:row>
    <x:row r="55" ht="40" customHeight="1">
      <x:c r="A55" s="5" t="str">
        <x:v>C0016</x:v>
      </x:c>
      <x:c r="B55" s="5" t="str">
        <x:v>Not extracted</x:v>
      </x:c>
      <x:c r="C55" s="5" t="str">
        <x:v>Not extracted</x:v>
      </x:c>
      <x:c r="D55" s="5" t="str">
        <x:v>Not extracted</x:v>
      </x:c>
      <x:c r="E55" s="5" t="str">
        <x:v>Not extracted</x:v>
      </x:c>
      <x:c r="F55" s="5" t="str">
        <x:v>Not extracted</x:v>
      </x:c>
      <x:c r="G55" s="5" t="str">
        <x:v>Not extracted</x:v>
      </x:c>
      <x:c r="H55" s="5" t="str">
        <x:v>Not extracted</x:v>
      </x:c>
      <x:c r="I55" s="5" t="str">
        <x:v>Not extracted</x:v>
      </x:c>
      <x:c r="J55" s="5" t="str">
        <x:v>Not extracted</x:v>
      </x:c>
      <x:c r="K55" s="5" t="str">
        <x:v>Not extracted</x:v>
      </x:c>
      <x:c r="L55" s="5" t="str">
        <x:v>Not extracted</x:v>
      </x:c>
      <x:c r="M55" s="5" t="str">
        <x:v>Not extracted</x:v>
      </x:c>
      <x:c r="N55" s="5" t="str">
        <x:v>Not extracted</x:v>
      </x:c>
      <x:c r="O55" s="5" t="str">
        <x:v>Not extracted</x:v>
      </x:c>
      <x:c r="P55" s="5" t="str">
        <x:v>Not extracted</x:v>
      </x:c>
      <x:c r="Q55" s="5" t="str">
        <x:v>Not extracted</x:v>
      </x:c>
      <x:c r="R55" s="5" t="str">
        <x:v>Not extracted</x:v>
      </x:c>
      <x:c r="S55" s="5" t="str">
        <x:v>Not extracted</x:v>
      </x:c>
      <x:c r="T55" s="5" t="str">
        <x:v>Not assigned</x:v>
      </x:c>
      <x:c r="U55" s="8"/>
    </x:row>
    <x:row r="56" ht="40" customHeight="1">
      <x:c r="A56" s="5" t="str">
        <x:v>C0017</x:v>
      </x:c>
      <x:c r="B56" s="5" t="str">
        <x:v>Not extracted</x:v>
      </x:c>
      <x:c r="C56" s="5" t="str">
        <x:v>Not extracted</x:v>
      </x:c>
      <x:c r="D56" s="5" t="str">
        <x:v>Not extracted</x:v>
      </x:c>
      <x:c r="E56" s="5" t="str">
        <x:v>Not extracted</x:v>
      </x:c>
      <x:c r="F56" s="5" t="str">
        <x:v>Not extracted</x:v>
      </x:c>
      <x:c r="G56" s="5" t="str">
        <x:v>Not extracted</x:v>
      </x:c>
      <x:c r="H56" s="5" t="str">
        <x:v>Not extracted</x:v>
      </x:c>
      <x:c r="I56" s="5" t="str">
        <x:v>Not extracted</x:v>
      </x:c>
      <x:c r="J56" s="5" t="str">
        <x:v>Not extracted</x:v>
      </x:c>
      <x:c r="K56" s="5" t="str">
        <x:v>Not extracted</x:v>
      </x:c>
      <x:c r="L56" s="5" t="str">
        <x:v>Not extracted</x:v>
      </x:c>
      <x:c r="M56" s="5" t="str">
        <x:v>Not extracted</x:v>
      </x:c>
      <x:c r="N56" s="5" t="str">
        <x:v>Not extracted</x:v>
      </x:c>
      <x:c r="O56" s="5" t="str">
        <x:v>Not extracted</x:v>
      </x:c>
      <x:c r="P56" s="5" t="str">
        <x:v>Not extracted</x:v>
      </x:c>
      <x:c r="Q56" s="5" t="str">
        <x:v>Not extracted</x:v>
      </x:c>
      <x:c r="R56" s="5" t="str">
        <x:v>Not extracted</x:v>
      </x:c>
      <x:c r="S56" s="5" t="str">
        <x:v>Not extracted</x:v>
      </x:c>
      <x:c r="T56" s="5" t="str">
        <x:v>Not assigned</x:v>
      </x:c>
      <x:c r="U56" s="8"/>
    </x:row>
    <x:row r="57" ht="40" customHeight="1">
      <x:c r="A57" s="5" t="str">
        <x:v>C0018</x:v>
      </x:c>
      <x:c r="B57" s="5" t="str">
        <x:v>Not extracted</x:v>
      </x:c>
      <x:c r="C57" s="5" t="str">
        <x:v>Not extracted</x:v>
      </x:c>
      <x:c r="D57" s="5" t="str">
        <x:v>Not extracted</x:v>
      </x:c>
      <x:c r="E57" s="5" t="str">
        <x:v>Not extracted</x:v>
      </x:c>
      <x:c r="F57" s="5" t="str">
        <x:v>Not extracted</x:v>
      </x:c>
      <x:c r="G57" s="5" t="str">
        <x:v>Not extracted</x:v>
      </x:c>
      <x:c r="H57" s="5" t="str">
        <x:v>Not extracted</x:v>
      </x:c>
      <x:c r="I57" s="5" t="str">
        <x:v>Not extracted</x:v>
      </x:c>
      <x:c r="J57" s="5" t="str">
        <x:v>Not extracted</x:v>
      </x:c>
      <x:c r="K57" s="5" t="str">
        <x:v>Not extracted</x:v>
      </x:c>
      <x:c r="L57" s="5" t="str">
        <x:v>Not extracted</x:v>
      </x:c>
      <x:c r="M57" s="5" t="str">
        <x:v>Not extracted</x:v>
      </x:c>
      <x:c r="N57" s="5" t="str">
        <x:v>Not extracted</x:v>
      </x:c>
      <x:c r="O57" s="5" t="str">
        <x:v>Not extracted</x:v>
      </x:c>
      <x:c r="P57" s="5" t="str">
        <x:v>Not extracted</x:v>
      </x:c>
      <x:c r="Q57" s="5" t="str">
        <x:v>Not extracted</x:v>
      </x:c>
      <x:c r="R57" s="5" t="str">
        <x:v>Not extracted</x:v>
      </x:c>
      <x:c r="S57" s="5" t="str">
        <x:v>Not extracted</x:v>
      </x:c>
      <x:c r="T57" s="5" t="str">
        <x:v>Not assigned</x:v>
      </x:c>
      <x:c r="U57" s="8"/>
    </x:row>
    <x:row r="58" ht="40" customHeight="1">
      <x:c r="A58" s="5" t="str">
        <x:v>C0019</x:v>
      </x:c>
      <x:c r="B58" s="5" t="str">
        <x:v>Not extracted</x:v>
      </x:c>
      <x:c r="C58" s="5" t="str">
        <x:v>Not extracted</x:v>
      </x:c>
      <x:c r="D58" s="5" t="str">
        <x:v>Not extracted</x:v>
      </x:c>
      <x:c r="E58" s="5" t="str">
        <x:v>Not extracted</x:v>
      </x:c>
      <x:c r="F58" s="5" t="str">
        <x:v>Not extracted</x:v>
      </x:c>
      <x:c r="G58" s="5" t="str">
        <x:v>Not extracted</x:v>
      </x:c>
      <x:c r="H58" s="5" t="str">
        <x:v>Not extracted</x:v>
      </x:c>
      <x:c r="I58" s="5" t="str">
        <x:v>Not extracted</x:v>
      </x:c>
      <x:c r="J58" s="5" t="str">
        <x:v>Not extracted</x:v>
      </x:c>
      <x:c r="K58" s="5" t="str">
        <x:v>Not extracted</x:v>
      </x:c>
      <x:c r="L58" s="5" t="str">
        <x:v>Not extracted</x:v>
      </x:c>
      <x:c r="M58" s="5" t="str">
        <x:v>Not extracted</x:v>
      </x:c>
      <x:c r="N58" s="5" t="str">
        <x:v>Not extracted</x:v>
      </x:c>
      <x:c r="O58" s="5" t="str">
        <x:v>Not extracted</x:v>
      </x:c>
      <x:c r="P58" s="5" t="str">
        <x:v>Not extracted</x:v>
      </x:c>
      <x:c r="Q58" s="5" t="str">
        <x:v>Not extracted</x:v>
      </x:c>
      <x:c r="R58" s="5" t="str">
        <x:v>Not extracted</x:v>
      </x:c>
      <x:c r="S58" s="5" t="str">
        <x:v>Not extracted</x:v>
      </x:c>
      <x:c r="T58" s="5" t="str">
        <x:v>Not assigned</x:v>
      </x:c>
      <x:c r="U58" s="8"/>
    </x:row>
    <x:row r="59" ht="40" customHeight="1">
      <x:c r="A59" s="5" t="str">
        <x:v>C0020</x:v>
      </x:c>
      <x:c r="B59" s="5" t="str">
        <x:v>Not extracted</x:v>
      </x:c>
      <x:c r="C59" s="5" t="str">
        <x:v>Not extracted</x:v>
      </x:c>
      <x:c r="D59" s="5" t="str">
        <x:v>Not extracted</x:v>
      </x:c>
      <x:c r="E59" s="5" t="str">
        <x:v>Not extracted</x:v>
      </x:c>
      <x:c r="F59" s="5" t="str">
        <x:v>Not extracted</x:v>
      </x:c>
      <x:c r="G59" s="5" t="str">
        <x:v>Not extracted</x:v>
      </x:c>
      <x:c r="H59" s="5" t="str">
        <x:v>Not extracted</x:v>
      </x:c>
      <x:c r="I59" s="5" t="str">
        <x:v>Not extracted</x:v>
      </x:c>
      <x:c r="J59" s="5" t="str">
        <x:v>Not extracted</x:v>
      </x:c>
      <x:c r="K59" s="5" t="str">
        <x:v>Not extracted</x:v>
      </x:c>
      <x:c r="L59" s="5" t="str">
        <x:v>Not extracted</x:v>
      </x:c>
      <x:c r="M59" s="5" t="str">
        <x:v>Not extracted</x:v>
      </x:c>
      <x:c r="N59" s="5" t="str">
        <x:v>Not extracted</x:v>
      </x:c>
      <x:c r="O59" s="5" t="str">
        <x:v>Not extracted</x:v>
      </x:c>
      <x:c r="P59" s="5" t="str">
        <x:v>Not extracted</x:v>
      </x:c>
      <x:c r="Q59" s="5" t="str">
        <x:v>Not extracted</x:v>
      </x:c>
      <x:c r="R59" s="5" t="str">
        <x:v>Not extracted</x:v>
      </x:c>
      <x:c r="S59" s="5" t="str">
        <x:v>Not extracted</x:v>
      </x:c>
      <x:c r="T59" s="5" t="str">
        <x:v>Not assigned</x:v>
      </x:c>
      <x:c r="U59" s="8"/>
    </x:row>
    <x:row r="60" ht="40" customHeight="1">
      <x:c r="A60" s="5" t="str">
        <x:v>C0021</x:v>
      </x:c>
      <x:c r="B60" s="5" t="str">
        <x:v>Not extracted</x:v>
      </x:c>
      <x:c r="C60" s="5" t="str">
        <x:v>Not extracted</x:v>
      </x:c>
      <x:c r="D60" s="5" t="str">
        <x:v>Not extracted</x:v>
      </x:c>
      <x:c r="E60" s="5" t="str">
        <x:v>Not extracted</x:v>
      </x:c>
      <x:c r="F60" s="5" t="str">
        <x:v>Not extracted</x:v>
      </x:c>
      <x:c r="G60" s="5" t="str">
        <x:v>Not extracted</x:v>
      </x:c>
      <x:c r="H60" s="5" t="str">
        <x:v>Not extracted</x:v>
      </x:c>
      <x:c r="I60" s="5" t="str">
        <x:v>Not extracted</x:v>
      </x:c>
      <x:c r="J60" s="5" t="str">
        <x:v>Not extracted</x:v>
      </x:c>
      <x:c r="K60" s="5" t="str">
        <x:v>Not extracted</x:v>
      </x:c>
      <x:c r="L60" s="5" t="str">
        <x:v>Not extracted</x:v>
      </x:c>
      <x:c r="M60" s="5" t="str">
        <x:v>Not extracted</x:v>
      </x:c>
      <x:c r="N60" s="5" t="str">
        <x:v>Not extracted</x:v>
      </x:c>
      <x:c r="O60" s="5" t="str">
        <x:v>Not extracted</x:v>
      </x:c>
      <x:c r="P60" s="5" t="str">
        <x:v>Not extracted</x:v>
      </x:c>
      <x:c r="Q60" s="5" t="str">
        <x:v>Not extracted</x:v>
      </x:c>
      <x:c r="R60" s="5" t="str">
        <x:v>Not extracted</x:v>
      </x:c>
      <x:c r="S60" s="5" t="str">
        <x:v>Not extracted</x:v>
      </x:c>
      <x:c r="T60" s="5" t="str">
        <x:v>Not assigned</x:v>
      </x:c>
      <x:c r="U60" s="8"/>
    </x:row>
    <x:row r="61" ht="40" customHeight="1">
      <x:c r="A61" s="5" t="str">
        <x:v>C0022</x:v>
      </x:c>
      <x:c r="B61" s="5" t="str">
        <x:v>Not extracted</x:v>
      </x:c>
      <x:c r="C61" s="5" t="str">
        <x:v>Not extracted</x:v>
      </x:c>
      <x:c r="D61" s="5" t="str">
        <x:v>Not extracted</x:v>
      </x:c>
      <x:c r="E61" s="5" t="str">
        <x:v>Not extracted</x:v>
      </x:c>
      <x:c r="F61" s="5" t="str">
        <x:v>Not extracted</x:v>
      </x:c>
      <x:c r="G61" s="5" t="str">
        <x:v>Not extracted</x:v>
      </x:c>
      <x:c r="H61" s="5" t="str">
        <x:v>Not extracted</x:v>
      </x:c>
      <x:c r="I61" s="5" t="str">
        <x:v>Not extracted</x:v>
      </x:c>
      <x:c r="J61" s="5" t="str">
        <x:v>Not extracted</x:v>
      </x:c>
      <x:c r="K61" s="5" t="str">
        <x:v>Not extracted</x:v>
      </x:c>
      <x:c r="L61" s="5" t="str">
        <x:v>Not extracted</x:v>
      </x:c>
      <x:c r="M61" s="5" t="str">
        <x:v>Not extracted</x:v>
      </x:c>
      <x:c r="N61" s="5" t="str">
        <x:v>Not extracted</x:v>
      </x:c>
      <x:c r="O61" s="5" t="str">
        <x:v>Not extracted</x:v>
      </x:c>
      <x:c r="P61" s="5" t="str">
        <x:v>Not extracted</x:v>
      </x:c>
      <x:c r="Q61" s="5" t="str">
        <x:v>Not extracted</x:v>
      </x:c>
      <x:c r="R61" s="5" t="str">
        <x:v>Not extracted</x:v>
      </x:c>
      <x:c r="S61" s="5" t="str">
        <x:v>Not extracted</x:v>
      </x:c>
      <x:c r="T61" s="5" t="str">
        <x:v>Not assigned</x:v>
      </x:c>
      <x:c r="U61" s="8"/>
    </x:row>
    <x:row r="62" ht="40" customHeight="1">
      <x:c r="A62" s="5" t="str">
        <x:v>C0023</x:v>
      </x:c>
      <x:c r="B62" s="5" t="str">
        <x:v>Not extracted</x:v>
      </x:c>
      <x:c r="C62" s="5" t="str">
        <x:v>Not extracted</x:v>
      </x:c>
      <x:c r="D62" s="5" t="str">
        <x:v>Not extracted</x:v>
      </x:c>
      <x:c r="E62" s="5" t="str">
        <x:v>Not extracted</x:v>
      </x:c>
      <x:c r="F62" s="5" t="str">
        <x:v>Not extracted</x:v>
      </x:c>
      <x:c r="G62" s="5" t="str">
        <x:v>Not extracted</x:v>
      </x:c>
      <x:c r="H62" s="5" t="str">
        <x:v>Not extracted</x:v>
      </x:c>
      <x:c r="I62" s="5" t="str">
        <x:v>Not extracted</x:v>
      </x:c>
      <x:c r="J62" s="5" t="str">
        <x:v>Not extracted</x:v>
      </x:c>
      <x:c r="K62" s="5" t="str">
        <x:v>Not extracted</x:v>
      </x:c>
      <x:c r="L62" s="5" t="str">
        <x:v>Not extracted</x:v>
      </x:c>
      <x:c r="M62" s="5" t="str">
        <x:v>Not extracted</x:v>
      </x:c>
      <x:c r="N62" s="5" t="str">
        <x:v>Not extracted</x:v>
      </x:c>
      <x:c r="O62" s="5" t="str">
        <x:v>Not extracted</x:v>
      </x:c>
      <x:c r="P62" s="5" t="str">
        <x:v>Not extracted</x:v>
      </x:c>
      <x:c r="Q62" s="5" t="str">
        <x:v>Not extracted</x:v>
      </x:c>
      <x:c r="R62" s="5" t="str">
        <x:v>Not extracted</x:v>
      </x:c>
      <x:c r="S62" s="5" t="str">
        <x:v>Not extracted</x:v>
      </x:c>
      <x:c r="T62" s="5" t="str">
        <x:v>Not assigned</x:v>
      </x:c>
      <x:c r="U62" s="8"/>
    </x:row>
    <x:row r="63" ht="40" customHeight="1">
      <x:c r="A63" s="5" t="str">
        <x:v>C0024</x:v>
      </x:c>
      <x:c r="B63" s="5" t="str">
        <x:v>Not extracted</x:v>
      </x:c>
      <x:c r="C63" s="5" t="str">
        <x:v>Not extracted</x:v>
      </x:c>
      <x:c r="D63" s="5" t="str">
        <x:v>Not extracted</x:v>
      </x:c>
      <x:c r="E63" s="5" t="str">
        <x:v>Not extracted</x:v>
      </x:c>
      <x:c r="F63" s="5" t="str">
        <x:v>Not extracted</x:v>
      </x:c>
      <x:c r="G63" s="5" t="str">
        <x:v>Not extracted</x:v>
      </x:c>
      <x:c r="H63" s="5" t="str">
        <x:v>Not extracted</x:v>
      </x:c>
      <x:c r="I63" s="5" t="str">
        <x:v>Not extracted</x:v>
      </x:c>
      <x:c r="J63" s="5" t="str">
        <x:v>Not extracted</x:v>
      </x:c>
      <x:c r="K63" s="5" t="str">
        <x:v>Not extracted</x:v>
      </x:c>
      <x:c r="L63" s="5" t="str">
        <x:v>Not extracted</x:v>
      </x:c>
      <x:c r="M63" s="5" t="str">
        <x:v>Not extracted</x:v>
      </x:c>
      <x:c r="N63" s="5" t="str">
        <x:v>Not extracted</x:v>
      </x:c>
      <x:c r="O63" s="5" t="str">
        <x:v>Not extracted</x:v>
      </x:c>
      <x:c r="P63" s="5" t="str">
        <x:v>Not extracted</x:v>
      </x:c>
      <x:c r="Q63" s="5" t="str">
        <x:v>Not extracted</x:v>
      </x:c>
      <x:c r="R63" s="5" t="str">
        <x:v>Not extracted</x:v>
      </x:c>
      <x:c r="S63" s="5" t="str">
        <x:v>Not extracted</x:v>
      </x:c>
      <x:c r="T63" s="5" t="str">
        <x:v>Not assigned</x:v>
      </x:c>
      <x:c r="U63" s="8"/>
    </x:row>
    <x:row r="64" ht="40" customHeight="1">
      <x:c r="A64" s="5" t="str">
        <x:v>C0025</x:v>
      </x:c>
      <x:c r="B64" s="5" t="str">
        <x:v>Not extracted</x:v>
      </x:c>
      <x:c r="C64" s="5" t="str">
        <x:v>Not extracted</x:v>
      </x:c>
      <x:c r="D64" s="5" t="str">
        <x:v>Not extracted</x:v>
      </x:c>
      <x:c r="E64" s="5" t="str">
        <x:v>Not extracted</x:v>
      </x:c>
      <x:c r="F64" s="5" t="str">
        <x:v>Not extracted</x:v>
      </x:c>
      <x:c r="G64" s="5" t="str">
        <x:v>Not extracted</x:v>
      </x:c>
      <x:c r="H64" s="5" t="str">
        <x:v>Not extracted</x:v>
      </x:c>
      <x:c r="I64" s="5" t="str">
        <x:v>Not extracted</x:v>
      </x:c>
      <x:c r="J64" s="5" t="str">
        <x:v>Not extracted</x:v>
      </x:c>
      <x:c r="K64" s="5" t="str">
        <x:v>Not extracted</x:v>
      </x:c>
      <x:c r="L64" s="5" t="str">
        <x:v>Not extracted</x:v>
      </x:c>
      <x:c r="M64" s="5" t="str">
        <x:v>Not extracted</x:v>
      </x:c>
      <x:c r="N64" s="5" t="str">
        <x:v>Not extracted</x:v>
      </x:c>
      <x:c r="O64" s="5" t="str">
        <x:v>Not extracted</x:v>
      </x:c>
      <x:c r="P64" s="5" t="str">
        <x:v>Not extracted</x:v>
      </x:c>
      <x:c r="Q64" s="5" t="str">
        <x:v>Not extracted</x:v>
      </x:c>
      <x:c r="R64" s="5" t="str">
        <x:v>Not extracted</x:v>
      </x:c>
      <x:c r="S64" s="5" t="str">
        <x:v>Not extracted</x:v>
      </x:c>
      <x:c r="T64" s="5" t="str">
        <x:v>Not assigned</x:v>
      </x:c>
      <x:c r="U64" s="8"/>
    </x:row>
    <x:row r="65" ht="40" customHeight="1">
      <x:c r="A65" s="5" t="str">
        <x:v>C0027</x:v>
      </x:c>
      <x:c r="B65" s="5" t="str">
        <x:v>Not extracted</x:v>
      </x:c>
      <x:c r="C65" s="5" t="str">
        <x:v>Not extracted</x:v>
      </x:c>
      <x:c r="D65" s="5" t="str">
        <x:v>Not extracted</x:v>
      </x:c>
      <x:c r="E65" s="5" t="str">
        <x:v>Not extracted</x:v>
      </x:c>
      <x:c r="F65" s="5" t="str">
        <x:v>Not extracted</x:v>
      </x:c>
      <x:c r="G65" s="5" t="str">
        <x:v>Not extracted</x:v>
      </x:c>
      <x:c r="H65" s="5" t="str">
        <x:v>Not extracted</x:v>
      </x:c>
      <x:c r="I65" s="5" t="str">
        <x:v>Not extracted</x:v>
      </x:c>
      <x:c r="J65" s="5" t="str">
        <x:v>Not extracted</x:v>
      </x:c>
      <x:c r="K65" s="5" t="str">
        <x:v>Not extracted</x:v>
      </x:c>
      <x:c r="L65" s="5" t="str">
        <x:v>Not extracted</x:v>
      </x:c>
      <x:c r="M65" s="5" t="str">
        <x:v>Not extracted</x:v>
      </x:c>
      <x:c r="N65" s="5" t="str">
        <x:v>Not extracted</x:v>
      </x:c>
      <x:c r="O65" s="5" t="str">
        <x:v>Not extracted</x:v>
      </x:c>
      <x:c r="P65" s="5" t="str">
        <x:v>Not extracted</x:v>
      </x:c>
      <x:c r="Q65" s="5" t="str">
        <x:v>Not extracted</x:v>
      </x:c>
      <x:c r="R65" s="5" t="str">
        <x:v>Not extracted</x:v>
      </x:c>
      <x:c r="S65" s="5" t="str">
        <x:v>Not extracted</x:v>
      </x:c>
      <x:c r="T65" s="5" t="str">
        <x:v>Not assigned</x:v>
      </x:c>
      <x:c r="U65" s="8"/>
    </x:row>
    <x:row r="66" ht="40" customHeight="1">
      <x:c r="A66" s="5" t="str">
        <x:v>C0029</x:v>
      </x:c>
      <x:c r="B66" s="5" t="str">
        <x:v>Not extracted</x:v>
      </x:c>
      <x:c r="C66" s="5" t="str">
        <x:v>Not extracted</x:v>
      </x:c>
      <x:c r="D66" s="5" t="str">
        <x:v>Not extracted</x:v>
      </x:c>
      <x:c r="E66" s="5" t="str">
        <x:v>Not extracted</x:v>
      </x:c>
      <x:c r="F66" s="5" t="str">
        <x:v>Not extracted</x:v>
      </x:c>
      <x:c r="G66" s="5" t="str">
        <x:v>Not extracted</x:v>
      </x:c>
      <x:c r="H66" s="5" t="str">
        <x:v>Not extracted</x:v>
      </x:c>
      <x:c r="I66" s="5" t="str">
        <x:v>Not extracted</x:v>
      </x:c>
      <x:c r="J66" s="5" t="str">
        <x:v>Not extracted</x:v>
      </x:c>
      <x:c r="K66" s="5" t="str">
        <x:v>Not extracted</x:v>
      </x:c>
      <x:c r="L66" s="5" t="str">
        <x:v>Not extracted</x:v>
      </x:c>
      <x:c r="M66" s="5" t="str">
        <x:v>Not extracted</x:v>
      </x:c>
      <x:c r="N66" s="5" t="str">
        <x:v>Not extracted</x:v>
      </x:c>
      <x:c r="O66" s="5" t="str">
        <x:v>Not extracted</x:v>
      </x:c>
      <x:c r="P66" s="5" t="str">
        <x:v>Not extracted</x:v>
      </x:c>
      <x:c r="Q66" s="5" t="str">
        <x:v>Not extracted</x:v>
      </x:c>
      <x:c r="R66" s="5" t="str">
        <x:v>Not extracted</x:v>
      </x:c>
      <x:c r="S66" s="5" t="str">
        <x:v>Not extracted</x:v>
      </x:c>
      <x:c r="T66" s="5" t="str">
        <x:v>Not assigned</x:v>
      </x:c>
      <x:c r="U66" s="8"/>
    </x:row>
    <x:row r="67" ht="40" customHeight="1">
      <x:c r="A67" s="5" t="str">
        <x:v>C0030</x:v>
      </x:c>
      <x:c r="B67" s="5" t="str">
        <x:v>Not extracted</x:v>
      </x:c>
      <x:c r="C67" s="5" t="str">
        <x:v>Not extracted</x:v>
      </x:c>
      <x:c r="D67" s="5" t="str">
        <x:v>Not extracted</x:v>
      </x:c>
      <x:c r="E67" s="5" t="str">
        <x:v>Not extracted</x:v>
      </x:c>
      <x:c r="F67" s="5" t="str">
        <x:v>Not extracted</x:v>
      </x:c>
      <x:c r="G67" s="5" t="str">
        <x:v>Not extracted</x:v>
      </x:c>
      <x:c r="H67" s="5" t="str">
        <x:v>Not extracted</x:v>
      </x:c>
      <x:c r="I67" s="5" t="str">
        <x:v>Not extracted</x:v>
      </x:c>
      <x:c r="J67" s="5" t="str">
        <x:v>Not extracted</x:v>
      </x:c>
      <x:c r="K67" s="5" t="str">
        <x:v>Not extracted</x:v>
      </x:c>
      <x:c r="L67" s="5" t="str">
        <x:v>Not extracted</x:v>
      </x:c>
      <x:c r="M67" s="5" t="str">
        <x:v>Not extracted</x:v>
      </x:c>
      <x:c r="N67" s="5" t="str">
        <x:v>Not extracted</x:v>
      </x:c>
      <x:c r="O67" s="5" t="str">
        <x:v>Not extracted</x:v>
      </x:c>
      <x:c r="P67" s="5" t="str">
        <x:v>Not extracted</x:v>
      </x:c>
      <x:c r="Q67" s="5" t="str">
        <x:v>Not extracted</x:v>
      </x:c>
      <x:c r="R67" s="5" t="str">
        <x:v>Not extracted</x:v>
      </x:c>
      <x:c r="S67" s="5" t="str">
        <x:v>Not extracted</x:v>
      </x:c>
      <x:c r="T67" s="5" t="str">
        <x:v>Not assigned</x:v>
      </x:c>
      <x:c r="U67" s="8"/>
    </x:row>
    <x:row r="68" ht="40" customHeight="1">
      <x:c r="A68" s="5" t="str">
        <x:v>C0031</x:v>
      </x:c>
      <x:c r="B68" s="5" t="str">
        <x:v>Not extracted</x:v>
      </x:c>
      <x:c r="C68" s="5" t="str">
        <x:v>Not extracted</x:v>
      </x:c>
      <x:c r="D68" s="5" t="str">
        <x:v>Not extracted</x:v>
      </x:c>
      <x:c r="E68" s="5" t="str">
        <x:v>Not extracted</x:v>
      </x:c>
      <x:c r="F68" s="5" t="str">
        <x:v>Not extracted</x:v>
      </x:c>
      <x:c r="G68" s="5" t="str">
        <x:v>Not extracted</x:v>
      </x:c>
      <x:c r="H68" s="5" t="str">
        <x:v>Not extracted</x:v>
      </x:c>
      <x:c r="I68" s="5" t="str">
        <x:v>Not extracted</x:v>
      </x:c>
      <x:c r="J68" s="5" t="str">
        <x:v>Not extracted</x:v>
      </x:c>
      <x:c r="K68" s="5" t="str">
        <x:v>Not extracted</x:v>
      </x:c>
      <x:c r="L68" s="5" t="str">
        <x:v>Not extracted</x:v>
      </x:c>
      <x:c r="M68" s="5" t="str">
        <x:v>Not extracted</x:v>
      </x:c>
      <x:c r="N68" s="5" t="str">
        <x:v>Not extracted</x:v>
      </x:c>
      <x:c r="O68" s="5" t="str">
        <x:v>Not extracted</x:v>
      </x:c>
      <x:c r="P68" s="5" t="str">
        <x:v>Not extracted</x:v>
      </x:c>
      <x:c r="Q68" s="5" t="str">
        <x:v>Not extracted</x:v>
      </x:c>
      <x:c r="R68" s="5" t="str">
        <x:v>Not extracted</x:v>
      </x:c>
      <x:c r="S68" s="5" t="str">
        <x:v>Not extracted</x:v>
      </x:c>
      <x:c r="T68" s="5" t="str">
        <x:v>Not assigned</x:v>
      </x:c>
      <x:c r="U68" s="8"/>
    </x:row>
    <x:row r="69" ht="40" customHeight="1">
      <x:c r="A69" s="5" t="str">
        <x:v>C0032</x:v>
      </x:c>
      <x:c r="B69" s="5" t="str">
        <x:v>Not extracted</x:v>
      </x:c>
      <x:c r="C69" s="5" t="str">
        <x:v>Not extracted</x:v>
      </x:c>
      <x:c r="D69" s="5" t="str">
        <x:v>Not extracted</x:v>
      </x:c>
      <x:c r="E69" s="5" t="str">
        <x:v>Not extracted</x:v>
      </x:c>
      <x:c r="F69" s="5" t="str">
        <x:v>Not extracted</x:v>
      </x:c>
      <x:c r="G69" s="5" t="str">
        <x:v>Not extracted</x:v>
      </x:c>
      <x:c r="H69" s="5" t="str">
        <x:v>Not extracted</x:v>
      </x:c>
      <x:c r="I69" s="5" t="str">
        <x:v>Not extracted</x:v>
      </x:c>
      <x:c r="J69" s="5" t="str">
        <x:v>Not extracted</x:v>
      </x:c>
      <x:c r="K69" s="5" t="str">
        <x:v>Not extracted</x:v>
      </x:c>
      <x:c r="L69" s="5" t="str">
        <x:v>Not extracted</x:v>
      </x:c>
      <x:c r="M69" s="5" t="str">
        <x:v>Not extracted</x:v>
      </x:c>
      <x:c r="N69" s="5" t="str">
        <x:v>Not extracted</x:v>
      </x:c>
      <x:c r="O69" s="5" t="str">
        <x:v>Not extracted</x:v>
      </x:c>
      <x:c r="P69" s="5" t="str">
        <x:v>Not extracted</x:v>
      </x:c>
      <x:c r="Q69" s="5" t="str">
        <x:v>Not extracted</x:v>
      </x:c>
      <x:c r="R69" s="5" t="str">
        <x:v>Not extracted</x:v>
      </x:c>
      <x:c r="S69" s="5" t="str">
        <x:v>Not extracted</x:v>
      </x:c>
      <x:c r="T69" s="5" t="str">
        <x:v>Not assigned</x:v>
      </x:c>
      <x:c r="U69" s="8"/>
    </x:row>
    <x:row r="70" ht="40" customHeight="1">
      <x:c r="A70" s="5" t="str">
        <x:v>C0033</x:v>
      </x:c>
      <x:c r="B70" s="5" t="str">
        <x:v>Not extracted</x:v>
      </x:c>
      <x:c r="C70" s="5" t="str">
        <x:v>Not extracted</x:v>
      </x:c>
      <x:c r="D70" s="5" t="str">
        <x:v>Not extracted</x:v>
      </x:c>
      <x:c r="E70" s="5" t="str">
        <x:v>Not extracted</x:v>
      </x:c>
      <x:c r="F70" s="5" t="str">
        <x:v>Not extracted</x:v>
      </x:c>
      <x:c r="G70" s="5" t="str">
        <x:v>Not extracted</x:v>
      </x:c>
      <x:c r="H70" s="5" t="str">
        <x:v>Not extracted</x:v>
      </x:c>
      <x:c r="I70" s="5" t="str">
        <x:v>Not extracted</x:v>
      </x:c>
      <x:c r="J70" s="5" t="str">
        <x:v>Not extracted</x:v>
      </x:c>
      <x:c r="K70" s="5" t="str">
        <x:v>Not extracted</x:v>
      </x:c>
      <x:c r="L70" s="5" t="str">
        <x:v>Not extracted</x:v>
      </x:c>
      <x:c r="M70" s="5" t="str">
        <x:v>Not extracted</x:v>
      </x:c>
      <x:c r="N70" s="5" t="str">
        <x:v>Not extracted</x:v>
      </x:c>
      <x:c r="O70" s="5" t="str">
        <x:v>Not extracted</x:v>
      </x:c>
      <x:c r="P70" s="5" t="str">
        <x:v>Not extracted</x:v>
      </x:c>
      <x:c r="Q70" s="5" t="str">
        <x:v>Not extracted</x:v>
      </x:c>
      <x:c r="R70" s="5" t="str">
        <x:v>Not extracted</x:v>
      </x:c>
      <x:c r="S70" s="5" t="str">
        <x:v>Not extracted</x:v>
      </x:c>
      <x:c r="T70" s="5" t="str">
        <x:v>Not assigned</x:v>
      </x:c>
      <x:c r="U70" s="8"/>
    </x:row>
    <x:row r="71" ht="40" customHeight="1">
      <x:c r="A71" s="5" t="str">
        <x:v>C0035</x:v>
      </x:c>
      <x:c r="B71" s="5" t="str">
        <x:v>Not extracted</x:v>
      </x:c>
      <x:c r="C71" s="5" t="str">
        <x:v>Not extracted</x:v>
      </x:c>
      <x:c r="D71" s="5" t="str">
        <x:v>Not extracted</x:v>
      </x:c>
      <x:c r="E71" s="5" t="str">
        <x:v>Not extracted</x:v>
      </x:c>
      <x:c r="F71" s="5" t="str">
        <x:v>Not extracted</x:v>
      </x:c>
      <x:c r="G71" s="5" t="str">
        <x:v>Not extracted</x:v>
      </x:c>
      <x:c r="H71" s="5" t="str">
        <x:v>Not extracted</x:v>
      </x:c>
      <x:c r="I71" s="5" t="str">
        <x:v>Not extracted</x:v>
      </x:c>
      <x:c r="J71" s="5" t="str">
        <x:v>Not extracted</x:v>
      </x:c>
      <x:c r="K71" s="5" t="str">
        <x:v>Not extracted</x:v>
      </x:c>
      <x:c r="L71" s="5" t="str">
        <x:v>Not extracted</x:v>
      </x:c>
      <x:c r="M71" s="5" t="str">
        <x:v>Not extracted</x:v>
      </x:c>
      <x:c r="N71" s="5" t="str">
        <x:v>Not extracted</x:v>
      </x:c>
      <x:c r="O71" s="5" t="str">
        <x:v>Not extracted</x:v>
      </x:c>
      <x:c r="P71" s="5" t="str">
        <x:v>Not extracted</x:v>
      </x:c>
      <x:c r="Q71" s="5" t="str">
        <x:v>Not extracted</x:v>
      </x:c>
      <x:c r="R71" s="5" t="str">
        <x:v>Not extracted</x:v>
      </x:c>
      <x:c r="S71" s="5" t="str">
        <x:v>Not extracted</x:v>
      </x:c>
      <x:c r="T71" s="5" t="str">
        <x:v>Not assigned</x:v>
      </x:c>
      <x:c r="U71" s="8"/>
    </x:row>
    <x:row r="72" ht="40" customHeight="1">
      <x:c r="A72" s="5" t="str">
        <x:v>C0036</x:v>
      </x:c>
      <x:c r="B72" s="5" t="str">
        <x:v>Not extracted</x:v>
      </x:c>
      <x:c r="C72" s="5" t="str">
        <x:v>Not extracted</x:v>
      </x:c>
      <x:c r="D72" s="5" t="str">
        <x:v>Not extracted</x:v>
      </x:c>
      <x:c r="E72" s="5" t="str">
        <x:v>Not extracted</x:v>
      </x:c>
      <x:c r="F72" s="5" t="str">
        <x:v>Not extracted</x:v>
      </x:c>
      <x:c r="G72" s="5" t="str">
        <x:v>Not extracted</x:v>
      </x:c>
      <x:c r="H72" s="5" t="str">
        <x:v>Not extracted</x:v>
      </x:c>
      <x:c r="I72" s="5" t="str">
        <x:v>Not extracted</x:v>
      </x:c>
      <x:c r="J72" s="5" t="str">
        <x:v>Not extracted</x:v>
      </x:c>
      <x:c r="K72" s="5" t="str">
        <x:v>Not extracted</x:v>
      </x:c>
      <x:c r="L72" s="5" t="str">
        <x:v>Not extracted</x:v>
      </x:c>
      <x:c r="M72" s="5" t="str">
        <x:v>Not extracted</x:v>
      </x:c>
      <x:c r="N72" s="5" t="str">
        <x:v>Not extracted</x:v>
      </x:c>
      <x:c r="O72" s="5" t="str">
        <x:v>Not extracted</x:v>
      </x:c>
      <x:c r="P72" s="5" t="str">
        <x:v>Not extracted</x:v>
      </x:c>
      <x:c r="Q72" s="5" t="str">
        <x:v>Not extracted</x:v>
      </x:c>
      <x:c r="R72" s="5" t="str">
        <x:v>Not extracted</x:v>
      </x:c>
      <x:c r="S72" s="5" t="str">
        <x:v>Not extracted</x:v>
      </x:c>
      <x:c r="T72" s="5" t="str">
        <x:v>Not assigned</x:v>
      </x:c>
      <x:c r="U72" s="8"/>
    </x:row>
    <x:row r="73" ht="40" customHeight="1">
      <x:c r="A73" s="5" t="str">
        <x:v>C0037</x:v>
      </x:c>
      <x:c r="B73" s="5" t="str">
        <x:v>Not extracted</x:v>
      </x:c>
      <x:c r="C73" s="5" t="str">
        <x:v>Not extracted</x:v>
      </x:c>
      <x:c r="D73" s="5" t="str">
        <x:v>Not extracted</x:v>
      </x:c>
      <x:c r="E73" s="5" t="str">
        <x:v>Not extracted</x:v>
      </x:c>
      <x:c r="F73" s="5" t="str">
        <x:v>Not extracted</x:v>
      </x:c>
      <x:c r="G73" s="5" t="str">
        <x:v>Not extracted</x:v>
      </x:c>
      <x:c r="H73" s="5" t="str">
        <x:v>Not extracted</x:v>
      </x:c>
      <x:c r="I73" s="5" t="str">
        <x:v>Not extracted</x:v>
      </x:c>
      <x:c r="J73" s="5" t="str">
        <x:v>Not extracted</x:v>
      </x:c>
      <x:c r="K73" s="5" t="str">
        <x:v>Not extracted</x:v>
      </x:c>
      <x:c r="L73" s="5" t="str">
        <x:v>Not extracted</x:v>
      </x:c>
      <x:c r="M73" s="5" t="str">
        <x:v>Not extracted</x:v>
      </x:c>
      <x:c r="N73" s="5" t="str">
        <x:v>Not extracted</x:v>
      </x:c>
      <x:c r="O73" s="5" t="str">
        <x:v>Not extracted</x:v>
      </x:c>
      <x:c r="P73" s="5" t="str">
        <x:v>Not extracted</x:v>
      </x:c>
      <x:c r="Q73" s="5" t="str">
        <x:v>Not extracted</x:v>
      </x:c>
      <x:c r="R73" s="5" t="str">
        <x:v>Not extracted</x:v>
      </x:c>
      <x:c r="S73" s="5" t="str">
        <x:v>Not extracted</x:v>
      </x:c>
      <x:c r="T73" s="5" t="str">
        <x:v>Not assigned</x:v>
      </x:c>
      <x:c r="U73" s="8"/>
    </x:row>
    <x:row r="74" ht="40" customHeight="1">
      <x:c r="A74" s="5" t="str">
        <x:v>C0039</x:v>
      </x:c>
      <x:c r="B74" s="5" t="str">
        <x:v>Not extracted</x:v>
      </x:c>
      <x:c r="C74" s="5" t="str">
        <x:v>Not extracted</x:v>
      </x:c>
      <x:c r="D74" s="5" t="str">
        <x:v>Not extracted</x:v>
      </x:c>
      <x:c r="E74" s="5" t="str">
        <x:v>Not extracted</x:v>
      </x:c>
      <x:c r="F74" s="5" t="str">
        <x:v>Not extracted</x:v>
      </x:c>
      <x:c r="G74" s="5" t="str">
        <x:v>Not extracted</x:v>
      </x:c>
      <x:c r="H74" s="5" t="str">
        <x:v>Not extracted</x:v>
      </x:c>
      <x:c r="I74" s="5" t="str">
        <x:v>Not extracted</x:v>
      </x:c>
      <x:c r="J74" s="5" t="str">
        <x:v>Not extracted</x:v>
      </x:c>
      <x:c r="K74" s="5" t="str">
        <x:v>Not extracted</x:v>
      </x:c>
      <x:c r="L74" s="5" t="str">
        <x:v>Not extracted</x:v>
      </x:c>
      <x:c r="M74" s="5" t="str">
        <x:v>Not extracted</x:v>
      </x:c>
      <x:c r="N74" s="5" t="str">
        <x:v>Not extracted</x:v>
      </x:c>
      <x:c r="O74" s="5" t="str">
        <x:v>Not extracted</x:v>
      </x:c>
      <x:c r="P74" s="5" t="str">
        <x:v>Not extracted</x:v>
      </x:c>
      <x:c r="Q74" s="5" t="str">
        <x:v>Not extracted</x:v>
      </x:c>
      <x:c r="R74" s="5" t="str">
        <x:v>Not extracted</x:v>
      </x:c>
      <x:c r="S74" s="5" t="str">
        <x:v>Not extracted</x:v>
      </x:c>
      <x:c r="T74" s="5" t="str">
        <x:v>Not assigned</x:v>
      </x:c>
      <x:c r="U74" s="8"/>
    </x:row>
    <x:row r="75" ht="40" customHeight="1">
      <x:c r="A75" s="5" t="str">
        <x:v>C0042</x:v>
      </x:c>
      <x:c r="B75" s="5" t="str">
        <x:v>Not extracted</x:v>
      </x:c>
      <x:c r="C75" s="5" t="str">
        <x:v>Not extracted</x:v>
      </x:c>
      <x:c r="D75" s="5" t="str">
        <x:v>Not extracted</x:v>
      </x:c>
      <x:c r="E75" s="5" t="str">
        <x:v>Not extracted</x:v>
      </x:c>
      <x:c r="F75" s="5" t="str">
        <x:v>Not extracted</x:v>
      </x:c>
      <x:c r="G75" s="5" t="str">
        <x:v>Not extracted</x:v>
      </x:c>
      <x:c r="H75" s="5" t="str">
        <x:v>Not extracted</x:v>
      </x:c>
      <x:c r="I75" s="5" t="str">
        <x:v>Not extracted</x:v>
      </x:c>
      <x:c r="J75" s="5" t="str">
        <x:v>Not extracted</x:v>
      </x:c>
      <x:c r="K75" s="5" t="str">
        <x:v>Not extracted</x:v>
      </x:c>
      <x:c r="L75" s="5" t="str">
        <x:v>Not extracted</x:v>
      </x:c>
      <x:c r="M75" s="5" t="str">
        <x:v>Not extracted</x:v>
      </x:c>
      <x:c r="N75" s="5" t="str">
        <x:v>Not extracted</x:v>
      </x:c>
      <x:c r="O75" s="5" t="str">
        <x:v>Not extracted</x:v>
      </x:c>
      <x:c r="P75" s="5" t="str">
        <x:v>Not extracted</x:v>
      </x:c>
      <x:c r="Q75" s="5" t="str">
        <x:v>Not extracted</x:v>
      </x:c>
      <x:c r="R75" s="5" t="str">
        <x:v>Not extracted</x:v>
      </x:c>
      <x:c r="S75" s="5" t="str">
        <x:v>Not extracted</x:v>
      </x:c>
      <x:c r="T75" s="5" t="str">
        <x:v>Not assigned</x:v>
      </x:c>
      <x:c r="U75" s="8"/>
    </x:row>
    <x:row r="76" ht="40" customHeight="1">
      <x:c r="A76" s="5" t="str">
        <x:v>C0044</x:v>
      </x:c>
      <x:c r="B76" s="5" t="str">
        <x:v>Not extracted</x:v>
      </x:c>
      <x:c r="C76" s="5" t="str">
        <x:v>Not extracted</x:v>
      </x:c>
      <x:c r="D76" s="5" t="str">
        <x:v>Not extracted</x:v>
      </x:c>
      <x:c r="E76" s="5" t="str">
        <x:v>Not extracted</x:v>
      </x:c>
      <x:c r="F76" s="5" t="str">
        <x:v>Not extracted</x:v>
      </x:c>
      <x:c r="G76" s="5" t="str">
        <x:v>Not extracted</x:v>
      </x:c>
      <x:c r="H76" s="5" t="str">
        <x:v>Not extracted</x:v>
      </x:c>
      <x:c r="I76" s="5" t="str">
        <x:v>Not extracted</x:v>
      </x:c>
      <x:c r="J76" s="5" t="str">
        <x:v>Not extracted</x:v>
      </x:c>
      <x:c r="K76" s="5" t="str">
        <x:v>Not extracted</x:v>
      </x:c>
      <x:c r="L76" s="5" t="str">
        <x:v>Not extracted</x:v>
      </x:c>
      <x:c r="M76" s="5" t="str">
        <x:v>Not extracted</x:v>
      </x:c>
      <x:c r="N76" s="5" t="str">
        <x:v>Not extracted</x:v>
      </x:c>
      <x:c r="O76" s="5" t="str">
        <x:v>Not extracted</x:v>
      </x:c>
      <x:c r="P76" s="5" t="str">
        <x:v>Not extracted</x:v>
      </x:c>
      <x:c r="Q76" s="5" t="str">
        <x:v>Not extracted</x:v>
      </x:c>
      <x:c r="R76" s="5" t="str">
        <x:v>Not extracted</x:v>
      </x:c>
      <x:c r="S76" s="5" t="str">
        <x:v>Not extracted</x:v>
      </x:c>
      <x:c r="T76" s="5" t="str">
        <x:v>Not assigned</x:v>
      </x:c>
      <x:c r="U76" s="8"/>
    </x:row>
    <x:row r="77" ht="40" customHeight="1">
      <x:c r="A77" s="5" t="str">
        <x:v>C0047</x:v>
      </x:c>
      <x:c r="B77" s="5" t="str">
        <x:v>Not extracted</x:v>
      </x:c>
      <x:c r="C77" s="5" t="str">
        <x:v>Not extracted</x:v>
      </x:c>
      <x:c r="D77" s="5" t="str">
        <x:v>Not extracted</x:v>
      </x:c>
      <x:c r="E77" s="5" t="str">
        <x:v>Not extracted</x:v>
      </x:c>
      <x:c r="F77" s="5" t="str">
        <x:v>Not extracted</x:v>
      </x:c>
      <x:c r="G77" s="5" t="str">
        <x:v>Not extracted</x:v>
      </x:c>
      <x:c r="H77" s="5" t="str">
        <x:v>Not extracted</x:v>
      </x:c>
      <x:c r="I77" s="5" t="str">
        <x:v>Not extracted</x:v>
      </x:c>
      <x:c r="J77" s="5" t="str">
        <x:v>Not extracted</x:v>
      </x:c>
      <x:c r="K77" s="5" t="str">
        <x:v>Not extracted</x:v>
      </x:c>
      <x:c r="L77" s="5" t="str">
        <x:v>Not extracted</x:v>
      </x:c>
      <x:c r="M77" s="5" t="str">
        <x:v>Not extracted</x:v>
      </x:c>
      <x:c r="N77" s="5" t="str">
        <x:v>Not extracted</x:v>
      </x:c>
      <x:c r="O77" s="5" t="str">
        <x:v>Not extracted</x:v>
      </x:c>
      <x:c r="P77" s="5" t="str">
        <x:v>Not extracted</x:v>
      </x:c>
      <x:c r="Q77" s="5" t="str">
        <x:v>Not extracted</x:v>
      </x:c>
      <x:c r="R77" s="5" t="str">
        <x:v>Not extracted</x:v>
      </x:c>
      <x:c r="S77" s="5" t="str">
        <x:v>Not extracted</x:v>
      </x:c>
      <x:c r="T77" s="5" t="str">
        <x:v>Not assigned</x:v>
      </x:c>
      <x:c r="U77" s="8"/>
    </x:row>
    <x:row r="78" ht="40" customHeight="1">
      <x:c r="A78" s="5" t="str">
        <x:v>C0049</x:v>
      </x:c>
      <x:c r="B78" s="5" t="str">
        <x:v>Not extracted</x:v>
      </x:c>
      <x:c r="C78" s="5" t="str">
        <x:v>Not extracted</x:v>
      </x:c>
      <x:c r="D78" s="5" t="str">
        <x:v>Not extracted</x:v>
      </x:c>
      <x:c r="E78" s="5" t="str">
        <x:v>Not extracted</x:v>
      </x:c>
      <x:c r="F78" s="5" t="str">
        <x:v>Not extracted</x:v>
      </x:c>
      <x:c r="G78" s="5" t="str">
        <x:v>Not extracted</x:v>
      </x:c>
      <x:c r="H78" s="5" t="str">
        <x:v>Not extracted</x:v>
      </x:c>
      <x:c r="I78" s="5" t="str">
        <x:v>Not extracted</x:v>
      </x:c>
      <x:c r="J78" s="5" t="str">
        <x:v>Not extracted</x:v>
      </x:c>
      <x:c r="K78" s="5" t="str">
        <x:v>Not extracted</x:v>
      </x:c>
      <x:c r="L78" s="5" t="str">
        <x:v>Not extracted</x:v>
      </x:c>
      <x:c r="M78" s="5" t="str">
        <x:v>Not extracted</x:v>
      </x:c>
      <x:c r="N78" s="5" t="str">
        <x:v>Not extracted</x:v>
      </x:c>
      <x:c r="O78" s="5" t="str">
        <x:v>Not extracted</x:v>
      </x:c>
      <x:c r="P78" s="5" t="str">
        <x:v>Not extracted</x:v>
      </x:c>
      <x:c r="Q78" s="5" t="str">
        <x:v>Not extracted</x:v>
      </x:c>
      <x:c r="R78" s="5" t="str">
        <x:v>Not extracted</x:v>
      </x:c>
      <x:c r="S78" s="5" t="str">
        <x:v>Not extracted</x:v>
      </x:c>
      <x:c r="T78" s="5" t="str">
        <x:v>Not assigned</x:v>
      </x:c>
      <x:c r="U78" s="8"/>
    </x:row>
    <x:row r="79" ht="40" customHeight="1">
      <x:c r="A79" s="5" t="str">
        <x:v>C0051</x:v>
      </x:c>
      <x:c r="B79" s="5" t="str">
        <x:v>Not extracted</x:v>
      </x:c>
      <x:c r="C79" s="5" t="str">
        <x:v>Not extracted</x:v>
      </x:c>
      <x:c r="D79" s="5" t="str">
        <x:v>Not extracted</x:v>
      </x:c>
      <x:c r="E79" s="5" t="str">
        <x:v>Not extracted</x:v>
      </x:c>
      <x:c r="F79" s="5" t="str">
        <x:v>Not extracted</x:v>
      </x:c>
      <x:c r="G79" s="5" t="str">
        <x:v>Not extracted</x:v>
      </x:c>
      <x:c r="H79" s="5" t="str">
        <x:v>Not extracted</x:v>
      </x:c>
      <x:c r="I79" s="5" t="str">
        <x:v>Not extracted</x:v>
      </x:c>
      <x:c r="J79" s="5" t="str">
        <x:v>Not extracted</x:v>
      </x:c>
      <x:c r="K79" s="5" t="str">
        <x:v>Not extracted</x:v>
      </x:c>
      <x:c r="L79" s="5" t="str">
        <x:v>Not extracted</x:v>
      </x:c>
      <x:c r="M79" s="5" t="str">
        <x:v>Not extracted</x:v>
      </x:c>
      <x:c r="N79" s="5" t="str">
        <x:v>Not extracted</x:v>
      </x:c>
      <x:c r="O79" s="5" t="str">
        <x:v>Not extracted</x:v>
      </x:c>
      <x:c r="P79" s="5" t="str">
        <x:v>Not extracted</x:v>
      </x:c>
      <x:c r="Q79" s="5" t="str">
        <x:v>Not extracted</x:v>
      </x:c>
      <x:c r="R79" s="5" t="str">
        <x:v>Not extracted</x:v>
      </x:c>
      <x:c r="S79" s="5" t="str">
        <x:v>Not extracted</x:v>
      </x:c>
      <x:c r="T79" s="5" t="str">
        <x:v>Not assigned</x:v>
      </x:c>
      <x:c r="U79" s="8"/>
    </x:row>
    <x:row r="80" ht="40" customHeight="1">
      <x:c r="A80" s="5" t="str">
        <x:v>C0053</x:v>
      </x:c>
      <x:c r="B80" s="5" t="str">
        <x:v>Not extracted</x:v>
      </x:c>
      <x:c r="C80" s="5" t="str">
        <x:v>Not extracted</x:v>
      </x:c>
      <x:c r="D80" s="5" t="str">
        <x:v>Not extracted</x:v>
      </x:c>
      <x:c r="E80" s="5" t="str">
        <x:v>Not extracted</x:v>
      </x:c>
      <x:c r="F80" s="5" t="str">
        <x:v>Not extracted</x:v>
      </x:c>
      <x:c r="G80" s="5" t="str">
        <x:v>Not extracted</x:v>
      </x:c>
      <x:c r="H80" s="5" t="str">
        <x:v>Not extracted</x:v>
      </x:c>
      <x:c r="I80" s="5" t="str">
        <x:v>Not extracted</x:v>
      </x:c>
      <x:c r="J80" s="5" t="str">
        <x:v>Not extracted</x:v>
      </x:c>
      <x:c r="K80" s="5" t="str">
        <x:v>Not extracted</x:v>
      </x:c>
      <x:c r="L80" s="5" t="str">
        <x:v>Not extracted</x:v>
      </x:c>
      <x:c r="M80" s="5" t="str">
        <x:v>Not extracted</x:v>
      </x:c>
      <x:c r="N80" s="5" t="str">
        <x:v>Not extracted</x:v>
      </x:c>
      <x:c r="O80" s="5" t="str">
        <x:v>Not extracted</x:v>
      </x:c>
      <x:c r="P80" s="5" t="str">
        <x:v>Not extracted</x:v>
      </x:c>
      <x:c r="Q80" s="5" t="str">
        <x:v>Not extracted</x:v>
      </x:c>
      <x:c r="R80" s="5" t="str">
        <x:v>Not extracted</x:v>
      </x:c>
      <x:c r="S80" s="5" t="str">
        <x:v>Not extracted</x:v>
      </x:c>
      <x:c r="T80" s="5" t="str">
        <x:v>Not assigned</x:v>
      </x:c>
      <x:c r="U80" s="8"/>
    </x:row>
    <x:row r="81" ht="40" customHeight="1">
      <x:c r="A81" s="5" t="str">
        <x:v>C0054</x:v>
      </x:c>
      <x:c r="B81" s="5" t="str">
        <x:v>Not extracted</x:v>
      </x:c>
      <x:c r="C81" s="5" t="str">
        <x:v>Not extracted</x:v>
      </x:c>
      <x:c r="D81" s="5" t="str">
        <x:v>Not extracted</x:v>
      </x:c>
      <x:c r="E81" s="5" t="str">
        <x:v>Not extracted</x:v>
      </x:c>
      <x:c r="F81" s="5" t="str">
        <x:v>Not extracted</x:v>
      </x:c>
      <x:c r="G81" s="5" t="str">
        <x:v>Not extracted</x:v>
      </x:c>
      <x:c r="H81" s="5" t="str">
        <x:v>Not extracted</x:v>
      </x:c>
      <x:c r="I81" s="5" t="str">
        <x:v>Not extracted</x:v>
      </x:c>
      <x:c r="J81" s="5" t="str">
        <x:v>Not extracted</x:v>
      </x:c>
      <x:c r="K81" s="5" t="str">
        <x:v>Not extracted</x:v>
      </x:c>
      <x:c r="L81" s="5" t="str">
        <x:v>Not extracted</x:v>
      </x:c>
      <x:c r="M81" s="5" t="str">
        <x:v>Not extracted</x:v>
      </x:c>
      <x:c r="N81" s="5" t="str">
        <x:v>Not extracted</x:v>
      </x:c>
      <x:c r="O81" s="5" t="str">
        <x:v>Not extracted</x:v>
      </x:c>
      <x:c r="P81" s="5" t="str">
        <x:v>Not extracted</x:v>
      </x:c>
      <x:c r="Q81" s="5" t="str">
        <x:v>Not extracted</x:v>
      </x:c>
      <x:c r="R81" s="5" t="str">
        <x:v>Not extracted</x:v>
      </x:c>
      <x:c r="S81" s="5" t="str">
        <x:v>Not extracted</x:v>
      </x:c>
      <x:c r="T81" s="5" t="str">
        <x:v>Not assigned</x:v>
      </x:c>
      <x:c r="U81" s="8"/>
    </x:row>
    <x:row r="82" ht="40" customHeight="1">
      <x:c r="A82" s="5" t="str">
        <x:v>C0055</x:v>
      </x:c>
      <x:c r="B82" s="5" t="str">
        <x:v>Not extracted</x:v>
      </x:c>
      <x:c r="C82" s="5" t="str">
        <x:v>Not extracted</x:v>
      </x:c>
      <x:c r="D82" s="5" t="str">
        <x:v>Not extracted</x:v>
      </x:c>
      <x:c r="E82" s="5" t="str">
        <x:v>Not extracted</x:v>
      </x:c>
      <x:c r="F82" s="5" t="str">
        <x:v>Not extracted</x:v>
      </x:c>
      <x:c r="G82" s="5" t="str">
        <x:v>Not extracted</x:v>
      </x:c>
      <x:c r="H82" s="5" t="str">
        <x:v>Not extracted</x:v>
      </x:c>
      <x:c r="I82" s="5" t="str">
        <x:v>Not extracted</x:v>
      </x:c>
      <x:c r="J82" s="5" t="str">
        <x:v>Not extracted</x:v>
      </x:c>
      <x:c r="K82" s="5" t="str">
        <x:v>Not extracted</x:v>
      </x:c>
      <x:c r="L82" s="5" t="str">
        <x:v>Not extracted</x:v>
      </x:c>
      <x:c r="M82" s="5" t="str">
        <x:v>Not extracted</x:v>
      </x:c>
      <x:c r="N82" s="5" t="str">
        <x:v>Not extracted</x:v>
      </x:c>
      <x:c r="O82" s="5" t="str">
        <x:v>Not extracted</x:v>
      </x:c>
      <x:c r="P82" s="5" t="str">
        <x:v>Not extracted</x:v>
      </x:c>
      <x:c r="Q82" s="5" t="str">
        <x:v>Not extracted</x:v>
      </x:c>
      <x:c r="R82" s="5" t="str">
        <x:v>Not extracted</x:v>
      </x:c>
      <x:c r="S82" s="5" t="str">
        <x:v>Not extracted</x:v>
      </x:c>
      <x:c r="T82" s="5" t="str">
        <x:v>Not assigned</x:v>
      </x:c>
      <x:c r="U82" s="8"/>
    </x:row>
    <x:row r="83" ht="40" customHeight="1">
      <x:c r="A83" s="5" t="str">
        <x:v>C0056</x:v>
      </x:c>
      <x:c r="B83" s="5" t="str">
        <x:v>Not extracted</x:v>
      </x:c>
      <x:c r="C83" s="5" t="str">
        <x:v>Not extracted</x:v>
      </x:c>
      <x:c r="D83" s="5" t="str">
        <x:v>Not extracted</x:v>
      </x:c>
      <x:c r="E83" s="5" t="str">
        <x:v>Not extracted</x:v>
      </x:c>
      <x:c r="F83" s="5" t="str">
        <x:v>Not extracted</x:v>
      </x:c>
      <x:c r="G83" s="5" t="str">
        <x:v>Not extracted</x:v>
      </x:c>
      <x:c r="H83" s="5" t="str">
        <x:v>Not extracted</x:v>
      </x:c>
      <x:c r="I83" s="5" t="str">
        <x:v>Not extracted</x:v>
      </x:c>
      <x:c r="J83" s="5" t="str">
        <x:v>Not extracted</x:v>
      </x:c>
      <x:c r="K83" s="5" t="str">
        <x:v>Not extracted</x:v>
      </x:c>
      <x:c r="L83" s="5" t="str">
        <x:v>Not extracted</x:v>
      </x:c>
      <x:c r="M83" s="5" t="str">
        <x:v>Not extracted</x:v>
      </x:c>
      <x:c r="N83" s="5" t="str">
        <x:v>Not extracted</x:v>
      </x:c>
      <x:c r="O83" s="5" t="str">
        <x:v>Not extracted</x:v>
      </x:c>
      <x:c r="P83" s="5" t="str">
        <x:v>Not extracted</x:v>
      </x:c>
      <x:c r="Q83" s="5" t="str">
        <x:v>Not extracted</x:v>
      </x:c>
      <x:c r="R83" s="5" t="str">
        <x:v>Not extracted</x:v>
      </x:c>
      <x:c r="S83" s="5" t="str">
        <x:v>Not extracted</x:v>
      </x:c>
      <x:c r="T83" s="5" t="str">
        <x:v>Not assigned</x:v>
      </x:c>
      <x:c r="U83" s="8"/>
    </x:row>
    <x:row r="84" ht="40" customHeight="1">
      <x:c r="A84" s="5" t="str">
        <x:v>C0059</x:v>
      </x:c>
      <x:c r="B84" s="5" t="str">
        <x:v>Not extracted</x:v>
      </x:c>
      <x:c r="C84" s="5" t="str">
        <x:v>Not extracted</x:v>
      </x:c>
      <x:c r="D84" s="5" t="str">
        <x:v>Not extracted</x:v>
      </x:c>
      <x:c r="E84" s="5" t="str">
        <x:v>Not extracted</x:v>
      </x:c>
      <x:c r="F84" s="5" t="str">
        <x:v>Not extracted</x:v>
      </x:c>
      <x:c r="G84" s="5" t="str">
        <x:v>Not extracted</x:v>
      </x:c>
      <x:c r="H84" s="5" t="str">
        <x:v>Not extracted</x:v>
      </x:c>
      <x:c r="I84" s="5" t="str">
        <x:v>Not extracted</x:v>
      </x:c>
      <x:c r="J84" s="5" t="str">
        <x:v>Not extracted</x:v>
      </x:c>
      <x:c r="K84" s="5" t="str">
        <x:v>Not extracted</x:v>
      </x:c>
      <x:c r="L84" s="5" t="str">
        <x:v>Not extracted</x:v>
      </x:c>
      <x:c r="M84" s="5" t="str">
        <x:v>Not extracted</x:v>
      </x:c>
      <x:c r="N84" s="5" t="str">
        <x:v>Not extracted</x:v>
      </x:c>
      <x:c r="O84" s="5" t="str">
        <x:v>Not extracted</x:v>
      </x:c>
      <x:c r="P84" s="5" t="str">
        <x:v>Not extracted</x:v>
      </x:c>
      <x:c r="Q84" s="5" t="str">
        <x:v>Not extracted</x:v>
      </x:c>
      <x:c r="R84" s="5" t="str">
        <x:v>Not extracted</x:v>
      </x:c>
      <x:c r="S84" s="5" t="str">
        <x:v>Not extracted</x:v>
      </x:c>
      <x:c r="T84" s="5" t="str">
        <x:v>Not assigned</x:v>
      </x:c>
      <x:c r="U84" s="8"/>
    </x:row>
    <x:row r="85" ht="40" customHeight="1">
      <x:c r="A85" s="5" t="str">
        <x:v>C0061</x:v>
      </x:c>
      <x:c r="B85" s="5" t="str">
        <x:v>Not extracted</x:v>
      </x:c>
      <x:c r="C85" s="5" t="str">
        <x:v>Not extracted</x:v>
      </x:c>
      <x:c r="D85" s="5" t="str">
        <x:v>Not extracted</x:v>
      </x:c>
      <x:c r="E85" s="5" t="str">
        <x:v>Not extracted</x:v>
      </x:c>
      <x:c r="F85" s="5" t="str">
        <x:v>Not extracted</x:v>
      </x:c>
      <x:c r="G85" s="5" t="str">
        <x:v>Not extracted</x:v>
      </x:c>
      <x:c r="H85" s="5" t="str">
        <x:v>Not extracted</x:v>
      </x:c>
      <x:c r="I85" s="5" t="str">
        <x:v>Not extracted</x:v>
      </x:c>
      <x:c r="J85" s="5" t="str">
        <x:v>Not extracted</x:v>
      </x:c>
      <x:c r="K85" s="5" t="str">
        <x:v>Not extracted</x:v>
      </x:c>
      <x:c r="L85" s="5" t="str">
        <x:v>Not extracted</x:v>
      </x:c>
      <x:c r="M85" s="5" t="str">
        <x:v>Not extracted</x:v>
      </x:c>
      <x:c r="N85" s="5" t="str">
        <x:v>Not extracted</x:v>
      </x:c>
      <x:c r="O85" s="5" t="str">
        <x:v>Not extracted</x:v>
      </x:c>
      <x:c r="P85" s="5" t="str">
        <x:v>Not extracted</x:v>
      </x:c>
      <x:c r="Q85" s="5" t="str">
        <x:v>Not extracted</x:v>
      </x:c>
      <x:c r="R85" s="5" t="str">
        <x:v>Not extracted</x:v>
      </x:c>
      <x:c r="S85" s="5" t="str">
        <x:v>Not extracted</x:v>
      </x:c>
      <x:c r="T85" s="5" t="str">
        <x:v>Not assigned</x:v>
      </x:c>
      <x:c r="U85" s="8"/>
    </x:row>
    <x:row r="86" ht="40" customHeight="1">
      <x:c r="A86" s="5" t="str">
        <x:v>C0062</x:v>
      </x:c>
      <x:c r="B86" s="5" t="str">
        <x:v>Not extracted</x:v>
      </x:c>
      <x:c r="C86" s="5" t="str">
        <x:v>Not extracted</x:v>
      </x:c>
      <x:c r="D86" s="5" t="str">
        <x:v>Not extracted</x:v>
      </x:c>
      <x:c r="E86" s="5" t="str">
        <x:v>Not extracted</x:v>
      </x:c>
      <x:c r="F86" s="5" t="str">
        <x:v>Not extracted</x:v>
      </x:c>
      <x:c r="G86" s="5" t="str">
        <x:v>Not extracted</x:v>
      </x:c>
      <x:c r="H86" s="5" t="str">
        <x:v>Not extracted</x:v>
      </x:c>
      <x:c r="I86" s="5" t="str">
        <x:v>Not extracted</x:v>
      </x:c>
      <x:c r="J86" s="5" t="str">
        <x:v>Not extracted</x:v>
      </x:c>
      <x:c r="K86" s="5" t="str">
        <x:v>Not extracted</x:v>
      </x:c>
      <x:c r="L86" s="5" t="str">
        <x:v>Not extracted</x:v>
      </x:c>
      <x:c r="M86" s="5" t="str">
        <x:v>Not extracted</x:v>
      </x:c>
      <x:c r="N86" s="5" t="str">
        <x:v>Not extracted</x:v>
      </x:c>
      <x:c r="O86" s="5" t="str">
        <x:v>Not extracted</x:v>
      </x:c>
      <x:c r="P86" s="5" t="str">
        <x:v>Not extracted</x:v>
      </x:c>
      <x:c r="Q86" s="5" t="str">
        <x:v>Not extracted</x:v>
      </x:c>
      <x:c r="R86" s="5" t="str">
        <x:v>Not extracted</x:v>
      </x:c>
      <x:c r="S86" s="5" t="str">
        <x:v>Not extracted</x:v>
      </x:c>
      <x:c r="T86" s="5" t="str">
        <x:v>Not assigned</x:v>
      </x:c>
      <x:c r="U86" s="8"/>
    </x:row>
    <x:row r="87" ht="40" customHeight="1">
      <x:c r="A87" s="5" t="str">
        <x:v>C0064</x:v>
      </x:c>
      <x:c r="B87" s="5" t="str">
        <x:v>Not extracted</x:v>
      </x:c>
      <x:c r="C87" s="5" t="str">
        <x:v>Not extracted</x:v>
      </x:c>
      <x:c r="D87" s="5" t="str">
        <x:v>Not extracted</x:v>
      </x:c>
      <x:c r="E87" s="5" t="str">
        <x:v>Not extracted</x:v>
      </x:c>
      <x:c r="F87" s="5" t="str">
        <x:v>Not extracted</x:v>
      </x:c>
      <x:c r="G87" s="5" t="str">
        <x:v>Not extracted</x:v>
      </x:c>
      <x:c r="H87" s="5" t="str">
        <x:v>Not extracted</x:v>
      </x:c>
      <x:c r="I87" s="5" t="str">
        <x:v>Not extracted</x:v>
      </x:c>
      <x:c r="J87" s="5" t="str">
        <x:v>Not extracted</x:v>
      </x:c>
      <x:c r="K87" s="5" t="str">
        <x:v>Not extracted</x:v>
      </x:c>
      <x:c r="L87" s="5" t="str">
        <x:v>Not extracted</x:v>
      </x:c>
      <x:c r="M87" s="5" t="str">
        <x:v>Not extracted</x:v>
      </x:c>
      <x:c r="N87" s="5" t="str">
        <x:v>Not extracted</x:v>
      </x:c>
      <x:c r="O87" s="5" t="str">
        <x:v>Not extracted</x:v>
      </x:c>
      <x:c r="P87" s="5" t="str">
        <x:v>Not extracted</x:v>
      </x:c>
      <x:c r="Q87" s="5" t="str">
        <x:v>Not extracted</x:v>
      </x:c>
      <x:c r="R87" s="5" t="str">
        <x:v>Not extracted</x:v>
      </x:c>
      <x:c r="S87" s="5" t="str">
        <x:v>Not extracted</x:v>
      </x:c>
      <x:c r="T87" s="5" t="str">
        <x:v>Not assigned</x:v>
      </x:c>
      <x:c r="U87" s="8"/>
    </x:row>
    <x:row r="88" ht="40" customHeight="1">
      <x:c r="A88" s="5" t="str">
        <x:v>C0065</x:v>
      </x:c>
      <x:c r="B88" s="5" t="str">
        <x:v>Not extracted</x:v>
      </x:c>
      <x:c r="C88" s="5" t="str">
        <x:v>Not extracted</x:v>
      </x:c>
      <x:c r="D88" s="5" t="str">
        <x:v>Not extracted</x:v>
      </x:c>
      <x:c r="E88" s="5" t="str">
        <x:v>Not extracted</x:v>
      </x:c>
      <x:c r="F88" s="5" t="str">
        <x:v>Not extracted</x:v>
      </x:c>
      <x:c r="G88" s="5" t="str">
        <x:v>Not extracted</x:v>
      </x:c>
      <x:c r="H88" s="5" t="str">
        <x:v>Not extracted</x:v>
      </x:c>
      <x:c r="I88" s="5" t="str">
        <x:v>Not extracted</x:v>
      </x:c>
      <x:c r="J88" s="5" t="str">
        <x:v>Not extracted</x:v>
      </x:c>
      <x:c r="K88" s="5" t="str">
        <x:v>Not extracted</x:v>
      </x:c>
      <x:c r="L88" s="5" t="str">
        <x:v>Not extracted</x:v>
      </x:c>
      <x:c r="M88" s="5" t="str">
        <x:v>Not extracted</x:v>
      </x:c>
      <x:c r="N88" s="5" t="str">
        <x:v>Not extracted</x:v>
      </x:c>
      <x:c r="O88" s="5" t="str">
        <x:v>Not extracted</x:v>
      </x:c>
      <x:c r="P88" s="5" t="str">
        <x:v>Not extracted</x:v>
      </x:c>
      <x:c r="Q88" s="5" t="str">
        <x:v>Not extracted</x:v>
      </x:c>
      <x:c r="R88" s="5" t="str">
        <x:v>Not extracted</x:v>
      </x:c>
      <x:c r="S88" s="5" t="str">
        <x:v>Not extracted</x:v>
      </x:c>
      <x:c r="T88" s="5" t="str">
        <x:v>Not assigned</x:v>
      </x:c>
      <x:c r="U88" s="8"/>
    </x:row>
    <x:row r="89" ht="40" customHeight="1">
      <x:c r="A89" s="5" t="str">
        <x:v>C0067</x:v>
      </x:c>
      <x:c r="B89" s="5" t="str">
        <x:v>Not extracted</x:v>
      </x:c>
      <x:c r="C89" s="5" t="str">
        <x:v>Not extracted</x:v>
      </x:c>
      <x:c r="D89" s="5" t="str">
        <x:v>Not extracted</x:v>
      </x:c>
      <x:c r="E89" s="5" t="str">
        <x:v>Not extracted</x:v>
      </x:c>
      <x:c r="F89" s="5" t="str">
        <x:v>Not extracted</x:v>
      </x:c>
      <x:c r="G89" s="5" t="str">
        <x:v>Not extracted</x:v>
      </x:c>
      <x:c r="H89" s="5" t="str">
        <x:v>Not extracted</x:v>
      </x:c>
      <x:c r="I89" s="5" t="str">
        <x:v>Not extracted</x:v>
      </x:c>
      <x:c r="J89" s="5" t="str">
        <x:v>Not extracted</x:v>
      </x:c>
      <x:c r="K89" s="5" t="str">
        <x:v>Not extracted</x:v>
      </x:c>
      <x:c r="L89" s="5" t="str">
        <x:v>Not extracted</x:v>
      </x:c>
      <x:c r="M89" s="5" t="str">
        <x:v>Not extracted</x:v>
      </x:c>
      <x:c r="N89" s="5" t="str">
        <x:v>Not extracted</x:v>
      </x:c>
      <x:c r="O89" s="5" t="str">
        <x:v>Not extracted</x:v>
      </x:c>
      <x:c r="P89" s="5" t="str">
        <x:v>Not extracted</x:v>
      </x:c>
      <x:c r="Q89" s="5" t="str">
        <x:v>Not extracted</x:v>
      </x:c>
      <x:c r="R89" s="5" t="str">
        <x:v>Not extracted</x:v>
      </x:c>
      <x:c r="S89" s="5" t="str">
        <x:v>Not extracted</x:v>
      </x:c>
      <x:c r="T89" s="5" t="str">
        <x:v>Not assigned</x:v>
      </x:c>
      <x:c r="U89" s="8"/>
    </x:row>
    <x:row r="90" ht="40" customHeight="1">
      <x:c r="A90" s="5" t="str">
        <x:v>C0070</x:v>
      </x:c>
      <x:c r="B90" s="5" t="str">
        <x:v>Not extracted</x:v>
      </x:c>
      <x:c r="C90" s="5" t="str">
        <x:v>Not extracted</x:v>
      </x:c>
      <x:c r="D90" s="5" t="str">
        <x:v>Not extracted</x:v>
      </x:c>
      <x:c r="E90" s="5" t="str">
        <x:v>Not extracted</x:v>
      </x:c>
      <x:c r="F90" s="5" t="str">
        <x:v>Not extracted</x:v>
      </x:c>
      <x:c r="G90" s="5" t="str">
        <x:v>Not extracted</x:v>
      </x:c>
      <x:c r="H90" s="5" t="str">
        <x:v>Not extracted</x:v>
      </x:c>
      <x:c r="I90" s="5" t="str">
        <x:v>Not extracted</x:v>
      </x:c>
      <x:c r="J90" s="5" t="str">
        <x:v>Not extracted</x:v>
      </x:c>
      <x:c r="K90" s="5" t="str">
        <x:v>Not extracted</x:v>
      </x:c>
      <x:c r="L90" s="5" t="str">
        <x:v>Not extracted</x:v>
      </x:c>
      <x:c r="M90" s="5" t="str">
        <x:v>Not extracted</x:v>
      </x:c>
      <x:c r="N90" s="5" t="str">
        <x:v>Not extracted</x:v>
      </x:c>
      <x:c r="O90" s="5" t="str">
        <x:v>Not extracted</x:v>
      </x:c>
      <x:c r="P90" s="5" t="str">
        <x:v>Not extracted</x:v>
      </x:c>
      <x:c r="Q90" s="5" t="str">
        <x:v>Not extracted</x:v>
      </x:c>
      <x:c r="R90" s="5" t="str">
        <x:v>Not extracted</x:v>
      </x:c>
      <x:c r="S90" s="5" t="str">
        <x:v>Not extracted</x:v>
      </x:c>
      <x:c r="T90" s="5" t="str">
        <x:v>Not assigned</x:v>
      </x:c>
      <x:c r="U90" s="8"/>
    </x:row>
    <x:row r="91" ht="40" customHeight="1">
      <x:c r="A91" s="5" t="str">
        <x:v>C0072</x:v>
      </x:c>
      <x:c r="B91" s="5" t="str">
        <x:v>Not extracted</x:v>
      </x:c>
      <x:c r="C91" s="5" t="str">
        <x:v>Not extracted</x:v>
      </x:c>
      <x:c r="D91" s="5" t="str">
        <x:v>Not extracted</x:v>
      </x:c>
      <x:c r="E91" s="5" t="str">
        <x:v>Not extracted</x:v>
      </x:c>
      <x:c r="F91" s="5" t="str">
        <x:v>Not extracted</x:v>
      </x:c>
      <x:c r="G91" s="5" t="str">
        <x:v>Not extracted</x:v>
      </x:c>
      <x:c r="H91" s="5" t="str">
        <x:v>Not extracted</x:v>
      </x:c>
      <x:c r="I91" s="5" t="str">
        <x:v>Not extracted</x:v>
      </x:c>
      <x:c r="J91" s="5" t="str">
        <x:v>Not extracted</x:v>
      </x:c>
      <x:c r="K91" s="5" t="str">
        <x:v>Not extracted</x:v>
      </x:c>
      <x:c r="L91" s="5" t="str">
        <x:v>Not extracted</x:v>
      </x:c>
      <x:c r="M91" s="5" t="str">
        <x:v>Not extracted</x:v>
      </x:c>
      <x:c r="N91" s="5" t="str">
        <x:v>Not extracted</x:v>
      </x:c>
      <x:c r="O91" s="5" t="str">
        <x:v>Not extracted</x:v>
      </x:c>
      <x:c r="P91" s="5" t="str">
        <x:v>Not extracted</x:v>
      </x:c>
      <x:c r="Q91" s="5" t="str">
        <x:v>Not extracted</x:v>
      </x:c>
      <x:c r="R91" s="5" t="str">
        <x:v>Not extracted</x:v>
      </x:c>
      <x:c r="S91" s="5" t="str">
        <x:v>Not extracted</x:v>
      </x:c>
      <x:c r="T91" s="5" t="str">
        <x:v>Not assigned</x:v>
      </x:c>
      <x:c r="U91" s="8"/>
    </x:row>
    <x:row r="92" ht="40" customHeight="1">
      <x:c r="A92" s="5" t="str">
        <x:v>C0073</x:v>
      </x:c>
      <x:c r="B92" s="5" t="str">
        <x:v>Not extracted</x:v>
      </x:c>
      <x:c r="C92" s="5" t="str">
        <x:v>Not extracted</x:v>
      </x:c>
      <x:c r="D92" s="5" t="str">
        <x:v>Not extracted</x:v>
      </x:c>
      <x:c r="E92" s="5" t="str">
        <x:v>Not extracted</x:v>
      </x:c>
      <x:c r="F92" s="5" t="str">
        <x:v>Not extracted</x:v>
      </x:c>
      <x:c r="G92" s="5" t="str">
        <x:v>Not extracted</x:v>
      </x:c>
      <x:c r="H92" s="5" t="str">
        <x:v>Not extracted</x:v>
      </x:c>
      <x:c r="I92" s="5" t="str">
        <x:v>Not extracted</x:v>
      </x:c>
      <x:c r="J92" s="5" t="str">
        <x:v>Not extracted</x:v>
      </x:c>
      <x:c r="K92" s="5" t="str">
        <x:v>Not extracted</x:v>
      </x:c>
      <x:c r="L92" s="5" t="str">
        <x:v>Not extracted</x:v>
      </x:c>
      <x:c r="M92" s="5" t="str">
        <x:v>Not extracted</x:v>
      </x:c>
      <x:c r="N92" s="5" t="str">
        <x:v>Not extracted</x:v>
      </x:c>
      <x:c r="O92" s="5" t="str">
        <x:v>Not extracted</x:v>
      </x:c>
      <x:c r="P92" s="5" t="str">
        <x:v>Not extracted</x:v>
      </x:c>
      <x:c r="Q92" s="5" t="str">
        <x:v>Not extracted</x:v>
      </x:c>
      <x:c r="R92" s="5" t="str">
        <x:v>Not extracted</x:v>
      </x:c>
      <x:c r="S92" s="5" t="str">
        <x:v>Not extracted</x:v>
      </x:c>
      <x:c r="T92" s="5" t="str">
        <x:v>Not assigned</x:v>
      </x:c>
      <x:c r="U92" s="8"/>
    </x:row>
    <x:row r="93" ht="40" customHeight="1">
      <x:c r="A93" s="5" t="str">
        <x:v>C0076</x:v>
      </x:c>
      <x:c r="B93" s="5" t="str">
        <x:v>Not extracted</x:v>
      </x:c>
      <x:c r="C93" s="5" t="str">
        <x:v>Not extracted</x:v>
      </x:c>
      <x:c r="D93" s="5" t="str">
        <x:v>Not extracted</x:v>
      </x:c>
      <x:c r="E93" s="5" t="str">
        <x:v>Not extracted</x:v>
      </x:c>
      <x:c r="F93" s="5" t="str">
        <x:v>Not extracted</x:v>
      </x:c>
      <x:c r="G93" s="5" t="str">
        <x:v>Not extracted</x:v>
      </x:c>
      <x:c r="H93" s="5" t="str">
        <x:v>Not extracted</x:v>
      </x:c>
      <x:c r="I93" s="5" t="str">
        <x:v>Not extracted</x:v>
      </x:c>
      <x:c r="J93" s="5" t="str">
        <x:v>Not extracted</x:v>
      </x:c>
      <x:c r="K93" s="5" t="str">
        <x:v>Not extracted</x:v>
      </x:c>
      <x:c r="L93" s="5" t="str">
        <x:v>Not extracted</x:v>
      </x:c>
      <x:c r="M93" s="5" t="str">
        <x:v>Not extracted</x:v>
      </x:c>
      <x:c r="N93" s="5" t="str">
        <x:v>Not extracted</x:v>
      </x:c>
      <x:c r="O93" s="5" t="str">
        <x:v>Not extracted</x:v>
      </x:c>
      <x:c r="P93" s="5" t="str">
        <x:v>Not extracted</x:v>
      </x:c>
      <x:c r="Q93" s="5" t="str">
        <x:v>Not extracted</x:v>
      </x:c>
      <x:c r="R93" s="5" t="str">
        <x:v>Not extracted</x:v>
      </x:c>
      <x:c r="S93" s="5" t="str">
        <x:v>Not extracted</x:v>
      </x:c>
      <x:c r="T93" s="5" t="str">
        <x:v>Not assigned</x:v>
      </x:c>
      <x:c r="U93" s="8"/>
    </x:row>
    <x:row r="94" ht="40" customHeight="1">
      <x:c r="A94" s="5" t="str">
        <x:v>C0080</x:v>
      </x:c>
      <x:c r="B94" s="5" t="str">
        <x:v>Not extracted</x:v>
      </x:c>
      <x:c r="C94" s="5" t="str">
        <x:v>Not extracted</x:v>
      </x:c>
      <x:c r="D94" s="5" t="str">
        <x:v>Not extracted</x:v>
      </x:c>
      <x:c r="E94" s="5" t="str">
        <x:v>Not extracted</x:v>
      </x:c>
      <x:c r="F94" s="5" t="str">
        <x:v>Not extracted</x:v>
      </x:c>
      <x:c r="G94" s="5" t="str">
        <x:v>Not extracted</x:v>
      </x:c>
      <x:c r="H94" s="5" t="str">
        <x:v>Not extracted</x:v>
      </x:c>
      <x:c r="I94" s="5" t="str">
        <x:v>Not extracted</x:v>
      </x:c>
      <x:c r="J94" s="5" t="str">
        <x:v>Not extracted</x:v>
      </x:c>
      <x:c r="K94" s="5" t="str">
        <x:v>Not extracted</x:v>
      </x:c>
      <x:c r="L94" s="5" t="str">
        <x:v>Not extracted</x:v>
      </x:c>
      <x:c r="M94" s="5" t="str">
        <x:v>Not extracted</x:v>
      </x:c>
      <x:c r="N94" s="5" t="str">
        <x:v>Not extracted</x:v>
      </x:c>
      <x:c r="O94" s="5" t="str">
        <x:v>Not extracted</x:v>
      </x:c>
      <x:c r="P94" s="5" t="str">
        <x:v>Not extracted</x:v>
      </x:c>
      <x:c r="Q94" s="5" t="str">
        <x:v>Not extracted</x:v>
      </x:c>
      <x:c r="R94" s="5" t="str">
        <x:v>Not extracted</x:v>
      </x:c>
      <x:c r="S94" s="5" t="str">
        <x:v>Not extracted</x:v>
      </x:c>
      <x:c r="T94" s="5" t="str">
        <x:v>Not assigned</x:v>
      </x:c>
      <x:c r="U94" s="8"/>
    </x:row>
    <x:row r="95" ht="40" customHeight="1">
      <x:c r="A95" s="5" t="str">
        <x:v>C0081</x:v>
      </x:c>
      <x:c r="B95" s="5" t="str">
        <x:v>Not extracted</x:v>
      </x:c>
      <x:c r="C95" s="5" t="str">
        <x:v>Not extracted</x:v>
      </x:c>
      <x:c r="D95" s="5" t="str">
        <x:v>Not extracted</x:v>
      </x:c>
      <x:c r="E95" s="5" t="str">
        <x:v>Not extracted</x:v>
      </x:c>
      <x:c r="F95" s="5" t="str">
        <x:v>Not extracted</x:v>
      </x:c>
      <x:c r="G95" s="5" t="str">
        <x:v>Not extracted</x:v>
      </x:c>
      <x:c r="H95" s="5" t="str">
        <x:v>Not extracted</x:v>
      </x:c>
      <x:c r="I95" s="5" t="str">
        <x:v>Not extracted</x:v>
      </x:c>
      <x:c r="J95" s="5" t="str">
        <x:v>Not extracted</x:v>
      </x:c>
      <x:c r="K95" s="5" t="str">
        <x:v>Not extracted</x:v>
      </x:c>
      <x:c r="L95" s="5" t="str">
        <x:v>Not extracted</x:v>
      </x:c>
      <x:c r="M95" s="5" t="str">
        <x:v>Not extracted</x:v>
      </x:c>
      <x:c r="N95" s="5" t="str">
        <x:v>Not extracted</x:v>
      </x:c>
      <x:c r="O95" s="5" t="str">
        <x:v>Not extracted</x:v>
      </x:c>
      <x:c r="P95" s="5" t="str">
        <x:v>Not extracted</x:v>
      </x:c>
      <x:c r="Q95" s="5" t="str">
        <x:v>Not extracted</x:v>
      </x:c>
      <x:c r="R95" s="5" t="str">
        <x:v>Not extracted</x:v>
      </x:c>
      <x:c r="S95" s="5" t="str">
        <x:v>Not extracted</x:v>
      </x:c>
      <x:c r="T95" s="5" t="str">
        <x:v>Not assigned</x:v>
      </x:c>
      <x:c r="U95" s="8"/>
    </x:row>
    <x:row r="96" ht="40" customHeight="1">
      <x:c r="A96" s="5" t="str">
        <x:v>C0085</x:v>
      </x:c>
      <x:c r="B96" s="5" t="str">
        <x:v>Not extracted</x:v>
      </x:c>
      <x:c r="C96" s="5" t="str">
        <x:v>Not extracted</x:v>
      </x:c>
      <x:c r="D96" s="5" t="str">
        <x:v>Not extracted</x:v>
      </x:c>
      <x:c r="E96" s="5" t="str">
        <x:v>Not extracted</x:v>
      </x:c>
      <x:c r="F96" s="5" t="str">
        <x:v>Not extracted</x:v>
      </x:c>
      <x:c r="G96" s="5" t="str">
        <x:v>Not extracted</x:v>
      </x:c>
      <x:c r="H96" s="5" t="str">
        <x:v>Not extracted</x:v>
      </x:c>
      <x:c r="I96" s="5" t="str">
        <x:v>Not extracted</x:v>
      </x:c>
      <x:c r="J96" s="5" t="str">
        <x:v>Not extracted</x:v>
      </x:c>
      <x:c r="K96" s="5" t="str">
        <x:v>Not extracted</x:v>
      </x:c>
      <x:c r="L96" s="5" t="str">
        <x:v>Not extracted</x:v>
      </x:c>
      <x:c r="M96" s="5" t="str">
        <x:v>Not extracted</x:v>
      </x:c>
      <x:c r="N96" s="5" t="str">
        <x:v>Not extracted</x:v>
      </x:c>
      <x:c r="O96" s="5" t="str">
        <x:v>Not extracted</x:v>
      </x:c>
      <x:c r="P96" s="5" t="str">
        <x:v>Not extracted</x:v>
      </x:c>
      <x:c r="Q96" s="5" t="str">
        <x:v>Not extracted</x:v>
      </x:c>
      <x:c r="R96" s="5" t="str">
        <x:v>Not extracted</x:v>
      </x:c>
      <x:c r="S96" s="5" t="str">
        <x:v>Not extracted</x:v>
      </x:c>
      <x:c r="T96" s="5" t="str">
        <x:v>Not assigned</x:v>
      </x:c>
      <x:c r="U96" s="8"/>
    </x:row>
    <x:row r="97" ht="40" customHeight="1">
      <x:c r="A97" s="5" t="str">
        <x:v>C0087</x:v>
      </x:c>
      <x:c r="B97" s="5" t="str">
        <x:v>Not extracted</x:v>
      </x:c>
      <x:c r="C97" s="5" t="str">
        <x:v>Not extracted</x:v>
      </x:c>
      <x:c r="D97" s="5" t="str">
        <x:v>Not extracted</x:v>
      </x:c>
      <x:c r="E97" s="5" t="str">
        <x:v>Not extracted</x:v>
      </x:c>
      <x:c r="F97" s="5" t="str">
        <x:v>Not extracted</x:v>
      </x:c>
      <x:c r="G97" s="5" t="str">
        <x:v>Not extracted</x:v>
      </x:c>
      <x:c r="H97" s="5" t="str">
        <x:v>Not extracted</x:v>
      </x:c>
      <x:c r="I97" s="5" t="str">
        <x:v>Not extracted</x:v>
      </x:c>
      <x:c r="J97" s="5" t="str">
        <x:v>Not extracted</x:v>
      </x:c>
      <x:c r="K97" s="5" t="str">
        <x:v>Not extracted</x:v>
      </x:c>
      <x:c r="L97" s="5" t="str">
        <x:v>Not extracted</x:v>
      </x:c>
      <x:c r="M97" s="5" t="str">
        <x:v>Not extracted</x:v>
      </x:c>
      <x:c r="N97" s="5" t="str">
        <x:v>Not extracted</x:v>
      </x:c>
      <x:c r="O97" s="5" t="str">
        <x:v>Not extracted</x:v>
      </x:c>
      <x:c r="P97" s="5" t="str">
        <x:v>Not extracted</x:v>
      </x:c>
      <x:c r="Q97" s="5" t="str">
        <x:v>Not extracted</x:v>
      </x:c>
      <x:c r="R97" s="5" t="str">
        <x:v>Not extracted</x:v>
      </x:c>
      <x:c r="S97" s="5" t="str">
        <x:v>Not extracted</x:v>
      </x:c>
      <x:c r="T97" s="5" t="str">
        <x:v>Not assigned</x:v>
      </x:c>
      <x:c r="U97" s="8"/>
    </x:row>
    <x:row r="98" ht="40" customHeight="1">
      <x:c r="A98" s="5" t="str">
        <x:v>C0088</x:v>
      </x:c>
      <x:c r="B98" s="5" t="str">
        <x:v>Not extracted</x:v>
      </x:c>
      <x:c r="C98" s="5" t="str">
        <x:v>Not extracted</x:v>
      </x:c>
      <x:c r="D98" s="5" t="str">
        <x:v>Not extracted</x:v>
      </x:c>
      <x:c r="E98" s="5" t="str">
        <x:v>Not extracted</x:v>
      </x:c>
      <x:c r="F98" s="5" t="str">
        <x:v>Not extracted</x:v>
      </x:c>
      <x:c r="G98" s="5" t="str">
        <x:v>Not extracted</x:v>
      </x:c>
      <x:c r="H98" s="5" t="str">
        <x:v>Not extracted</x:v>
      </x:c>
      <x:c r="I98" s="5" t="str">
        <x:v>Not extracted</x:v>
      </x:c>
      <x:c r="J98" s="5" t="str">
        <x:v>Not extracted</x:v>
      </x:c>
      <x:c r="K98" s="5" t="str">
        <x:v>Not extracted</x:v>
      </x:c>
      <x:c r="L98" s="5" t="str">
        <x:v>Not extracted</x:v>
      </x:c>
      <x:c r="M98" s="5" t="str">
        <x:v>Not extracted</x:v>
      </x:c>
      <x:c r="N98" s="5" t="str">
        <x:v>Not extracted</x:v>
      </x:c>
      <x:c r="O98" s="5" t="str">
        <x:v>Not extracted</x:v>
      </x:c>
      <x:c r="P98" s="5" t="str">
        <x:v>Not extracted</x:v>
      </x:c>
      <x:c r="Q98" s="5" t="str">
        <x:v>Not extracted</x:v>
      </x:c>
      <x:c r="R98" s="5" t="str">
        <x:v>Not extracted</x:v>
      </x:c>
      <x:c r="S98" s="5" t="str">
        <x:v>Not extracted</x:v>
      </x:c>
      <x:c r="T98" s="5" t="str">
        <x:v>Not assigned</x:v>
      </x:c>
      <x:c r="U98" s="8"/>
    </x:row>
    <x:row r="99" ht="40" customHeight="1">
      <x:c r="A99" s="5" t="str">
        <x:v>C0089</x:v>
      </x:c>
      <x:c r="B99" s="5" t="str">
        <x:v>Not extracted</x:v>
      </x:c>
      <x:c r="C99" s="5" t="str">
        <x:v>Not extracted</x:v>
      </x:c>
      <x:c r="D99" s="5" t="str">
        <x:v>Not extracted</x:v>
      </x:c>
      <x:c r="E99" s="5" t="str">
        <x:v>Not extracted</x:v>
      </x:c>
      <x:c r="F99" s="5" t="str">
        <x:v>Not extracted</x:v>
      </x:c>
      <x:c r="G99" s="5" t="str">
        <x:v>Not extracted</x:v>
      </x:c>
      <x:c r="H99" s="5" t="str">
        <x:v>Not extracted</x:v>
      </x:c>
      <x:c r="I99" s="5" t="str">
        <x:v>Not extracted</x:v>
      </x:c>
      <x:c r="J99" s="5" t="str">
        <x:v>Not extracted</x:v>
      </x:c>
      <x:c r="K99" s="5" t="str">
        <x:v>Not extracted</x:v>
      </x:c>
      <x:c r="L99" s="5" t="str">
        <x:v>Not extracted</x:v>
      </x:c>
      <x:c r="M99" s="5" t="str">
        <x:v>Not extracted</x:v>
      </x:c>
      <x:c r="N99" s="5" t="str">
        <x:v>Not extracted</x:v>
      </x:c>
      <x:c r="O99" s="5" t="str">
        <x:v>Not extracted</x:v>
      </x:c>
      <x:c r="P99" s="5" t="str">
        <x:v>Not extracted</x:v>
      </x:c>
      <x:c r="Q99" s="5" t="str">
        <x:v>Not extracted</x:v>
      </x:c>
      <x:c r="R99" s="5" t="str">
        <x:v>Not extracted</x:v>
      </x:c>
      <x:c r="S99" s="5" t="str">
        <x:v>Not extracted</x:v>
      </x:c>
      <x:c r="T99" s="5" t="str">
        <x:v>Not assigned</x:v>
      </x:c>
      <x:c r="U99" s="8"/>
    </x:row>
    <x:row r="100" ht="40" customHeight="1">
      <x:c r="A100" s="5" t="str">
        <x:v>C0090</x:v>
      </x:c>
      <x:c r="B100" s="5" t="str">
        <x:v>Not extracted</x:v>
      </x:c>
      <x:c r="C100" s="5" t="str">
        <x:v>Not extracted</x:v>
      </x:c>
      <x:c r="D100" s="5" t="str">
        <x:v>Not extracted</x:v>
      </x:c>
      <x:c r="E100" s="5" t="str">
        <x:v>Not extracted</x:v>
      </x:c>
      <x:c r="F100" s="5" t="str">
        <x:v>Not extracted</x:v>
      </x:c>
      <x:c r="G100" s="5" t="str">
        <x:v>Not extracted</x:v>
      </x:c>
      <x:c r="H100" s="5" t="str">
        <x:v>Not extracted</x:v>
      </x:c>
      <x:c r="I100" s="5" t="str">
        <x:v>Not extracted</x:v>
      </x:c>
      <x:c r="J100" s="5" t="str">
        <x:v>Not extracted</x:v>
      </x:c>
      <x:c r="K100" s="5" t="str">
        <x:v>Not extracted</x:v>
      </x:c>
      <x:c r="L100" s="5" t="str">
        <x:v>Not extracted</x:v>
      </x:c>
      <x:c r="M100" s="5" t="str">
        <x:v>Not extracted</x:v>
      </x:c>
      <x:c r="N100" s="5" t="str">
        <x:v>Not extracted</x:v>
      </x:c>
      <x:c r="O100" s="5" t="str">
        <x:v>Not extracted</x:v>
      </x:c>
      <x:c r="P100" s="5" t="str">
        <x:v>Not extracted</x:v>
      </x:c>
      <x:c r="Q100" s="5" t="str">
        <x:v>Not extracted</x:v>
      </x:c>
      <x:c r="R100" s="5" t="str">
        <x:v>Not extracted</x:v>
      </x:c>
      <x:c r="S100" s="5" t="str">
        <x:v>Not extracted</x:v>
      </x:c>
      <x:c r="T100" s="5" t="str">
        <x:v>Not assigned</x:v>
      </x:c>
      <x:c r="U100" s="8"/>
    </x:row>
    <x:row r="101" ht="40" customHeight="1">
      <x:c r="A101" s="5" t="str">
        <x:v>C0091</x:v>
      </x:c>
      <x:c r="B101" s="5" t="str">
        <x:v>Not extracted</x:v>
      </x:c>
      <x:c r="C101" s="5" t="str">
        <x:v>Not extracted</x:v>
      </x:c>
      <x:c r="D101" s="5" t="str">
        <x:v>Not extracted</x:v>
      </x:c>
      <x:c r="E101" s="5" t="str">
        <x:v>Not extracted</x:v>
      </x:c>
      <x:c r="F101" s="5" t="str">
        <x:v>Not extracted</x:v>
      </x:c>
      <x:c r="G101" s="5" t="str">
        <x:v>Not extracted</x:v>
      </x:c>
      <x:c r="H101" s="5" t="str">
        <x:v>Not extracted</x:v>
      </x:c>
      <x:c r="I101" s="5" t="str">
        <x:v>Not extracted</x:v>
      </x:c>
      <x:c r="J101" s="5" t="str">
        <x:v>Not extracted</x:v>
      </x:c>
      <x:c r="K101" s="5" t="str">
        <x:v>Not extracted</x:v>
      </x:c>
      <x:c r="L101" s="5" t="str">
        <x:v>Not extracted</x:v>
      </x:c>
      <x:c r="M101" s="5" t="str">
        <x:v>Not extracted</x:v>
      </x:c>
      <x:c r="N101" s="5" t="str">
        <x:v>Not extracted</x:v>
      </x:c>
      <x:c r="O101" s="5" t="str">
        <x:v>Not extracted</x:v>
      </x:c>
      <x:c r="P101" s="5" t="str">
        <x:v>Not extracted</x:v>
      </x:c>
      <x:c r="Q101" s="5" t="str">
        <x:v>Not extracted</x:v>
      </x:c>
      <x:c r="R101" s="5" t="str">
        <x:v>Not extracted</x:v>
      </x:c>
      <x:c r="S101" s="5" t="str">
        <x:v>Not extracted</x:v>
      </x:c>
      <x:c r="T101" s="5" t="str">
        <x:v>Not assigned</x:v>
      </x:c>
      <x:c r="U101" s="8"/>
    </x:row>
    <x:row r="102" ht="40" customHeight="1">
      <x:c r="A102" s="5" t="str">
        <x:v>C0094</x:v>
      </x:c>
      <x:c r="B102" s="5" t="str">
        <x:v>Not extracted</x:v>
      </x:c>
      <x:c r="C102" s="5" t="str">
        <x:v>Not extracted</x:v>
      </x:c>
      <x:c r="D102" s="5" t="str">
        <x:v>Not extracted</x:v>
      </x:c>
      <x:c r="E102" s="5" t="str">
        <x:v>Not extracted</x:v>
      </x:c>
      <x:c r="F102" s="5" t="str">
        <x:v>Not extracted</x:v>
      </x:c>
      <x:c r="G102" s="5" t="str">
        <x:v>Not extracted</x:v>
      </x:c>
      <x:c r="H102" s="5" t="str">
        <x:v>Not extracted</x:v>
      </x:c>
      <x:c r="I102" s="5" t="str">
        <x:v>Not extracted</x:v>
      </x:c>
      <x:c r="J102" s="5" t="str">
        <x:v>Not extracted</x:v>
      </x:c>
      <x:c r="K102" s="5" t="str">
        <x:v>Not extracted</x:v>
      </x:c>
      <x:c r="L102" s="5" t="str">
        <x:v>Not extracted</x:v>
      </x:c>
      <x:c r="M102" s="5" t="str">
        <x:v>Not extracted</x:v>
      </x:c>
      <x:c r="N102" s="5" t="str">
        <x:v>Not extracted</x:v>
      </x:c>
      <x:c r="O102" s="5" t="str">
        <x:v>Not extracted</x:v>
      </x:c>
      <x:c r="P102" s="5" t="str">
        <x:v>Not extracted</x:v>
      </x:c>
      <x:c r="Q102" s="5" t="str">
        <x:v>Not extracted</x:v>
      </x:c>
      <x:c r="R102" s="5" t="str">
        <x:v>Not extracted</x:v>
      </x:c>
      <x:c r="S102" s="5" t="str">
        <x:v>Not extracted</x:v>
      </x:c>
      <x:c r="T102" s="5" t="str">
        <x:v>Not assigned</x:v>
      </x:c>
      <x:c r="U102" s="8"/>
    </x:row>
    <x:row r="103" ht="40" customHeight="1">
      <x:c r="A103" s="5" t="str">
        <x:v>C0095</x:v>
      </x:c>
      <x:c r="B103" s="5" t="str">
        <x:v>Not extracted</x:v>
      </x:c>
      <x:c r="C103" s="5" t="str">
        <x:v>Not extracted</x:v>
      </x:c>
      <x:c r="D103" s="5" t="str">
        <x:v>Not extracted</x:v>
      </x:c>
      <x:c r="E103" s="5" t="str">
        <x:v>Not extracted</x:v>
      </x:c>
      <x:c r="F103" s="5" t="str">
        <x:v>Not extracted</x:v>
      </x:c>
      <x:c r="G103" s="5" t="str">
        <x:v>Not extracted</x:v>
      </x:c>
      <x:c r="H103" s="5" t="str">
        <x:v>Not extracted</x:v>
      </x:c>
      <x:c r="I103" s="5" t="str">
        <x:v>Not extracted</x:v>
      </x:c>
      <x:c r="J103" s="5" t="str">
        <x:v>Not extracted</x:v>
      </x:c>
      <x:c r="K103" s="5" t="str">
        <x:v>Not extracted</x:v>
      </x:c>
      <x:c r="L103" s="5" t="str">
        <x:v>Not extracted</x:v>
      </x:c>
      <x:c r="M103" s="5" t="str">
        <x:v>Not extracted</x:v>
      </x:c>
      <x:c r="N103" s="5" t="str">
        <x:v>Not extracted</x:v>
      </x:c>
      <x:c r="O103" s="5" t="str">
        <x:v>Not extracted</x:v>
      </x:c>
      <x:c r="P103" s="5" t="str">
        <x:v>Not extracted</x:v>
      </x:c>
      <x:c r="Q103" s="5" t="str">
        <x:v>Not extracted</x:v>
      </x:c>
      <x:c r="R103" s="5" t="str">
        <x:v>Not extracted</x:v>
      </x:c>
      <x:c r="S103" s="5" t="str">
        <x:v>Not extracted</x:v>
      </x:c>
      <x:c r="T103" s="5" t="str">
        <x:v>Not assigned</x:v>
      </x:c>
      <x:c r="U103" s="8"/>
    </x:row>
    <x:row r="104" ht="40" customHeight="1">
      <x:c r="A104" s="5" t="str">
        <x:v>C0097</x:v>
      </x:c>
      <x:c r="B104" s="5" t="str">
        <x:v>Not extracted</x:v>
      </x:c>
      <x:c r="C104" s="5" t="str">
        <x:v>Not extracted</x:v>
      </x:c>
      <x:c r="D104" s="5" t="str">
        <x:v>Not extracted</x:v>
      </x:c>
      <x:c r="E104" s="5" t="str">
        <x:v>Not extracted</x:v>
      </x:c>
      <x:c r="F104" s="5" t="str">
        <x:v>Not extracted</x:v>
      </x:c>
      <x:c r="G104" s="5" t="str">
        <x:v>Not extracted</x:v>
      </x:c>
      <x:c r="H104" s="5" t="str">
        <x:v>Not extracted</x:v>
      </x:c>
      <x:c r="I104" s="5" t="str">
        <x:v>Not extracted</x:v>
      </x:c>
      <x:c r="J104" s="5" t="str">
        <x:v>Not extracted</x:v>
      </x:c>
      <x:c r="K104" s="5" t="str">
        <x:v>Not extracted</x:v>
      </x:c>
      <x:c r="L104" s="5" t="str">
        <x:v>Not extracted</x:v>
      </x:c>
      <x:c r="M104" s="5" t="str">
        <x:v>Not extracted</x:v>
      </x:c>
      <x:c r="N104" s="5" t="str">
        <x:v>Not extracted</x:v>
      </x:c>
      <x:c r="O104" s="5" t="str">
        <x:v>Not extracted</x:v>
      </x:c>
      <x:c r="P104" s="5" t="str">
        <x:v>Not extracted</x:v>
      </x:c>
      <x:c r="Q104" s="5" t="str">
        <x:v>Not extracted</x:v>
      </x:c>
      <x:c r="R104" s="5" t="str">
        <x:v>Not extracted</x:v>
      </x:c>
      <x:c r="S104" s="5" t="str">
        <x:v>Not extracted</x:v>
      </x:c>
      <x:c r="T104" s="5" t="str">
        <x:v>Not assigned</x:v>
      </x:c>
      <x:c r="U104" s="8"/>
    </x:row>
    <x:row r="105" ht="40" customHeight="1">
      <x:c r="A105" s="5" t="str">
        <x:v>C0100</x:v>
      </x:c>
      <x:c r="B105" s="5" t="str">
        <x:v>Not extracted</x:v>
      </x:c>
      <x:c r="C105" s="5" t="str">
        <x:v>Not extracted</x:v>
      </x:c>
      <x:c r="D105" s="5" t="str">
        <x:v>Not extracted</x:v>
      </x:c>
      <x:c r="E105" s="5" t="str">
        <x:v>Not extracted</x:v>
      </x:c>
      <x:c r="F105" s="5" t="str">
        <x:v>Not extracted</x:v>
      </x:c>
      <x:c r="G105" s="5" t="str">
        <x:v>Not extracted</x:v>
      </x:c>
      <x:c r="H105" s="5" t="str">
        <x:v>Not extracted</x:v>
      </x:c>
      <x:c r="I105" s="5" t="str">
        <x:v>Not extracted</x:v>
      </x:c>
      <x:c r="J105" s="5" t="str">
        <x:v>Not extracted</x:v>
      </x:c>
      <x:c r="K105" s="5" t="str">
        <x:v>Not extracted</x:v>
      </x:c>
      <x:c r="L105" s="5" t="str">
        <x:v>Not extracted</x:v>
      </x:c>
      <x:c r="M105" s="5" t="str">
        <x:v>Not extracted</x:v>
      </x:c>
      <x:c r="N105" s="5" t="str">
        <x:v>Not extracted</x:v>
      </x:c>
      <x:c r="O105" s="5" t="str">
        <x:v>Not extracted</x:v>
      </x:c>
      <x:c r="P105" s="5" t="str">
        <x:v>Not extracted</x:v>
      </x:c>
      <x:c r="Q105" s="5" t="str">
        <x:v>Not extracted</x:v>
      </x:c>
      <x:c r="R105" s="5" t="str">
        <x:v>Not extracted</x:v>
      </x:c>
      <x:c r="S105" s="5" t="str">
        <x:v>Not extracted</x:v>
      </x:c>
      <x:c r="T105" s="5" t="str">
        <x:v>Not assigned</x:v>
      </x:c>
      <x:c r="U105" s="8"/>
    </x:row>
    <x:row r="106" ht="40" customHeight="1">
      <x:c r="A106" s="5" t="str">
        <x:v>C0101</x:v>
      </x:c>
      <x:c r="B106" s="5" t="str">
        <x:v>Not extracted</x:v>
      </x:c>
      <x:c r="C106" s="5" t="str">
        <x:v>Not extracted</x:v>
      </x:c>
      <x:c r="D106" s="5" t="str">
        <x:v>Not extracted</x:v>
      </x:c>
      <x:c r="E106" s="5" t="str">
        <x:v>Not extracted</x:v>
      </x:c>
      <x:c r="F106" s="5" t="str">
        <x:v>Not extracted</x:v>
      </x:c>
      <x:c r="G106" s="5" t="str">
        <x:v>Not extracted</x:v>
      </x:c>
      <x:c r="H106" s="5" t="str">
        <x:v>Not extracted</x:v>
      </x:c>
      <x:c r="I106" s="5" t="str">
        <x:v>Not extracted</x:v>
      </x:c>
      <x:c r="J106" s="5" t="str">
        <x:v>Not extracted</x:v>
      </x:c>
      <x:c r="K106" s="5" t="str">
        <x:v>Not extracted</x:v>
      </x:c>
      <x:c r="L106" s="5" t="str">
        <x:v>Not extracted</x:v>
      </x:c>
      <x:c r="M106" s="5" t="str">
        <x:v>Not extracted</x:v>
      </x:c>
      <x:c r="N106" s="5" t="str">
        <x:v>Not extracted</x:v>
      </x:c>
      <x:c r="O106" s="5" t="str">
        <x:v>Not extracted</x:v>
      </x:c>
      <x:c r="P106" s="5" t="str">
        <x:v>Not extracted</x:v>
      </x:c>
      <x:c r="Q106" s="5" t="str">
        <x:v>Not extracted</x:v>
      </x:c>
      <x:c r="R106" s="5" t="str">
        <x:v>Not extracted</x:v>
      </x:c>
      <x:c r="S106" s="5" t="str">
        <x:v>Not extracted</x:v>
      </x:c>
      <x:c r="T106" s="5" t="str">
        <x:v>Not assigned</x:v>
      </x:c>
      <x:c r="U106" s="8"/>
    </x:row>
    <x:row r="107" ht="40" customHeight="1">
      <x:c r="A107" s="5" t="str">
        <x:v>C0102</x:v>
      </x:c>
      <x:c r="B107" s="5" t="str">
        <x:v>Not extracted</x:v>
      </x:c>
      <x:c r="C107" s="5" t="str">
        <x:v>Not extracted</x:v>
      </x:c>
      <x:c r="D107" s="5" t="str">
        <x:v>Not extracted</x:v>
      </x:c>
      <x:c r="E107" s="5" t="str">
        <x:v>Not extracted</x:v>
      </x:c>
      <x:c r="F107" s="5" t="str">
        <x:v>Not extracted</x:v>
      </x:c>
      <x:c r="G107" s="5" t="str">
        <x:v>Not extracted</x:v>
      </x:c>
      <x:c r="H107" s="5" t="str">
        <x:v>Not extracted</x:v>
      </x:c>
      <x:c r="I107" s="5" t="str">
        <x:v>Not extracted</x:v>
      </x:c>
      <x:c r="J107" s="5" t="str">
        <x:v>Not extracted</x:v>
      </x:c>
      <x:c r="K107" s="5" t="str">
        <x:v>Not extracted</x:v>
      </x:c>
      <x:c r="L107" s="5" t="str">
        <x:v>Not extracted</x:v>
      </x:c>
      <x:c r="M107" s="5" t="str">
        <x:v>Not extracted</x:v>
      </x:c>
      <x:c r="N107" s="5" t="str">
        <x:v>Not extracted</x:v>
      </x:c>
      <x:c r="O107" s="5" t="str">
        <x:v>Not extracted</x:v>
      </x:c>
      <x:c r="P107" s="5" t="str">
        <x:v>Not extracted</x:v>
      </x:c>
      <x:c r="Q107" s="5" t="str">
        <x:v>Not extracted</x:v>
      </x:c>
      <x:c r="R107" s="5" t="str">
        <x:v>Not extracted</x:v>
      </x:c>
      <x:c r="S107" s="5" t="str">
        <x:v>Not extracted</x:v>
      </x:c>
      <x:c r="T107" s="5" t="str">
        <x:v>Not assigned</x:v>
      </x:c>
      <x:c r="U107" s="8"/>
    </x:row>
    <x:row r="108" ht="40" customHeight="1">
      <x:c r="A108" s="5" t="str">
        <x:v>C0103</x:v>
      </x:c>
      <x:c r="B108" s="5" t="str">
        <x:v>Not extracted</x:v>
      </x:c>
      <x:c r="C108" s="5" t="str">
        <x:v>Not extracted</x:v>
      </x:c>
      <x:c r="D108" s="5" t="str">
        <x:v>Not extracted</x:v>
      </x:c>
      <x:c r="E108" s="5" t="str">
        <x:v>Not extracted</x:v>
      </x:c>
      <x:c r="F108" s="5" t="str">
        <x:v>Not extracted</x:v>
      </x:c>
      <x:c r="G108" s="5" t="str">
        <x:v>Not extracted</x:v>
      </x:c>
      <x:c r="H108" s="5" t="str">
        <x:v>Not extracted</x:v>
      </x:c>
      <x:c r="I108" s="5" t="str">
        <x:v>Not extracted</x:v>
      </x:c>
      <x:c r="J108" s="5" t="str">
        <x:v>Not extracted</x:v>
      </x:c>
      <x:c r="K108" s="5" t="str">
        <x:v>Not extracted</x:v>
      </x:c>
      <x:c r="L108" s="5" t="str">
        <x:v>Not extracted</x:v>
      </x:c>
      <x:c r="M108" s="5" t="str">
        <x:v>Not extracted</x:v>
      </x:c>
      <x:c r="N108" s="5" t="str">
        <x:v>Not extracted</x:v>
      </x:c>
      <x:c r="O108" s="5" t="str">
        <x:v>Not extracted</x:v>
      </x:c>
      <x:c r="P108" s="5" t="str">
        <x:v>Not extracted</x:v>
      </x:c>
      <x:c r="Q108" s="5" t="str">
        <x:v>Not extracted</x:v>
      </x:c>
      <x:c r="R108" s="5" t="str">
        <x:v>Not extracted</x:v>
      </x:c>
      <x:c r="S108" s="5" t="str">
        <x:v>Not extracted</x:v>
      </x:c>
      <x:c r="T108" s="5" t="str">
        <x:v>Not assigned</x:v>
      </x:c>
      <x:c r="U108" s="8"/>
    </x:row>
    <x:row r="109" ht="40" customHeight="1">
      <x:c r="A109" s="5" t="str">
        <x:v>C0106</x:v>
      </x:c>
      <x:c r="B109" s="5" t="str">
        <x:v>Not extracted</x:v>
      </x:c>
      <x:c r="C109" s="5" t="str">
        <x:v>Not extracted</x:v>
      </x:c>
      <x:c r="D109" s="5" t="str">
        <x:v>Not extracted</x:v>
      </x:c>
      <x:c r="E109" s="5" t="str">
        <x:v>Not extracted</x:v>
      </x:c>
      <x:c r="F109" s="5" t="str">
        <x:v>Not extracted</x:v>
      </x:c>
      <x:c r="G109" s="5" t="str">
        <x:v>Not extracted</x:v>
      </x:c>
      <x:c r="H109" s="5" t="str">
        <x:v>Not extracted</x:v>
      </x:c>
      <x:c r="I109" s="5" t="str">
        <x:v>Not extracted</x:v>
      </x:c>
      <x:c r="J109" s="5" t="str">
        <x:v>Not extracted</x:v>
      </x:c>
      <x:c r="K109" s="5" t="str">
        <x:v>Not extracted</x:v>
      </x:c>
      <x:c r="L109" s="5" t="str">
        <x:v>Not extracted</x:v>
      </x:c>
      <x:c r="M109" s="5" t="str">
        <x:v>Not extracted</x:v>
      </x:c>
      <x:c r="N109" s="5" t="str">
        <x:v>Not extracted</x:v>
      </x:c>
      <x:c r="O109" s="5" t="str">
        <x:v>Not extracted</x:v>
      </x:c>
      <x:c r="P109" s="5" t="str">
        <x:v>Not extracted</x:v>
      </x:c>
      <x:c r="Q109" s="5" t="str">
        <x:v>Not extracted</x:v>
      </x:c>
      <x:c r="R109" s="5" t="str">
        <x:v>Not extracted</x:v>
      </x:c>
      <x:c r="S109" s="5" t="str">
        <x:v>Not extracted</x:v>
      </x:c>
      <x:c r="T109" s="5" t="str">
        <x:v>Not assigned</x:v>
      </x:c>
      <x:c r="U109" s="8"/>
    </x:row>
    <x:row r="110" ht="40" customHeight="1">
      <x:c r="A110" s="5" t="str">
        <x:v>C0107</x:v>
      </x:c>
      <x:c r="B110" s="5" t="str">
        <x:v>Not extracted</x:v>
      </x:c>
      <x:c r="C110" s="5" t="str">
        <x:v>Not extracted</x:v>
      </x:c>
      <x:c r="D110" s="5" t="str">
        <x:v>Not extracted</x:v>
      </x:c>
      <x:c r="E110" s="5" t="str">
        <x:v>Not extracted</x:v>
      </x:c>
      <x:c r="F110" s="5" t="str">
        <x:v>Not extracted</x:v>
      </x:c>
      <x:c r="G110" s="5" t="str">
        <x:v>Not extracted</x:v>
      </x:c>
      <x:c r="H110" s="5" t="str">
        <x:v>Not extracted</x:v>
      </x:c>
      <x:c r="I110" s="5" t="str">
        <x:v>Not extracted</x:v>
      </x:c>
      <x:c r="J110" s="5" t="str">
        <x:v>Not extracted</x:v>
      </x:c>
      <x:c r="K110" s="5" t="str">
        <x:v>Not extracted</x:v>
      </x:c>
      <x:c r="L110" s="5" t="str">
        <x:v>Not extracted</x:v>
      </x:c>
      <x:c r="M110" s="5" t="str">
        <x:v>Not extracted</x:v>
      </x:c>
      <x:c r="N110" s="5" t="str">
        <x:v>Not extracted</x:v>
      </x:c>
      <x:c r="O110" s="5" t="str">
        <x:v>Not extracted</x:v>
      </x:c>
      <x:c r="P110" s="5" t="str">
        <x:v>Not extracted</x:v>
      </x:c>
      <x:c r="Q110" s="5" t="str">
        <x:v>Not extracted</x:v>
      </x:c>
      <x:c r="R110" s="5" t="str">
        <x:v>Not extracted</x:v>
      </x:c>
      <x:c r="S110" s="5" t="str">
        <x:v>Not extracted</x:v>
      </x:c>
      <x:c r="T110" s="5" t="str">
        <x:v>Not assigned</x:v>
      </x:c>
      <x:c r="U110" s="8"/>
    </x:row>
    <x:row r="111" ht="40" customHeight="1">
      <x:c r="A111" s="5" t="str">
        <x:v>C0108</x:v>
      </x:c>
      <x:c r="B111" s="5" t="str">
        <x:v>Not extracted</x:v>
      </x:c>
      <x:c r="C111" s="5" t="str">
        <x:v>Not extracted</x:v>
      </x:c>
      <x:c r="D111" s="5" t="str">
        <x:v>Not extracted</x:v>
      </x:c>
      <x:c r="E111" s="5" t="str">
        <x:v>Not extracted</x:v>
      </x:c>
      <x:c r="F111" s="5" t="str">
        <x:v>Not extracted</x:v>
      </x:c>
      <x:c r="G111" s="5" t="str">
        <x:v>Not extracted</x:v>
      </x:c>
      <x:c r="H111" s="5" t="str">
        <x:v>Not extracted</x:v>
      </x:c>
      <x:c r="I111" s="5" t="str">
        <x:v>Not extracted</x:v>
      </x:c>
      <x:c r="J111" s="5" t="str">
        <x:v>Not extracted</x:v>
      </x:c>
      <x:c r="K111" s="5" t="str">
        <x:v>Not extracted</x:v>
      </x:c>
      <x:c r="L111" s="5" t="str">
        <x:v>Not extracted</x:v>
      </x:c>
      <x:c r="M111" s="5" t="str">
        <x:v>Not extracted</x:v>
      </x:c>
      <x:c r="N111" s="5" t="str">
        <x:v>Not extracted</x:v>
      </x:c>
      <x:c r="O111" s="5" t="str">
        <x:v>Not extracted</x:v>
      </x:c>
      <x:c r="P111" s="5" t="str">
        <x:v>Not extracted</x:v>
      </x:c>
      <x:c r="Q111" s="5" t="str">
        <x:v>Not extracted</x:v>
      </x:c>
      <x:c r="R111" s="5" t="str">
        <x:v>Not extracted</x:v>
      </x:c>
      <x:c r="S111" s="5" t="str">
        <x:v>Not extracted</x:v>
      </x:c>
      <x:c r="T111" s="5" t="str">
        <x:v>Not assigned</x:v>
      </x:c>
      <x:c r="U111" s="8"/>
    </x:row>
    <x:row r="112" ht="40" customHeight="1">
      <x:c r="A112" s="5" t="str">
        <x:v>C0109</x:v>
      </x:c>
      <x:c r="B112" s="5" t="str">
        <x:v>Not extracted</x:v>
      </x:c>
      <x:c r="C112" s="5" t="str">
        <x:v>Not extracted</x:v>
      </x:c>
      <x:c r="D112" s="5" t="str">
        <x:v>Not extracted</x:v>
      </x:c>
      <x:c r="E112" s="5" t="str">
        <x:v>Not extracted</x:v>
      </x:c>
      <x:c r="F112" s="5" t="str">
        <x:v>Not extracted</x:v>
      </x:c>
      <x:c r="G112" s="5" t="str">
        <x:v>Not extracted</x:v>
      </x:c>
      <x:c r="H112" s="5" t="str">
        <x:v>Not extracted</x:v>
      </x:c>
      <x:c r="I112" s="5" t="str">
        <x:v>Not extracted</x:v>
      </x:c>
      <x:c r="J112" s="5" t="str">
        <x:v>Not extracted</x:v>
      </x:c>
      <x:c r="K112" s="5" t="str">
        <x:v>Not extracted</x:v>
      </x:c>
      <x:c r="L112" s="5" t="str">
        <x:v>Not extracted</x:v>
      </x:c>
      <x:c r="M112" s="5" t="str">
        <x:v>Not extracted</x:v>
      </x:c>
      <x:c r="N112" s="5" t="str">
        <x:v>Not extracted</x:v>
      </x:c>
      <x:c r="O112" s="5" t="str">
        <x:v>Not extracted</x:v>
      </x:c>
      <x:c r="P112" s="5" t="str">
        <x:v>Not extracted</x:v>
      </x:c>
      <x:c r="Q112" s="5" t="str">
        <x:v>Not extracted</x:v>
      </x:c>
      <x:c r="R112" s="5" t="str">
        <x:v>Not extracted</x:v>
      </x:c>
      <x:c r="S112" s="5" t="str">
        <x:v>Not extracted</x:v>
      </x:c>
      <x:c r="T112" s="5" t="str">
        <x:v>Not assigned</x:v>
      </x:c>
      <x:c r="U112" s="8"/>
    </x:row>
    <x:row r="113" ht="40" customHeight="1">
      <x:c r="A113" s="5" t="str">
        <x:v>C0110</x:v>
      </x:c>
      <x:c r="B113" s="5" t="str">
        <x:v>Not extracted</x:v>
      </x:c>
      <x:c r="C113" s="5" t="str">
        <x:v>Not extracted</x:v>
      </x:c>
      <x:c r="D113" s="5" t="str">
        <x:v>Not extracted</x:v>
      </x:c>
      <x:c r="E113" s="5" t="str">
        <x:v>Not extracted</x:v>
      </x:c>
      <x:c r="F113" s="5" t="str">
        <x:v>Not extracted</x:v>
      </x:c>
      <x:c r="G113" s="5" t="str">
        <x:v>Not extracted</x:v>
      </x:c>
      <x:c r="H113" s="5" t="str">
        <x:v>Not extracted</x:v>
      </x:c>
      <x:c r="I113" s="5" t="str">
        <x:v>Not extracted</x:v>
      </x:c>
      <x:c r="J113" s="5" t="str">
        <x:v>Not extracted</x:v>
      </x:c>
      <x:c r="K113" s="5" t="str">
        <x:v>Not extracted</x:v>
      </x:c>
      <x:c r="L113" s="5" t="str">
        <x:v>Not extracted</x:v>
      </x:c>
      <x:c r="M113" s="5" t="str">
        <x:v>Not extracted</x:v>
      </x:c>
      <x:c r="N113" s="5" t="str">
        <x:v>Not extracted</x:v>
      </x:c>
      <x:c r="O113" s="5" t="str">
        <x:v>Not extracted</x:v>
      </x:c>
      <x:c r="P113" s="5" t="str">
        <x:v>Not extracted</x:v>
      </x:c>
      <x:c r="Q113" s="5" t="str">
        <x:v>Not extracted</x:v>
      </x:c>
      <x:c r="R113" s="5" t="str">
        <x:v>Not extracted</x:v>
      </x:c>
      <x:c r="S113" s="5" t="str">
        <x:v>Not extracted</x:v>
      </x:c>
      <x:c r="T113" s="5" t="str">
        <x:v>Not assigned</x:v>
      </x:c>
      <x:c r="U113" s="8"/>
    </x:row>
    <x:row r="114" ht="40" customHeight="1">
      <x:c r="A114" s="5" t="str">
        <x:v>C0111</x:v>
      </x:c>
      <x:c r="B114" s="5" t="str">
        <x:v>Not extracted</x:v>
      </x:c>
      <x:c r="C114" s="5" t="str">
        <x:v>Not extracted</x:v>
      </x:c>
      <x:c r="D114" s="5" t="str">
        <x:v>Not extracted</x:v>
      </x:c>
      <x:c r="E114" s="5" t="str">
        <x:v>Not extracted</x:v>
      </x:c>
      <x:c r="F114" s="5" t="str">
        <x:v>Not extracted</x:v>
      </x:c>
      <x:c r="G114" s="5" t="str">
        <x:v>Not extracted</x:v>
      </x:c>
      <x:c r="H114" s="5" t="str">
        <x:v>Not extracted</x:v>
      </x:c>
      <x:c r="I114" s="5" t="str">
        <x:v>Not extracted</x:v>
      </x:c>
      <x:c r="J114" s="5" t="str">
        <x:v>Not extracted</x:v>
      </x:c>
      <x:c r="K114" s="5" t="str">
        <x:v>Not extracted</x:v>
      </x:c>
      <x:c r="L114" s="5" t="str">
        <x:v>Not extracted</x:v>
      </x:c>
      <x:c r="M114" s="5" t="str">
        <x:v>Not extracted</x:v>
      </x:c>
      <x:c r="N114" s="5" t="str">
        <x:v>Not extracted</x:v>
      </x:c>
      <x:c r="O114" s="5" t="str">
        <x:v>Not extracted</x:v>
      </x:c>
      <x:c r="P114" s="5" t="str">
        <x:v>Not extracted</x:v>
      </x:c>
      <x:c r="Q114" s="5" t="str">
        <x:v>Not extracted</x:v>
      </x:c>
      <x:c r="R114" s="5" t="str">
        <x:v>Not extracted</x:v>
      </x:c>
      <x:c r="S114" s="5" t="str">
        <x:v>Not extracted</x:v>
      </x:c>
      <x:c r="T114" s="5" t="str">
        <x:v>Not assigned</x:v>
      </x:c>
      <x:c r="U114" s="8"/>
    </x:row>
    <x:row r="115" ht="40" customHeight="1">
      <x:c r="A115" s="5" t="str">
        <x:v>C0112</x:v>
      </x:c>
      <x:c r="B115" s="5" t="str">
        <x:v>Not extracted</x:v>
      </x:c>
      <x:c r="C115" s="5" t="str">
        <x:v>Not extracted</x:v>
      </x:c>
      <x:c r="D115" s="5" t="str">
        <x:v>Not extracted</x:v>
      </x:c>
      <x:c r="E115" s="5" t="str">
        <x:v>Not extracted</x:v>
      </x:c>
      <x:c r="F115" s="5" t="str">
        <x:v>Not extracted</x:v>
      </x:c>
      <x:c r="G115" s="5" t="str">
        <x:v>Not extracted</x:v>
      </x:c>
      <x:c r="H115" s="5" t="str">
        <x:v>Not extracted</x:v>
      </x:c>
      <x:c r="I115" s="5" t="str">
        <x:v>Not extracted</x:v>
      </x:c>
      <x:c r="J115" s="5" t="str">
        <x:v>Not extracted</x:v>
      </x:c>
      <x:c r="K115" s="5" t="str">
        <x:v>Not extracted</x:v>
      </x:c>
      <x:c r="L115" s="5" t="str">
        <x:v>Not extracted</x:v>
      </x:c>
      <x:c r="M115" s="5" t="str">
        <x:v>Not extracted</x:v>
      </x:c>
      <x:c r="N115" s="5" t="str">
        <x:v>Not extracted</x:v>
      </x:c>
      <x:c r="O115" s="5" t="str">
        <x:v>Not extracted</x:v>
      </x:c>
      <x:c r="P115" s="5" t="str">
        <x:v>Not extracted</x:v>
      </x:c>
      <x:c r="Q115" s="5" t="str">
        <x:v>Not extracted</x:v>
      </x:c>
      <x:c r="R115" s="5" t="str">
        <x:v>Not extracted</x:v>
      </x:c>
      <x:c r="S115" s="5" t="str">
        <x:v>Not extracted</x:v>
      </x:c>
      <x:c r="T115" s="5" t="str">
        <x:v>Not assigned</x:v>
      </x:c>
      <x:c r="U115" s="8"/>
    </x:row>
    <x:row r="116" ht="40" customHeight="1">
      <x:c r="A116" s="5" t="str">
        <x:v>C0113</x:v>
      </x:c>
      <x:c r="B116" s="5" t="str">
        <x:v>Not extracted</x:v>
      </x:c>
      <x:c r="C116" s="5" t="str">
        <x:v>Not extracted</x:v>
      </x:c>
      <x:c r="D116" s="5" t="str">
        <x:v>Not extracted</x:v>
      </x:c>
      <x:c r="E116" s="5" t="str">
        <x:v>Not extracted</x:v>
      </x:c>
      <x:c r="F116" s="5" t="str">
        <x:v>Not extracted</x:v>
      </x:c>
      <x:c r="G116" s="5" t="str">
        <x:v>Not extracted</x:v>
      </x:c>
      <x:c r="H116" s="5" t="str">
        <x:v>Not extracted</x:v>
      </x:c>
      <x:c r="I116" s="5" t="str">
        <x:v>Not extracted</x:v>
      </x:c>
      <x:c r="J116" s="5" t="str">
        <x:v>Not extracted</x:v>
      </x:c>
      <x:c r="K116" s="5" t="str">
        <x:v>Not extracted</x:v>
      </x:c>
      <x:c r="L116" s="5" t="str">
        <x:v>Not extracted</x:v>
      </x:c>
      <x:c r="M116" s="5" t="str">
        <x:v>Not extracted</x:v>
      </x:c>
      <x:c r="N116" s="5" t="str">
        <x:v>Not extracted</x:v>
      </x:c>
      <x:c r="O116" s="5" t="str">
        <x:v>Not extracted</x:v>
      </x:c>
      <x:c r="P116" s="5" t="str">
        <x:v>Not extracted</x:v>
      </x:c>
      <x:c r="Q116" s="5" t="str">
        <x:v>Not extracted</x:v>
      </x:c>
      <x:c r="R116" s="5" t="str">
        <x:v>Not extracted</x:v>
      </x:c>
      <x:c r="S116" s="5" t="str">
        <x:v>Not extracted</x:v>
      </x:c>
      <x:c r="T116" s="5" t="str">
        <x:v>Not assigned</x:v>
      </x:c>
      <x:c r="U116" s="8"/>
    </x:row>
    <x:row r="117" ht="40" customHeight="1">
      <x:c r="A117" s="5" t="str">
        <x:v>C0114</x:v>
      </x:c>
      <x:c r="B117" s="5" t="str">
        <x:v>Not extracted</x:v>
      </x:c>
      <x:c r="C117" s="5" t="str">
        <x:v>Not extracted</x:v>
      </x:c>
      <x:c r="D117" s="5" t="str">
        <x:v>Not extracted</x:v>
      </x:c>
      <x:c r="E117" s="5" t="str">
        <x:v>Not extracted</x:v>
      </x:c>
      <x:c r="F117" s="5" t="str">
        <x:v>Not extracted</x:v>
      </x:c>
      <x:c r="G117" s="5" t="str">
        <x:v>Not extracted</x:v>
      </x:c>
      <x:c r="H117" s="5" t="str">
        <x:v>Not extracted</x:v>
      </x:c>
      <x:c r="I117" s="5" t="str">
        <x:v>Not extracted</x:v>
      </x:c>
      <x:c r="J117" s="5" t="str">
        <x:v>Not extracted</x:v>
      </x:c>
      <x:c r="K117" s="5" t="str">
        <x:v>Not extracted</x:v>
      </x:c>
      <x:c r="L117" s="5" t="str">
        <x:v>Not extracted</x:v>
      </x:c>
      <x:c r="M117" s="5" t="str">
        <x:v>Not extracted</x:v>
      </x:c>
      <x:c r="N117" s="5" t="str">
        <x:v>Not extracted</x:v>
      </x:c>
      <x:c r="O117" s="5" t="str">
        <x:v>Not extracted</x:v>
      </x:c>
      <x:c r="P117" s="5" t="str">
        <x:v>Not extracted</x:v>
      </x:c>
      <x:c r="Q117" s="5" t="str">
        <x:v>Not extracted</x:v>
      </x:c>
      <x:c r="R117" s="5" t="str">
        <x:v>Not extracted</x:v>
      </x:c>
      <x:c r="S117" s="5" t="str">
        <x:v>Not extracted</x:v>
      </x:c>
      <x:c r="T117" s="5" t="str">
        <x:v>Not assigned</x:v>
      </x:c>
      <x:c r="U117" s="8"/>
    </x:row>
    <x:row r="118" ht="40" customHeight="1">
      <x:c r="A118" s="5" t="str">
        <x:v>C0115</x:v>
      </x:c>
      <x:c r="B118" s="5" t="str">
        <x:v>Not extracted</x:v>
      </x:c>
      <x:c r="C118" s="5" t="str">
        <x:v>Not extracted</x:v>
      </x:c>
      <x:c r="D118" s="5" t="str">
        <x:v>Not extracted</x:v>
      </x:c>
      <x:c r="E118" s="5" t="str">
        <x:v>Not extracted</x:v>
      </x:c>
      <x:c r="F118" s="5" t="str">
        <x:v>Not extracted</x:v>
      </x:c>
      <x:c r="G118" s="5" t="str">
        <x:v>Not extracted</x:v>
      </x:c>
      <x:c r="H118" s="5" t="str">
        <x:v>Not extracted</x:v>
      </x:c>
      <x:c r="I118" s="5" t="str">
        <x:v>Not extracted</x:v>
      </x:c>
      <x:c r="J118" s="5" t="str">
        <x:v>Not extracted</x:v>
      </x:c>
      <x:c r="K118" s="5" t="str">
        <x:v>Not extracted</x:v>
      </x:c>
      <x:c r="L118" s="5" t="str">
        <x:v>Not extracted</x:v>
      </x:c>
      <x:c r="M118" s="5" t="str">
        <x:v>Not extracted</x:v>
      </x:c>
      <x:c r="N118" s="5" t="str">
        <x:v>Not extracted</x:v>
      </x:c>
      <x:c r="O118" s="5" t="str">
        <x:v>Not extracted</x:v>
      </x:c>
      <x:c r="P118" s="5" t="str">
        <x:v>Not extracted</x:v>
      </x:c>
      <x:c r="Q118" s="5" t="str">
        <x:v>Not extracted</x:v>
      </x:c>
      <x:c r="R118" s="5" t="str">
        <x:v>Not extracted</x:v>
      </x:c>
      <x:c r="S118" s="5" t="str">
        <x:v>Not extracted</x:v>
      </x:c>
      <x:c r="T118" s="5" t="str">
        <x:v>Not assigned</x:v>
      </x:c>
      <x:c r="U118" s="8"/>
    </x:row>
    <x:row r="119" ht="40" customHeight="1">
      <x:c r="A119" s="5" t="str">
        <x:v>C0116</x:v>
      </x:c>
      <x:c r="B119" s="5" t="str">
        <x:v>Not extracted</x:v>
      </x:c>
      <x:c r="C119" s="5" t="str">
        <x:v>Not extracted</x:v>
      </x:c>
      <x:c r="D119" s="5" t="str">
        <x:v>Not extracted</x:v>
      </x:c>
      <x:c r="E119" s="5" t="str">
        <x:v>Not extracted</x:v>
      </x:c>
      <x:c r="F119" s="5" t="str">
        <x:v>Not extracted</x:v>
      </x:c>
      <x:c r="G119" s="5" t="str">
        <x:v>Not extracted</x:v>
      </x:c>
      <x:c r="H119" s="5" t="str">
        <x:v>Not extracted</x:v>
      </x:c>
      <x:c r="I119" s="5" t="str">
        <x:v>Not extracted</x:v>
      </x:c>
      <x:c r="J119" s="5" t="str">
        <x:v>Not extracted</x:v>
      </x:c>
      <x:c r="K119" s="5" t="str">
        <x:v>Not extracted</x:v>
      </x:c>
      <x:c r="L119" s="5" t="str">
        <x:v>Not extracted</x:v>
      </x:c>
      <x:c r="M119" s="5" t="str">
        <x:v>Not extracted</x:v>
      </x:c>
      <x:c r="N119" s="5" t="str">
        <x:v>Not extracted</x:v>
      </x:c>
      <x:c r="O119" s="5" t="str">
        <x:v>Not extracted</x:v>
      </x:c>
      <x:c r="P119" s="5" t="str">
        <x:v>Not extracted</x:v>
      </x:c>
      <x:c r="Q119" s="5" t="str">
        <x:v>Not extracted</x:v>
      </x:c>
      <x:c r="R119" s="5" t="str">
        <x:v>Not extracted</x:v>
      </x:c>
      <x:c r="S119" s="5" t="str">
        <x:v>Not extracted</x:v>
      </x:c>
      <x:c r="T119" s="5" t="str">
        <x:v>Not assigned</x:v>
      </x:c>
      <x:c r="U119" s="8"/>
    </x:row>
    <x:row r="120" ht="40" customHeight="1">
      <x:c r="A120" s="5" t="str">
        <x:v>C0117</x:v>
      </x:c>
      <x:c r="B120" s="5" t="str">
        <x:v>Not extracted</x:v>
      </x:c>
      <x:c r="C120" s="5" t="str">
        <x:v>Not extracted</x:v>
      </x:c>
      <x:c r="D120" s="5" t="str">
        <x:v>Not extracted</x:v>
      </x:c>
      <x:c r="E120" s="5" t="str">
        <x:v>Not extracted</x:v>
      </x:c>
      <x:c r="F120" s="5" t="str">
        <x:v>Not extracted</x:v>
      </x:c>
      <x:c r="G120" s="5" t="str">
        <x:v>Not extracted</x:v>
      </x:c>
      <x:c r="H120" s="5" t="str">
        <x:v>Not extracted</x:v>
      </x:c>
      <x:c r="I120" s="5" t="str">
        <x:v>Not extracted</x:v>
      </x:c>
      <x:c r="J120" s="5" t="str">
        <x:v>Not extracted</x:v>
      </x:c>
      <x:c r="K120" s="5" t="str">
        <x:v>Not extracted</x:v>
      </x:c>
      <x:c r="L120" s="5" t="str">
        <x:v>Not extracted</x:v>
      </x:c>
      <x:c r="M120" s="5" t="str">
        <x:v>Not extracted</x:v>
      </x:c>
      <x:c r="N120" s="5" t="str">
        <x:v>Not extracted</x:v>
      </x:c>
      <x:c r="O120" s="5" t="str">
        <x:v>Not extracted</x:v>
      </x:c>
      <x:c r="P120" s="5" t="str">
        <x:v>Not extracted</x:v>
      </x:c>
      <x:c r="Q120" s="5" t="str">
        <x:v>Not extracted</x:v>
      </x:c>
      <x:c r="R120" s="5" t="str">
        <x:v>Not extracted</x:v>
      </x:c>
      <x:c r="S120" s="5" t="str">
        <x:v>Not extracted</x:v>
      </x:c>
      <x:c r="T120" s="5" t="str">
        <x:v>Not assigned</x:v>
      </x:c>
      <x:c r="U120" s="8"/>
    </x:row>
    <x:row r="121" ht="40" customHeight="1">
      <x:c r="A121" s="5" t="str">
        <x:v>C0118</x:v>
      </x:c>
      <x:c r="B121" s="5" t="str">
        <x:v>Not extracted</x:v>
      </x:c>
      <x:c r="C121" s="5" t="str">
        <x:v>Not extracted</x:v>
      </x:c>
      <x:c r="D121" s="5" t="str">
        <x:v>Not extracted</x:v>
      </x:c>
      <x:c r="E121" s="5" t="str">
        <x:v>Not extracted</x:v>
      </x:c>
      <x:c r="F121" s="5" t="str">
        <x:v>Not extracted</x:v>
      </x:c>
      <x:c r="G121" s="5" t="str">
        <x:v>Not extracted</x:v>
      </x:c>
      <x:c r="H121" s="5" t="str">
        <x:v>Not extracted</x:v>
      </x:c>
      <x:c r="I121" s="5" t="str">
        <x:v>Not extracted</x:v>
      </x:c>
      <x:c r="J121" s="5" t="str">
        <x:v>Not extracted</x:v>
      </x:c>
      <x:c r="K121" s="5" t="str">
        <x:v>Not extracted</x:v>
      </x:c>
      <x:c r="L121" s="5" t="str">
        <x:v>Not extracted</x:v>
      </x:c>
      <x:c r="M121" s="5" t="str">
        <x:v>Not extracted</x:v>
      </x:c>
      <x:c r="N121" s="5" t="str">
        <x:v>Not extracted</x:v>
      </x:c>
      <x:c r="O121" s="5" t="str">
        <x:v>Not extracted</x:v>
      </x:c>
      <x:c r="P121" s="5" t="str">
        <x:v>Not extracted</x:v>
      </x:c>
      <x:c r="Q121" s="5" t="str">
        <x:v>Not extracted</x:v>
      </x:c>
      <x:c r="R121" s="5" t="str">
        <x:v>Not extracted</x:v>
      </x:c>
      <x:c r="S121" s="5" t="str">
        <x:v>Not extracted</x:v>
      </x:c>
      <x:c r="T121" s="5" t="str">
        <x:v>Not assigned</x:v>
      </x:c>
      <x:c r="U121" s="8"/>
    </x:row>
    <x:row r="122" ht="40" customHeight="1">
      <x:c r="A122" s="5" t="str">
        <x:v>C0120</x:v>
      </x:c>
      <x:c r="B122" s="5" t="str">
        <x:v>Not extracted</x:v>
      </x:c>
      <x:c r="C122" s="5" t="str">
        <x:v>Not extracted</x:v>
      </x:c>
      <x:c r="D122" s="5" t="str">
        <x:v>Not extracted</x:v>
      </x:c>
      <x:c r="E122" s="5" t="str">
        <x:v>Not extracted</x:v>
      </x:c>
      <x:c r="F122" s="5" t="str">
        <x:v>Not extracted</x:v>
      </x:c>
      <x:c r="G122" s="5" t="str">
        <x:v>Not extracted</x:v>
      </x:c>
      <x:c r="H122" s="5" t="str">
        <x:v>Not extracted</x:v>
      </x:c>
      <x:c r="I122" s="5" t="str">
        <x:v>Not extracted</x:v>
      </x:c>
      <x:c r="J122" s="5" t="str">
        <x:v>Not extracted</x:v>
      </x:c>
      <x:c r="K122" s="5" t="str">
        <x:v>Not extracted</x:v>
      </x:c>
      <x:c r="L122" s="5" t="str">
        <x:v>Not extracted</x:v>
      </x:c>
      <x:c r="M122" s="5" t="str">
        <x:v>Not extracted</x:v>
      </x:c>
      <x:c r="N122" s="5" t="str">
        <x:v>Not extracted</x:v>
      </x:c>
      <x:c r="O122" s="5" t="str">
        <x:v>Not extracted</x:v>
      </x:c>
      <x:c r="P122" s="5" t="str">
        <x:v>Not extracted</x:v>
      </x:c>
      <x:c r="Q122" s="5" t="str">
        <x:v>Not extracted</x:v>
      </x:c>
      <x:c r="R122" s="5" t="str">
        <x:v>Not extracted</x:v>
      </x:c>
      <x:c r="S122" s="5" t="str">
        <x:v>Not extracted</x:v>
      </x:c>
      <x:c r="T122" s="5" t="str">
        <x:v>Not assigned</x:v>
      </x:c>
      <x:c r="U122" s="8"/>
    </x:row>
    <x:row r="123" ht="40" customHeight="1">
      <x:c r="A123" s="5" t="str">
        <x:v>C0124</x:v>
      </x:c>
      <x:c r="B123" s="5" t="str">
        <x:v>Not extracted</x:v>
      </x:c>
      <x:c r="C123" s="5" t="str">
        <x:v>Not extracted</x:v>
      </x:c>
      <x:c r="D123" s="5" t="str">
        <x:v>Not extracted</x:v>
      </x:c>
      <x:c r="E123" s="5" t="str">
        <x:v>Not extracted</x:v>
      </x:c>
      <x:c r="F123" s="5" t="str">
        <x:v>Not extracted</x:v>
      </x:c>
      <x:c r="G123" s="5" t="str">
        <x:v>Not extracted</x:v>
      </x:c>
      <x:c r="H123" s="5" t="str">
        <x:v>Not extracted</x:v>
      </x:c>
      <x:c r="I123" s="5" t="str">
        <x:v>Not extracted</x:v>
      </x:c>
      <x:c r="J123" s="5" t="str">
        <x:v>Not extracted</x:v>
      </x:c>
      <x:c r="K123" s="5" t="str">
        <x:v>Not extracted</x:v>
      </x:c>
      <x:c r="L123" s="5" t="str">
        <x:v>Not extracted</x:v>
      </x:c>
      <x:c r="M123" s="5" t="str">
        <x:v>Not extracted</x:v>
      </x:c>
      <x:c r="N123" s="5" t="str">
        <x:v>Not extracted</x:v>
      </x:c>
      <x:c r="O123" s="5" t="str">
        <x:v>Not extracted</x:v>
      </x:c>
      <x:c r="P123" s="5" t="str">
        <x:v>Not extracted</x:v>
      </x:c>
      <x:c r="Q123" s="5" t="str">
        <x:v>Not extracted</x:v>
      </x:c>
      <x:c r="R123" s="5" t="str">
        <x:v>Not extracted</x:v>
      </x:c>
      <x:c r="S123" s="5" t="str">
        <x:v>Not extracted</x:v>
      </x:c>
      <x:c r="T123" s="5" t="str">
        <x:v>Not assigned</x:v>
      </x:c>
      <x:c r="U123" s="8"/>
    </x:row>
    <x:row r="124" ht="40" customHeight="1">
      <x:c r="A124" s="5" t="str">
        <x:v>C0165</x:v>
      </x:c>
      <x:c r="B124" s="5" t="str">
        <x:v>Not extracted</x:v>
      </x:c>
      <x:c r="C124" s="5" t="str">
        <x:v>Not extracted</x:v>
      </x:c>
      <x:c r="D124" s="5" t="str">
        <x:v>Not extracted</x:v>
      </x:c>
      <x:c r="E124" s="5" t="str">
        <x:v>Not extracted</x:v>
      </x:c>
      <x:c r="F124" s="5" t="str">
        <x:v>Not extracted</x:v>
      </x:c>
      <x:c r="G124" s="5" t="str">
        <x:v>Not extracted</x:v>
      </x:c>
      <x:c r="H124" s="5" t="str">
        <x:v>Not extracted</x:v>
      </x:c>
      <x:c r="I124" s="5" t="str">
        <x:v>Not extracted</x:v>
      </x:c>
      <x:c r="J124" s="5" t="str">
        <x:v>Not extracted</x:v>
      </x:c>
      <x:c r="K124" s="5" t="str">
        <x:v>Not extracted</x:v>
      </x:c>
      <x:c r="L124" s="5" t="str">
        <x:v>Not extracted</x:v>
      </x:c>
      <x:c r="M124" s="5" t="str">
        <x:v>Not extracted</x:v>
      </x:c>
      <x:c r="N124" s="5" t="str">
        <x:v>Not extracted</x:v>
      </x:c>
      <x:c r="O124" s="5" t="str">
        <x:v>Not extracted</x:v>
      </x:c>
      <x:c r="P124" s="5" t="str">
        <x:v>Not extracted</x:v>
      </x:c>
      <x:c r="Q124" s="5" t="str">
        <x:v>Not extracted</x:v>
      </x:c>
      <x:c r="R124" s="5" t="str">
        <x:v>Not extracted</x:v>
      </x:c>
      <x:c r="S124" s="5" t="str">
        <x:v>Not extracted</x:v>
      </x:c>
      <x:c r="T124" s="5" t="str">
        <x:v>Not assigned</x:v>
      </x:c>
      <x:c r="U124" s="8"/>
    </x:row>
    <x:row r="125" ht="40" customHeight="1">
      <x:c r="A125" s="5" t="str">
        <x:v>C0167</x:v>
      </x:c>
      <x:c r="B125" s="5" t="str">
        <x:v>Not extracted</x:v>
      </x:c>
      <x:c r="C125" s="5" t="str">
        <x:v>Not extracted</x:v>
      </x:c>
      <x:c r="D125" s="5" t="str">
        <x:v>Not extracted</x:v>
      </x:c>
      <x:c r="E125" s="5" t="str">
        <x:v>Not extracted</x:v>
      </x:c>
      <x:c r="F125" s="5" t="str">
        <x:v>Not extracted</x:v>
      </x:c>
      <x:c r="G125" s="5" t="str">
        <x:v>Not extracted</x:v>
      </x:c>
      <x:c r="H125" s="5" t="str">
        <x:v>Not extracted</x:v>
      </x:c>
      <x:c r="I125" s="5" t="str">
        <x:v>Not extracted</x:v>
      </x:c>
      <x:c r="J125" s="5" t="str">
        <x:v>Not extracted</x:v>
      </x:c>
      <x:c r="K125" s="5" t="str">
        <x:v>Not extracted</x:v>
      </x:c>
      <x:c r="L125" s="5" t="str">
        <x:v>Not extracted</x:v>
      </x:c>
      <x:c r="M125" s="5" t="str">
        <x:v>Not extracted</x:v>
      </x:c>
      <x:c r="N125" s="5" t="str">
        <x:v>Not extracted</x:v>
      </x:c>
      <x:c r="O125" s="5" t="str">
        <x:v>Not extracted</x:v>
      </x:c>
      <x:c r="P125" s="5" t="str">
        <x:v>Not extracted</x:v>
      </x:c>
      <x:c r="Q125" s="5" t="str">
        <x:v>Not extracted</x:v>
      </x:c>
      <x:c r="R125" s="5" t="str">
        <x:v>Not extracted</x:v>
      </x:c>
      <x:c r="S125" s="5" t="str">
        <x:v>Not extracted</x:v>
      </x:c>
      <x:c r="T125" s="5" t="str">
        <x:v>Not assigned</x:v>
      </x:c>
      <x:c r="U125" s="8"/>
    </x:row>
    <x:row r="126" ht="40" customHeight="1">
      <x:c r="A126" s="5" t="str">
        <x:v>C0168</x:v>
      </x:c>
      <x:c r="B126" s="5" t="str">
        <x:v>Not extracted</x:v>
      </x:c>
      <x:c r="C126" s="5" t="str">
        <x:v>Not extracted</x:v>
      </x:c>
      <x:c r="D126" s="5" t="str">
        <x:v>Not extracted</x:v>
      </x:c>
      <x:c r="E126" s="5" t="str">
        <x:v>Not extracted</x:v>
      </x:c>
      <x:c r="F126" s="5" t="str">
        <x:v>Not extracted</x:v>
      </x:c>
      <x:c r="G126" s="5" t="str">
        <x:v>Not extracted</x:v>
      </x:c>
      <x:c r="H126" s="5" t="str">
        <x:v>Not extracted</x:v>
      </x:c>
      <x:c r="I126" s="5" t="str">
        <x:v>Not extracted</x:v>
      </x:c>
      <x:c r="J126" s="5" t="str">
        <x:v>Not extracted</x:v>
      </x:c>
      <x:c r="K126" s="5" t="str">
        <x:v>Not extracted</x:v>
      </x:c>
      <x:c r="L126" s="5" t="str">
        <x:v>Not extracted</x:v>
      </x:c>
      <x:c r="M126" s="5" t="str">
        <x:v>Not extracted</x:v>
      </x:c>
      <x:c r="N126" s="5" t="str">
        <x:v>Not extracted</x:v>
      </x:c>
      <x:c r="O126" s="5" t="str">
        <x:v>Not extracted</x:v>
      </x:c>
      <x:c r="P126" s="5" t="str">
        <x:v>Not extracted</x:v>
      </x:c>
      <x:c r="Q126" s="5" t="str">
        <x:v>Not extracted</x:v>
      </x:c>
      <x:c r="R126" s="5" t="str">
        <x:v>Not extracted</x:v>
      </x:c>
      <x:c r="S126" s="5" t="str">
        <x:v>Not extracted</x:v>
      </x:c>
      <x:c r="T126" s="5" t="str">
        <x:v>Not assigned</x:v>
      </x:c>
      <x:c r="U126" s="8"/>
    </x:row>
    <x:row r="127" ht="40" customHeight="1">
      <x:c r="A127" s="5" t="str">
        <x:v>C0169</x:v>
      </x:c>
      <x:c r="B127" s="5" t="str">
        <x:v>Not extracted</x:v>
      </x:c>
      <x:c r="C127" s="5" t="str">
        <x:v>Not extracted</x:v>
      </x:c>
      <x:c r="D127" s="5" t="str">
        <x:v>Not extracted</x:v>
      </x:c>
      <x:c r="E127" s="5" t="str">
        <x:v>Not extracted</x:v>
      </x:c>
      <x:c r="F127" s="5" t="str">
        <x:v>Not extracted</x:v>
      </x:c>
      <x:c r="G127" s="5" t="str">
        <x:v>Not extracted</x:v>
      </x:c>
      <x:c r="H127" s="5" t="str">
        <x:v>Not extracted</x:v>
      </x:c>
      <x:c r="I127" s="5" t="str">
        <x:v>Not extracted</x:v>
      </x:c>
      <x:c r="J127" s="5" t="str">
        <x:v>Not extracted</x:v>
      </x:c>
      <x:c r="K127" s="5" t="str">
        <x:v>Not extracted</x:v>
      </x:c>
      <x:c r="L127" s="5" t="str">
        <x:v>Not extracted</x:v>
      </x:c>
      <x:c r="M127" s="5" t="str">
        <x:v>Not extracted</x:v>
      </x:c>
      <x:c r="N127" s="5" t="str">
        <x:v>Not extracted</x:v>
      </x:c>
      <x:c r="O127" s="5" t="str">
        <x:v>Not extracted</x:v>
      </x:c>
      <x:c r="P127" s="5" t="str">
        <x:v>Not extracted</x:v>
      </x:c>
      <x:c r="Q127" s="5" t="str">
        <x:v>Not extracted</x:v>
      </x:c>
      <x:c r="R127" s="5" t="str">
        <x:v>Not extracted</x:v>
      </x:c>
      <x:c r="S127" s="5" t="str">
        <x:v>Not extracted</x:v>
      </x:c>
      <x:c r="T127" s="5" t="str">
        <x:v>Not assigned</x:v>
      </x:c>
      <x:c r="U127" s="8"/>
    </x:row>
    <x:row r="128" ht="40" customHeight="1">
      <x:c r="A128" s="5" t="str">
        <x:v>C0170</x:v>
      </x:c>
      <x:c r="B128" s="5" t="str">
        <x:v>Not extracted</x:v>
      </x:c>
      <x:c r="C128" s="5" t="str">
        <x:v>Not extracted</x:v>
      </x:c>
      <x:c r="D128" s="5" t="str">
        <x:v>Not extracted</x:v>
      </x:c>
      <x:c r="E128" s="5" t="str">
        <x:v>Not extracted</x:v>
      </x:c>
      <x:c r="F128" s="5" t="str">
        <x:v>Not extracted</x:v>
      </x:c>
      <x:c r="G128" s="5" t="str">
        <x:v>Not extracted</x:v>
      </x:c>
      <x:c r="H128" s="5" t="str">
        <x:v>Not extracted</x:v>
      </x:c>
      <x:c r="I128" s="5" t="str">
        <x:v>Not extracted</x:v>
      </x:c>
      <x:c r="J128" s="5" t="str">
        <x:v>Not extracted</x:v>
      </x:c>
      <x:c r="K128" s="5" t="str">
        <x:v>Not extracted</x:v>
      </x:c>
      <x:c r="L128" s="5" t="str">
        <x:v>Not extracted</x:v>
      </x:c>
      <x:c r="M128" s="5" t="str">
        <x:v>Not extracted</x:v>
      </x:c>
      <x:c r="N128" s="5" t="str">
        <x:v>Not extracted</x:v>
      </x:c>
      <x:c r="O128" s="5" t="str">
        <x:v>Not extracted</x:v>
      </x:c>
      <x:c r="P128" s="5" t="str">
        <x:v>Not extracted</x:v>
      </x:c>
      <x:c r="Q128" s="5" t="str">
        <x:v>Not extracted</x:v>
      </x:c>
      <x:c r="R128" s="5" t="str">
        <x:v>Not extracted</x:v>
      </x:c>
      <x:c r="S128" s="5" t="str">
        <x:v>Not extracted</x:v>
      </x:c>
      <x:c r="T128" s="5" t="str">
        <x:v>Not assigned</x:v>
      </x:c>
      <x:c r="U128" s="8"/>
    </x:row>
    <x:row r="129" ht="40" customHeight="1">
      <x:c r="A129" s="5" t="str">
        <x:v>C0171</x:v>
      </x:c>
      <x:c r="B129" s="5" t="str">
        <x:v>Not extracted</x:v>
      </x:c>
      <x:c r="C129" s="5" t="str">
        <x:v>Not extracted</x:v>
      </x:c>
      <x:c r="D129" s="5" t="str">
        <x:v>Not extracted</x:v>
      </x:c>
      <x:c r="E129" s="5" t="str">
        <x:v>Not extracted</x:v>
      </x:c>
      <x:c r="F129" s="5" t="str">
        <x:v>Not extracted</x:v>
      </x:c>
      <x:c r="G129" s="5" t="str">
        <x:v>Not extracted</x:v>
      </x:c>
      <x:c r="H129" s="5" t="str">
        <x:v>Not extracted</x:v>
      </x:c>
      <x:c r="I129" s="5" t="str">
        <x:v>Not extracted</x:v>
      </x:c>
      <x:c r="J129" s="5" t="str">
        <x:v>Not extracted</x:v>
      </x:c>
      <x:c r="K129" s="5" t="str">
        <x:v>Not extracted</x:v>
      </x:c>
      <x:c r="L129" s="5" t="str">
        <x:v>Not extracted</x:v>
      </x:c>
      <x:c r="M129" s="5" t="str">
        <x:v>Not extracted</x:v>
      </x:c>
      <x:c r="N129" s="5" t="str">
        <x:v>Not extracted</x:v>
      </x:c>
      <x:c r="O129" s="5" t="str">
        <x:v>Not extracted</x:v>
      </x:c>
      <x:c r="P129" s="5" t="str">
        <x:v>Not extracted</x:v>
      </x:c>
      <x:c r="Q129" s="5" t="str">
        <x:v>Not extracted</x:v>
      </x:c>
      <x:c r="R129" s="5" t="str">
        <x:v>Not extracted</x:v>
      </x:c>
      <x:c r="S129" s="5" t="str">
        <x:v>Not extracted</x:v>
      </x:c>
      <x:c r="T129" s="5" t="str">
        <x:v>Not assigned</x:v>
      </x:c>
      <x:c r="U129" s="8"/>
    </x:row>
    <x:row r="130" ht="40" customHeight="1">
      <x:c r="A130" s="5" t="str">
        <x:v>C0172</x:v>
      </x:c>
      <x:c r="B130" s="5" t="str">
        <x:v>Not extracted</x:v>
      </x:c>
      <x:c r="C130" s="5" t="str">
        <x:v>Not extracted</x:v>
      </x:c>
      <x:c r="D130" s="5" t="str">
        <x:v>Not extracted</x:v>
      </x:c>
      <x:c r="E130" s="5" t="str">
        <x:v>Not extracted</x:v>
      </x:c>
      <x:c r="F130" s="5" t="str">
        <x:v>Not extracted</x:v>
      </x:c>
      <x:c r="G130" s="5" t="str">
        <x:v>Not extracted</x:v>
      </x:c>
      <x:c r="H130" s="5" t="str">
        <x:v>Not extracted</x:v>
      </x:c>
      <x:c r="I130" s="5" t="str">
        <x:v>Not extracted</x:v>
      </x:c>
      <x:c r="J130" s="5" t="str">
        <x:v>Not extracted</x:v>
      </x:c>
      <x:c r="K130" s="5" t="str">
        <x:v>Not extracted</x:v>
      </x:c>
      <x:c r="L130" s="5" t="str">
        <x:v>Not extracted</x:v>
      </x:c>
      <x:c r="M130" s="5" t="str">
        <x:v>Not extracted</x:v>
      </x:c>
      <x:c r="N130" s="5" t="str">
        <x:v>Not extracted</x:v>
      </x:c>
      <x:c r="O130" s="5" t="str">
        <x:v>Not extracted</x:v>
      </x:c>
      <x:c r="P130" s="5" t="str">
        <x:v>Not extracted</x:v>
      </x:c>
      <x:c r="Q130" s="5" t="str">
        <x:v>Not extracted</x:v>
      </x:c>
      <x:c r="R130" s="5" t="str">
        <x:v>Not extracted</x:v>
      </x:c>
      <x:c r="S130" s="5" t="str">
        <x:v>Not extracted</x:v>
      </x:c>
      <x:c r="T130" s="5" t="str">
        <x:v>Not assigned</x:v>
      </x:c>
      <x:c r="U130" s="8"/>
    </x:row>
    <x:row r="131" ht="40" customHeight="1">
      <x:c r="A131" s="5" t="str">
        <x:v>C0173</x:v>
      </x:c>
      <x:c r="B131" s="5" t="str">
        <x:v>Not extracted</x:v>
      </x:c>
      <x:c r="C131" s="5" t="str">
        <x:v>Not extracted</x:v>
      </x:c>
      <x:c r="D131" s="5" t="str">
        <x:v>Not extracted</x:v>
      </x:c>
      <x:c r="E131" s="5" t="str">
        <x:v>Not extracted</x:v>
      </x:c>
      <x:c r="F131" s="5" t="str">
        <x:v>Not extracted</x:v>
      </x:c>
      <x:c r="G131" s="5" t="str">
        <x:v>Not extracted</x:v>
      </x:c>
      <x:c r="H131" s="5" t="str">
        <x:v>Not extracted</x:v>
      </x:c>
      <x:c r="I131" s="5" t="str">
        <x:v>Not extracted</x:v>
      </x:c>
      <x:c r="J131" s="5" t="str">
        <x:v>Not extracted</x:v>
      </x:c>
      <x:c r="K131" s="5" t="str">
        <x:v>Not extracted</x:v>
      </x:c>
      <x:c r="L131" s="5" t="str">
        <x:v>Not extracted</x:v>
      </x:c>
      <x:c r="M131" s="5" t="str">
        <x:v>Not extracted</x:v>
      </x:c>
      <x:c r="N131" s="5" t="str">
        <x:v>Not extracted</x:v>
      </x:c>
      <x:c r="O131" s="5" t="str">
        <x:v>Not extracted</x:v>
      </x:c>
      <x:c r="P131" s="5" t="str">
        <x:v>Not extracted</x:v>
      </x:c>
      <x:c r="Q131" s="5" t="str">
        <x:v>Not extracted</x:v>
      </x:c>
      <x:c r="R131" s="5" t="str">
        <x:v>Not extracted</x:v>
      </x:c>
      <x:c r="S131" s="5" t="str">
        <x:v>Not extracted</x:v>
      </x:c>
      <x:c r="T131" s="5" t="str">
        <x:v>Not assigned</x:v>
      </x:c>
      <x:c r="U131" s="8"/>
    </x:row>
    <x:row r="132" ht="40" customHeight="1">
      <x:c r="A132" s="5" t="str">
        <x:v>C0174</x:v>
      </x:c>
      <x:c r="B132" s="5" t="str">
        <x:v>Not extracted</x:v>
      </x:c>
      <x:c r="C132" s="5" t="str">
        <x:v>Not extracted</x:v>
      </x:c>
      <x:c r="D132" s="5" t="str">
        <x:v>Not extracted</x:v>
      </x:c>
      <x:c r="E132" s="5" t="str">
        <x:v>Not extracted</x:v>
      </x:c>
      <x:c r="F132" s="5" t="str">
        <x:v>Not extracted</x:v>
      </x:c>
      <x:c r="G132" s="5" t="str">
        <x:v>Not extracted</x:v>
      </x:c>
      <x:c r="H132" s="5" t="str">
        <x:v>Not extracted</x:v>
      </x:c>
      <x:c r="I132" s="5" t="str">
        <x:v>Not extracted</x:v>
      </x:c>
      <x:c r="J132" s="5" t="str">
        <x:v>Not extracted</x:v>
      </x:c>
      <x:c r="K132" s="5" t="str">
        <x:v>Not extracted</x:v>
      </x:c>
      <x:c r="L132" s="5" t="str">
        <x:v>Not extracted</x:v>
      </x:c>
      <x:c r="M132" s="5" t="str">
        <x:v>Not extracted</x:v>
      </x:c>
      <x:c r="N132" s="5" t="str">
        <x:v>Not extracted</x:v>
      </x:c>
      <x:c r="O132" s="5" t="str">
        <x:v>Not extracted</x:v>
      </x:c>
      <x:c r="P132" s="5" t="str">
        <x:v>Not extracted</x:v>
      </x:c>
      <x:c r="Q132" s="5" t="str">
        <x:v>Not extracted</x:v>
      </x:c>
      <x:c r="R132" s="5" t="str">
        <x:v>Not extracted</x:v>
      </x:c>
      <x:c r="S132" s="5" t="str">
        <x:v>Not extracted</x:v>
      </x:c>
      <x:c r="T132" s="5" t="str">
        <x:v>Not assigned</x:v>
      </x:c>
      <x:c r="U132" s="8"/>
    </x:row>
    <x:row r="133" ht="40" customHeight="1">
      <x:c r="A133" s="5" t="str">
        <x:v>C0175</x:v>
      </x:c>
      <x:c r="B133" s="5" t="str">
        <x:v>Not extracted</x:v>
      </x:c>
      <x:c r="C133" s="5" t="str">
        <x:v>Not extracted</x:v>
      </x:c>
      <x:c r="D133" s="5" t="str">
        <x:v>Not extracted</x:v>
      </x:c>
      <x:c r="E133" s="5" t="str">
        <x:v>Not extracted</x:v>
      </x:c>
      <x:c r="F133" s="5" t="str">
        <x:v>Not extracted</x:v>
      </x:c>
      <x:c r="G133" s="5" t="str">
        <x:v>Not extracted</x:v>
      </x:c>
      <x:c r="H133" s="5" t="str">
        <x:v>Not extracted</x:v>
      </x:c>
      <x:c r="I133" s="5" t="str">
        <x:v>Not extracted</x:v>
      </x:c>
      <x:c r="J133" s="5" t="str">
        <x:v>Not extracted</x:v>
      </x:c>
      <x:c r="K133" s="5" t="str">
        <x:v>Not extracted</x:v>
      </x:c>
      <x:c r="L133" s="5" t="str">
        <x:v>Not extracted</x:v>
      </x:c>
      <x:c r="M133" s="5" t="str">
        <x:v>Not extracted</x:v>
      </x:c>
      <x:c r="N133" s="5" t="str">
        <x:v>Not extracted</x:v>
      </x:c>
      <x:c r="O133" s="5" t="str">
        <x:v>Not extracted</x:v>
      </x:c>
      <x:c r="P133" s="5" t="str">
        <x:v>Not extracted</x:v>
      </x:c>
      <x:c r="Q133" s="5" t="str">
        <x:v>Not extracted</x:v>
      </x:c>
      <x:c r="R133" s="5" t="str">
        <x:v>Not extracted</x:v>
      </x:c>
      <x:c r="S133" s="5" t="str">
        <x:v>Not extracted</x:v>
      </x:c>
      <x:c r="T133" s="5" t="str">
        <x:v>Not assigned</x:v>
      </x:c>
      <x:c r="U133" s="8"/>
    </x:row>
    <x:row r="134" ht="40" customHeight="1">
      <x:c r="A134" s="5" t="str">
        <x:v>C0176</x:v>
      </x:c>
      <x:c r="B134" s="5" t="str">
        <x:v>Not extracted</x:v>
      </x:c>
      <x:c r="C134" s="5" t="str">
        <x:v>Not extracted</x:v>
      </x:c>
      <x:c r="D134" s="5" t="str">
        <x:v>Not extracted</x:v>
      </x:c>
      <x:c r="E134" s="5" t="str">
        <x:v>Not extracted</x:v>
      </x:c>
      <x:c r="F134" s="5" t="str">
        <x:v>Not extracted</x:v>
      </x:c>
      <x:c r="G134" s="5" t="str">
        <x:v>Not extracted</x:v>
      </x:c>
      <x:c r="H134" s="5" t="str">
        <x:v>Not extracted</x:v>
      </x:c>
      <x:c r="I134" s="5" t="str">
        <x:v>Not extracted</x:v>
      </x:c>
      <x:c r="J134" s="5" t="str">
        <x:v>Not extracted</x:v>
      </x:c>
      <x:c r="K134" s="5" t="str">
        <x:v>Not extracted</x:v>
      </x:c>
      <x:c r="L134" s="5" t="str">
        <x:v>Not extracted</x:v>
      </x:c>
      <x:c r="M134" s="5" t="str">
        <x:v>Not extracted</x:v>
      </x:c>
      <x:c r="N134" s="5" t="str">
        <x:v>Not extracted</x:v>
      </x:c>
      <x:c r="O134" s="5" t="str">
        <x:v>Not extracted</x:v>
      </x:c>
      <x:c r="P134" s="5" t="str">
        <x:v>Not extracted</x:v>
      </x:c>
      <x:c r="Q134" s="5" t="str">
        <x:v>Not extracted</x:v>
      </x:c>
      <x:c r="R134" s="5" t="str">
        <x:v>Not extracted</x:v>
      </x:c>
      <x:c r="S134" s="5" t="str">
        <x:v>Not extracted</x:v>
      </x:c>
      <x:c r="T134" s="5" t="str">
        <x:v>Not assigned</x:v>
      </x:c>
      <x:c r="U134" s="8"/>
    </x:row>
    <x:row r="135" ht="40" customHeight="1">
      <x:c r="A135" s="5" t="str">
        <x:v>C0177</x:v>
      </x:c>
      <x:c r="B135" s="5" t="str">
        <x:v>Not extracted</x:v>
      </x:c>
      <x:c r="C135" s="5" t="str">
        <x:v>Not extracted</x:v>
      </x:c>
      <x:c r="D135" s="5" t="str">
        <x:v>Not extracted</x:v>
      </x:c>
      <x:c r="E135" s="5" t="str">
        <x:v>Not extracted</x:v>
      </x:c>
      <x:c r="F135" s="5" t="str">
        <x:v>Not extracted</x:v>
      </x:c>
      <x:c r="G135" s="5" t="str">
        <x:v>Not extracted</x:v>
      </x:c>
      <x:c r="H135" s="5" t="str">
        <x:v>Not extracted</x:v>
      </x:c>
      <x:c r="I135" s="5" t="str">
        <x:v>Not extracted</x:v>
      </x:c>
      <x:c r="J135" s="5" t="str">
        <x:v>Not extracted</x:v>
      </x:c>
      <x:c r="K135" s="5" t="str">
        <x:v>Not extracted</x:v>
      </x:c>
      <x:c r="L135" s="5" t="str">
        <x:v>Not extracted</x:v>
      </x:c>
      <x:c r="M135" s="5" t="str">
        <x:v>Not extracted</x:v>
      </x:c>
      <x:c r="N135" s="5" t="str">
        <x:v>Not extracted</x:v>
      </x:c>
      <x:c r="O135" s="5" t="str">
        <x:v>Not extracted</x:v>
      </x:c>
      <x:c r="P135" s="5" t="str">
        <x:v>Not extracted</x:v>
      </x:c>
      <x:c r="Q135" s="5" t="str">
        <x:v>Not extracted</x:v>
      </x:c>
      <x:c r="R135" s="5" t="str">
        <x:v>Not extracted</x:v>
      </x:c>
      <x:c r="S135" s="5" t="str">
        <x:v>Not extracted</x:v>
      </x:c>
      <x:c r="T135" s="5" t="str">
        <x:v>Not assigned</x:v>
      </x:c>
      <x:c r="U135" s="8"/>
    </x:row>
    <x:row r="136" ht="40" customHeight="1">
      <x:c r="A136" s="5" t="str">
        <x:v>C0178</x:v>
      </x:c>
      <x:c r="B136" s="5" t="str">
        <x:v>Not extracted</x:v>
      </x:c>
      <x:c r="C136" s="5" t="str">
        <x:v>Not extracted</x:v>
      </x:c>
      <x:c r="D136" s="5" t="str">
        <x:v>Not extracted</x:v>
      </x:c>
      <x:c r="E136" s="5" t="str">
        <x:v>Not extracted</x:v>
      </x:c>
      <x:c r="F136" s="5" t="str">
        <x:v>Not extracted</x:v>
      </x:c>
      <x:c r="G136" s="5" t="str">
        <x:v>Not extracted</x:v>
      </x:c>
      <x:c r="H136" s="5" t="str">
        <x:v>Not extracted</x:v>
      </x:c>
      <x:c r="I136" s="5" t="str">
        <x:v>Not extracted</x:v>
      </x:c>
      <x:c r="J136" s="5" t="str">
        <x:v>Not extracted</x:v>
      </x:c>
      <x:c r="K136" s="5" t="str">
        <x:v>Not extracted</x:v>
      </x:c>
      <x:c r="L136" s="5" t="str">
        <x:v>Not extracted</x:v>
      </x:c>
      <x:c r="M136" s="5" t="str">
        <x:v>Not extracted</x:v>
      </x:c>
      <x:c r="N136" s="5" t="str">
        <x:v>Not extracted</x:v>
      </x:c>
      <x:c r="O136" s="5" t="str">
        <x:v>Not extracted</x:v>
      </x:c>
      <x:c r="P136" s="5" t="str">
        <x:v>Not extracted</x:v>
      </x:c>
      <x:c r="Q136" s="5" t="str">
        <x:v>Not extracted</x:v>
      </x:c>
      <x:c r="R136" s="5" t="str">
        <x:v>Not extracted</x:v>
      </x:c>
      <x:c r="S136" s="5" t="str">
        <x:v>Not extracted</x:v>
      </x:c>
      <x:c r="T136" s="5" t="str">
        <x:v>Not assigned</x:v>
      </x:c>
      <x:c r="U136" s="8"/>
    </x:row>
    <x:row r="137" ht="40" customHeight="1">
      <x:c r="A137" s="5" t="str">
        <x:v>C0179</x:v>
      </x:c>
      <x:c r="B137" s="5" t="str">
        <x:v>Not extracted</x:v>
      </x:c>
      <x:c r="C137" s="5" t="str">
        <x:v>Not extracted</x:v>
      </x:c>
      <x:c r="D137" s="5" t="str">
        <x:v>Not extracted</x:v>
      </x:c>
      <x:c r="E137" s="5" t="str">
        <x:v>Not extracted</x:v>
      </x:c>
      <x:c r="F137" s="5" t="str">
        <x:v>Not extracted</x:v>
      </x:c>
      <x:c r="G137" s="5" t="str">
        <x:v>Not extracted</x:v>
      </x:c>
      <x:c r="H137" s="5" t="str">
        <x:v>Not extracted</x:v>
      </x:c>
      <x:c r="I137" s="5" t="str">
        <x:v>Not extracted</x:v>
      </x:c>
      <x:c r="J137" s="5" t="str">
        <x:v>Not extracted</x:v>
      </x:c>
      <x:c r="K137" s="5" t="str">
        <x:v>Not extracted</x:v>
      </x:c>
      <x:c r="L137" s="5" t="str">
        <x:v>Not extracted</x:v>
      </x:c>
      <x:c r="M137" s="5" t="str">
        <x:v>Not extracted</x:v>
      </x:c>
      <x:c r="N137" s="5" t="str">
        <x:v>Not extracted</x:v>
      </x:c>
      <x:c r="O137" s="5" t="str">
        <x:v>Not extracted</x:v>
      </x:c>
      <x:c r="P137" s="5" t="str">
        <x:v>Not extracted</x:v>
      </x:c>
      <x:c r="Q137" s="5" t="str">
        <x:v>Not extracted</x:v>
      </x:c>
      <x:c r="R137" s="5" t="str">
        <x:v>Not extracted</x:v>
      </x:c>
      <x:c r="S137" s="5" t="str">
        <x:v>Not extracted</x:v>
      </x:c>
      <x:c r="T137" s="5" t="str">
        <x:v>Not assigned</x:v>
      </x:c>
      <x:c r="U137" s="8"/>
    </x:row>
    <x:row r="138" ht="40" customHeight="1">
      <x:c r="A138" s="5" t="str">
        <x:v>C0180</x:v>
      </x:c>
      <x:c r="B138" s="5" t="str">
        <x:v>Not extracted</x:v>
      </x:c>
      <x:c r="C138" s="5" t="str">
        <x:v>Not extracted</x:v>
      </x:c>
      <x:c r="D138" s="5" t="str">
        <x:v>Not extracted</x:v>
      </x:c>
      <x:c r="E138" s="5" t="str">
        <x:v>Not extracted</x:v>
      </x:c>
      <x:c r="F138" s="5" t="str">
        <x:v>Not extracted</x:v>
      </x:c>
      <x:c r="G138" s="5" t="str">
        <x:v>Not extracted</x:v>
      </x:c>
      <x:c r="H138" s="5" t="str">
        <x:v>Not extracted</x:v>
      </x:c>
      <x:c r="I138" s="5" t="str">
        <x:v>Not extracted</x:v>
      </x:c>
      <x:c r="J138" s="5" t="str">
        <x:v>Not extracted</x:v>
      </x:c>
      <x:c r="K138" s="5" t="str">
        <x:v>Not extracted</x:v>
      </x:c>
      <x:c r="L138" s="5" t="str">
        <x:v>Not extracted</x:v>
      </x:c>
      <x:c r="M138" s="5" t="str">
        <x:v>Not extracted</x:v>
      </x:c>
      <x:c r="N138" s="5" t="str">
        <x:v>Not extracted</x:v>
      </x:c>
      <x:c r="O138" s="5" t="str">
        <x:v>Not extracted</x:v>
      </x:c>
      <x:c r="P138" s="5" t="str">
        <x:v>Not extracted</x:v>
      </x:c>
      <x:c r="Q138" s="5" t="str">
        <x:v>Not extracted</x:v>
      </x:c>
      <x:c r="R138" s="5" t="str">
        <x:v>Not extracted</x:v>
      </x:c>
      <x:c r="S138" s="5" t="str">
        <x:v>Not extracted</x:v>
      </x:c>
      <x:c r="T138" s="5" t="str">
        <x:v>Not assigned</x:v>
      </x:c>
      <x:c r="U138" s="8"/>
    </x:row>
    <x:row r="139" ht="40" customHeight="1">
      <x:c r="A139" s="5" t="str">
        <x:v>C0181</x:v>
      </x:c>
      <x:c r="B139" s="5" t="str">
        <x:v>Not extracted</x:v>
      </x:c>
      <x:c r="C139" s="5" t="str">
        <x:v>Not extracted</x:v>
      </x:c>
      <x:c r="D139" s="5" t="str">
        <x:v>Not extracted</x:v>
      </x:c>
      <x:c r="E139" s="5" t="str">
        <x:v>Not extracted</x:v>
      </x:c>
      <x:c r="F139" s="5" t="str">
        <x:v>Not extracted</x:v>
      </x:c>
      <x:c r="G139" s="5" t="str">
        <x:v>Not extracted</x:v>
      </x:c>
      <x:c r="H139" s="5" t="str">
        <x:v>Not extracted</x:v>
      </x:c>
      <x:c r="I139" s="5" t="str">
        <x:v>Not extracted</x:v>
      </x:c>
      <x:c r="J139" s="5" t="str">
        <x:v>Not extracted</x:v>
      </x:c>
      <x:c r="K139" s="5" t="str">
        <x:v>Not extracted</x:v>
      </x:c>
      <x:c r="L139" s="5" t="str">
        <x:v>Not extracted</x:v>
      </x:c>
      <x:c r="M139" s="5" t="str">
        <x:v>Not extracted</x:v>
      </x:c>
      <x:c r="N139" s="5" t="str">
        <x:v>Not extracted</x:v>
      </x:c>
      <x:c r="O139" s="5" t="str">
        <x:v>Not extracted</x:v>
      </x:c>
      <x:c r="P139" s="5" t="str">
        <x:v>Not extracted</x:v>
      </x:c>
      <x:c r="Q139" s="5" t="str">
        <x:v>Not extracted</x:v>
      </x:c>
      <x:c r="R139" s="5" t="str">
        <x:v>Not extracted</x:v>
      </x:c>
      <x:c r="S139" s="5" t="str">
        <x:v>Not extracted</x:v>
      </x:c>
      <x:c r="T139" s="5" t="str">
        <x:v>Not assigned</x:v>
      </x:c>
      <x:c r="U139" s="8"/>
    </x:row>
    <x:row r="140" ht="40" customHeight="1">
      <x:c r="A140" s="5" t="str">
        <x:v>C0182</x:v>
      </x:c>
      <x:c r="B140" s="5" t="str">
        <x:v>Not extracted</x:v>
      </x:c>
      <x:c r="C140" s="5" t="str">
        <x:v>Not extracted</x:v>
      </x:c>
      <x:c r="D140" s="5" t="str">
        <x:v>Not extracted</x:v>
      </x:c>
      <x:c r="E140" s="5" t="str">
        <x:v>Not extracted</x:v>
      </x:c>
      <x:c r="F140" s="5" t="str">
        <x:v>Not extracted</x:v>
      </x:c>
      <x:c r="G140" s="5" t="str">
        <x:v>Not extracted</x:v>
      </x:c>
      <x:c r="H140" s="5" t="str">
        <x:v>Not extracted</x:v>
      </x:c>
      <x:c r="I140" s="5" t="str">
        <x:v>Not extracted</x:v>
      </x:c>
      <x:c r="J140" s="5" t="str">
        <x:v>Not extracted</x:v>
      </x:c>
      <x:c r="K140" s="5" t="str">
        <x:v>Not extracted</x:v>
      </x:c>
      <x:c r="L140" s="5" t="str">
        <x:v>Not extracted</x:v>
      </x:c>
      <x:c r="M140" s="5" t="str">
        <x:v>Not extracted</x:v>
      </x:c>
      <x:c r="N140" s="5" t="str">
        <x:v>Not extracted</x:v>
      </x:c>
      <x:c r="O140" s="5" t="str">
        <x:v>Not extracted</x:v>
      </x:c>
      <x:c r="P140" s="5" t="str">
        <x:v>Not extracted</x:v>
      </x:c>
      <x:c r="Q140" s="5" t="str">
        <x:v>Not extracted</x:v>
      </x:c>
      <x:c r="R140" s="5" t="str">
        <x:v>Not extracted</x:v>
      </x:c>
      <x:c r="S140" s="5" t="str">
        <x:v>Not extracted</x:v>
      </x:c>
      <x:c r="T140" s="5" t="str">
        <x:v>Not assigned</x:v>
      </x:c>
      <x:c r="U140" s="8"/>
    </x:row>
    <x:row r="141" ht="40" customHeight="1">
      <x:c r="A141" s="5" t="str">
        <x:v>C0183</x:v>
      </x:c>
      <x:c r="B141" s="5" t="str">
        <x:v>Not extracted</x:v>
      </x:c>
      <x:c r="C141" s="5" t="str">
        <x:v>Not extracted</x:v>
      </x:c>
      <x:c r="D141" s="5" t="str">
        <x:v>Not extracted</x:v>
      </x:c>
      <x:c r="E141" s="5" t="str">
        <x:v>Not extracted</x:v>
      </x:c>
      <x:c r="F141" s="5" t="str">
        <x:v>Not extracted</x:v>
      </x:c>
      <x:c r="G141" s="5" t="str">
        <x:v>Not extracted</x:v>
      </x:c>
      <x:c r="H141" s="5" t="str">
        <x:v>Not extracted</x:v>
      </x:c>
      <x:c r="I141" s="5" t="str">
        <x:v>Not extracted</x:v>
      </x:c>
      <x:c r="J141" s="5" t="str">
        <x:v>Not extracted</x:v>
      </x:c>
      <x:c r="K141" s="5" t="str">
        <x:v>Not extracted</x:v>
      </x:c>
      <x:c r="L141" s="5" t="str">
        <x:v>Not extracted</x:v>
      </x:c>
      <x:c r="M141" s="5" t="str">
        <x:v>Not extracted</x:v>
      </x:c>
      <x:c r="N141" s="5" t="str">
        <x:v>Not extracted</x:v>
      </x:c>
      <x:c r="O141" s="5" t="str">
        <x:v>Not extracted</x:v>
      </x:c>
      <x:c r="P141" s="5" t="str">
        <x:v>Not extracted</x:v>
      </x:c>
      <x:c r="Q141" s="5" t="str">
        <x:v>Not extracted</x:v>
      </x:c>
      <x:c r="R141" s="5" t="str">
        <x:v>Not extracted</x:v>
      </x:c>
      <x:c r="S141" s="5" t="str">
        <x:v>Not extracted</x:v>
      </x:c>
      <x:c r="T141" s="5" t="str">
        <x:v>Not assigned</x:v>
      </x:c>
      <x:c r="U141" s="8"/>
    </x:row>
    <x:row r="142" ht="40" customHeight="1">
      <x:c r="A142" s="5" t="str">
        <x:v>C0184</x:v>
      </x:c>
      <x:c r="B142" s="5" t="str">
        <x:v>Not extracted</x:v>
      </x:c>
      <x:c r="C142" s="5" t="str">
        <x:v>Not extracted</x:v>
      </x:c>
      <x:c r="D142" s="5" t="str">
        <x:v>Not extracted</x:v>
      </x:c>
      <x:c r="E142" s="5" t="str">
        <x:v>Not extracted</x:v>
      </x:c>
      <x:c r="F142" s="5" t="str">
        <x:v>Not extracted</x:v>
      </x:c>
      <x:c r="G142" s="5" t="str">
        <x:v>Not extracted</x:v>
      </x:c>
      <x:c r="H142" s="5" t="str">
        <x:v>Not extracted</x:v>
      </x:c>
      <x:c r="I142" s="5" t="str">
        <x:v>Not extracted</x:v>
      </x:c>
      <x:c r="J142" s="5" t="str">
        <x:v>Not extracted</x:v>
      </x:c>
      <x:c r="K142" s="5" t="str">
        <x:v>Not extracted</x:v>
      </x:c>
      <x:c r="L142" s="5" t="str">
        <x:v>Not extracted</x:v>
      </x:c>
      <x:c r="M142" s="5" t="str">
        <x:v>Not extracted</x:v>
      </x:c>
      <x:c r="N142" s="5" t="str">
        <x:v>Not extracted</x:v>
      </x:c>
      <x:c r="O142" s="5" t="str">
        <x:v>Not extracted</x:v>
      </x:c>
      <x:c r="P142" s="5" t="str">
        <x:v>Not extracted</x:v>
      </x:c>
      <x:c r="Q142" s="5" t="str">
        <x:v>Not extracted</x:v>
      </x:c>
      <x:c r="R142" s="5" t="str">
        <x:v>Not extracted</x:v>
      </x:c>
      <x:c r="S142" s="5" t="str">
        <x:v>Not extracted</x:v>
      </x:c>
      <x:c r="T142" s="5" t="str">
        <x:v>Not assigned</x:v>
      </x:c>
      <x:c r="U142" s="8"/>
    </x:row>
    <x:row r="143" ht="40" customHeight="1">
      <x:c r="A143" s="5" t="str">
        <x:v>C0185</x:v>
      </x:c>
      <x:c r="B143" s="5" t="str">
        <x:v>Not extracted</x:v>
      </x:c>
      <x:c r="C143" s="5" t="str">
        <x:v>Not extracted</x:v>
      </x:c>
      <x:c r="D143" s="5" t="str">
        <x:v>Not extracted</x:v>
      </x:c>
      <x:c r="E143" s="5" t="str">
        <x:v>Not extracted</x:v>
      </x:c>
      <x:c r="F143" s="5" t="str">
        <x:v>Not extracted</x:v>
      </x:c>
      <x:c r="G143" s="5" t="str">
        <x:v>Not extracted</x:v>
      </x:c>
      <x:c r="H143" s="5" t="str">
        <x:v>Not extracted</x:v>
      </x:c>
      <x:c r="I143" s="5" t="str">
        <x:v>Not extracted</x:v>
      </x:c>
      <x:c r="J143" s="5" t="str">
        <x:v>Not extracted</x:v>
      </x:c>
      <x:c r="K143" s="5" t="str">
        <x:v>Not extracted</x:v>
      </x:c>
      <x:c r="L143" s="5" t="str">
        <x:v>Not extracted</x:v>
      </x:c>
      <x:c r="M143" s="5" t="str">
        <x:v>Not extracted</x:v>
      </x:c>
      <x:c r="N143" s="5" t="str">
        <x:v>Not extracted</x:v>
      </x:c>
      <x:c r="O143" s="5" t="str">
        <x:v>Not extracted</x:v>
      </x:c>
      <x:c r="P143" s="5" t="str">
        <x:v>Not extracted</x:v>
      </x:c>
      <x:c r="Q143" s="5" t="str">
        <x:v>Not extracted</x:v>
      </x:c>
      <x:c r="R143" s="5" t="str">
        <x:v>Not extracted</x:v>
      </x:c>
      <x:c r="S143" s="5" t="str">
        <x:v>Not extracted</x:v>
      </x:c>
      <x:c r="T143" s="5" t="str">
        <x:v>Not assigned</x:v>
      </x:c>
      <x:c r="U143" s="8"/>
    </x:row>
    <x:row r="144" ht="40" customHeight="1">
      <x:c r="A144" s="5" t="str">
        <x:v>C0186</x:v>
      </x:c>
      <x:c r="B144" s="5" t="str">
        <x:v>Not extracted</x:v>
      </x:c>
      <x:c r="C144" s="5" t="str">
        <x:v>Not extracted</x:v>
      </x:c>
      <x:c r="D144" s="5" t="str">
        <x:v>Not extracted</x:v>
      </x:c>
      <x:c r="E144" s="5" t="str">
        <x:v>Not extracted</x:v>
      </x:c>
      <x:c r="F144" s="5" t="str">
        <x:v>Not extracted</x:v>
      </x:c>
      <x:c r="G144" s="5" t="str">
        <x:v>Not extracted</x:v>
      </x:c>
      <x:c r="H144" s="5" t="str">
        <x:v>Not extracted</x:v>
      </x:c>
      <x:c r="I144" s="5" t="str">
        <x:v>Not extracted</x:v>
      </x:c>
      <x:c r="J144" s="5" t="str">
        <x:v>Not extracted</x:v>
      </x:c>
      <x:c r="K144" s="5" t="str">
        <x:v>Not extracted</x:v>
      </x:c>
      <x:c r="L144" s="5" t="str">
        <x:v>Not extracted</x:v>
      </x:c>
      <x:c r="M144" s="5" t="str">
        <x:v>Not extracted</x:v>
      </x:c>
      <x:c r="N144" s="5" t="str">
        <x:v>Not extracted</x:v>
      </x:c>
      <x:c r="O144" s="5" t="str">
        <x:v>Not extracted</x:v>
      </x:c>
      <x:c r="P144" s="5" t="str">
        <x:v>Not extracted</x:v>
      </x:c>
      <x:c r="Q144" s="5" t="str">
        <x:v>Not extracted</x:v>
      </x:c>
      <x:c r="R144" s="5" t="str">
        <x:v>Not extracted</x:v>
      </x:c>
      <x:c r="S144" s="5" t="str">
        <x:v>Not extracted</x:v>
      </x:c>
      <x:c r="T144" s="5" t="str">
        <x:v>Not assigned</x:v>
      </x:c>
      <x:c r="U144" s="8"/>
    </x:row>
    <x:row r="145" ht="40" customHeight="1">
      <x:c r="A145" s="5" t="str">
        <x:v>C0187</x:v>
      </x:c>
      <x:c r="B145" s="5" t="str">
        <x:v>Not extracted</x:v>
      </x:c>
      <x:c r="C145" s="5" t="str">
        <x:v>Not extracted</x:v>
      </x:c>
      <x:c r="D145" s="5" t="str">
        <x:v>Not extracted</x:v>
      </x:c>
      <x:c r="E145" s="5" t="str">
        <x:v>Not extracted</x:v>
      </x:c>
      <x:c r="F145" s="5" t="str">
        <x:v>Not extracted</x:v>
      </x:c>
      <x:c r="G145" s="5" t="str">
        <x:v>Not extracted</x:v>
      </x:c>
      <x:c r="H145" s="5" t="str">
        <x:v>Not extracted</x:v>
      </x:c>
      <x:c r="I145" s="5" t="str">
        <x:v>Not extracted</x:v>
      </x:c>
      <x:c r="J145" s="5" t="str">
        <x:v>Not extracted</x:v>
      </x:c>
      <x:c r="K145" s="5" t="str">
        <x:v>Not extracted</x:v>
      </x:c>
      <x:c r="L145" s="5" t="str">
        <x:v>Not extracted</x:v>
      </x:c>
      <x:c r="M145" s="5" t="str">
        <x:v>Not extracted</x:v>
      </x:c>
      <x:c r="N145" s="5" t="str">
        <x:v>Not extracted</x:v>
      </x:c>
      <x:c r="O145" s="5" t="str">
        <x:v>Not extracted</x:v>
      </x:c>
      <x:c r="P145" s="5" t="str">
        <x:v>Not extracted</x:v>
      </x:c>
      <x:c r="Q145" s="5" t="str">
        <x:v>Not extracted</x:v>
      </x:c>
      <x:c r="R145" s="5" t="str">
        <x:v>Not extracted</x:v>
      </x:c>
      <x:c r="S145" s="5" t="str">
        <x:v>Not extracted</x:v>
      </x:c>
      <x:c r="T145" s="5" t="str">
        <x:v>Not assigned</x:v>
      </x:c>
      <x:c r="U145" s="8"/>
    </x:row>
    <x:row r="146" ht="40" customHeight="1">
      <x:c r="A146" s="5" t="str">
        <x:v>C0190</x:v>
      </x:c>
      <x:c r="B146" s="5" t="str">
        <x:v>Not extracted</x:v>
      </x:c>
      <x:c r="C146" s="5" t="str">
        <x:v>Not extracted</x:v>
      </x:c>
      <x:c r="D146" s="5" t="str">
        <x:v>Not extracted</x:v>
      </x:c>
      <x:c r="E146" s="5" t="str">
        <x:v>Not extracted</x:v>
      </x:c>
      <x:c r="F146" s="5" t="str">
        <x:v>Not extracted</x:v>
      </x:c>
      <x:c r="G146" s="5" t="str">
        <x:v>Not extracted</x:v>
      </x:c>
      <x:c r="H146" s="5" t="str">
        <x:v>Not extracted</x:v>
      </x:c>
      <x:c r="I146" s="5" t="str">
        <x:v>Not extracted</x:v>
      </x:c>
      <x:c r="J146" s="5" t="str">
        <x:v>Not extracted</x:v>
      </x:c>
      <x:c r="K146" s="5" t="str">
        <x:v>Not extracted</x:v>
      </x:c>
      <x:c r="L146" s="5" t="str">
        <x:v>Not extracted</x:v>
      </x:c>
      <x:c r="M146" s="5" t="str">
        <x:v>Not extracted</x:v>
      </x:c>
      <x:c r="N146" s="5" t="str">
        <x:v>Not extracted</x:v>
      </x:c>
      <x:c r="O146" s="5" t="str">
        <x:v>Not extracted</x:v>
      </x:c>
      <x:c r="P146" s="5" t="str">
        <x:v>Not extracted</x:v>
      </x:c>
      <x:c r="Q146" s="5" t="str">
        <x:v>Not extracted</x:v>
      </x:c>
      <x:c r="R146" s="5" t="str">
        <x:v>Not extracted</x:v>
      </x:c>
      <x:c r="S146" s="5" t="str">
        <x:v>Not extracted</x:v>
      </x:c>
      <x:c r="T146" s="5" t="str">
        <x:v>Not assigned</x:v>
      </x:c>
      <x:c r="U146" s="8"/>
    </x:row>
    <x:row r="147" ht="40" customHeight="1">
      <x:c r="A147" s="5" t="str">
        <x:v>C0191</x:v>
      </x:c>
      <x:c r="B147" s="5" t="str">
        <x:v>Not extracted</x:v>
      </x:c>
      <x:c r="C147" s="5" t="str">
        <x:v>Not extracted</x:v>
      </x:c>
      <x:c r="D147" s="5" t="str">
        <x:v>Not extracted</x:v>
      </x:c>
      <x:c r="E147" s="5" t="str">
        <x:v>Not extracted</x:v>
      </x:c>
      <x:c r="F147" s="5" t="str">
        <x:v>Not extracted</x:v>
      </x:c>
      <x:c r="G147" s="5" t="str">
        <x:v>Not extracted</x:v>
      </x:c>
      <x:c r="H147" s="5" t="str">
        <x:v>Not extracted</x:v>
      </x:c>
      <x:c r="I147" s="5" t="str">
        <x:v>Not extracted</x:v>
      </x:c>
      <x:c r="J147" s="5" t="str">
        <x:v>Not extracted</x:v>
      </x:c>
      <x:c r="K147" s="5" t="str">
        <x:v>Not extracted</x:v>
      </x:c>
      <x:c r="L147" s="5" t="str">
        <x:v>Not extracted</x:v>
      </x:c>
      <x:c r="M147" s="5" t="str">
        <x:v>Not extracted</x:v>
      </x:c>
      <x:c r="N147" s="5" t="str">
        <x:v>Not extracted</x:v>
      </x:c>
      <x:c r="O147" s="5" t="str">
        <x:v>Not extracted</x:v>
      </x:c>
      <x:c r="P147" s="5" t="str">
        <x:v>Not extracted</x:v>
      </x:c>
      <x:c r="Q147" s="5" t="str">
        <x:v>Not extracted</x:v>
      </x:c>
      <x:c r="R147" s="5" t="str">
        <x:v>Not extracted</x:v>
      </x:c>
      <x:c r="S147" s="5" t="str">
        <x:v>Not extracted</x:v>
      </x:c>
      <x:c r="T147" s="5" t="str">
        <x:v>Not assigned</x:v>
      </x:c>
      <x:c r="U147" s="8"/>
    </x:row>
    <x:row r="148" ht="40" customHeight="1">
      <x:c r="A148" s="5" t="str">
        <x:v>C0193</x:v>
      </x:c>
      <x:c r="B148" s="5" t="str">
        <x:v>Not extracted</x:v>
      </x:c>
      <x:c r="C148" s="5" t="str">
        <x:v>Not extracted</x:v>
      </x:c>
      <x:c r="D148" s="5" t="str">
        <x:v>Not extracted</x:v>
      </x:c>
      <x:c r="E148" s="5" t="str">
        <x:v>Not extracted</x:v>
      </x:c>
      <x:c r="F148" s="5" t="str">
        <x:v>Not extracted</x:v>
      </x:c>
      <x:c r="G148" s="5" t="str">
        <x:v>Not extracted</x:v>
      </x:c>
      <x:c r="H148" s="5" t="str">
        <x:v>Not extracted</x:v>
      </x:c>
      <x:c r="I148" s="5" t="str">
        <x:v>Not extracted</x:v>
      </x:c>
      <x:c r="J148" s="5" t="str">
        <x:v>Not extracted</x:v>
      </x:c>
      <x:c r="K148" s="5" t="str">
        <x:v>Not extracted</x:v>
      </x:c>
      <x:c r="L148" s="5" t="str">
        <x:v>Not extracted</x:v>
      </x:c>
      <x:c r="M148" s="5" t="str">
        <x:v>Not extracted</x:v>
      </x:c>
      <x:c r="N148" s="5" t="str">
        <x:v>Not extracted</x:v>
      </x:c>
      <x:c r="O148" s="5" t="str">
        <x:v>Not extracted</x:v>
      </x:c>
      <x:c r="P148" s="5" t="str">
        <x:v>Not extracted</x:v>
      </x:c>
      <x:c r="Q148" s="5" t="str">
        <x:v>Not extracted</x:v>
      </x:c>
      <x:c r="R148" s="5" t="str">
        <x:v>Not extracted</x:v>
      </x:c>
      <x:c r="S148" s="5" t="str">
        <x:v>Not extracted</x:v>
      </x:c>
      <x:c r="T148" s="5" t="str">
        <x:v>Not assigned</x:v>
      </x:c>
      <x:c r="U148" s="8"/>
    </x:row>
    <x:row r="149" ht="40" customHeight="1">
      <x:c r="A149" s="5" t="str">
        <x:v>C0194</x:v>
      </x:c>
      <x:c r="B149" s="5" t="str">
        <x:v>Not extracted</x:v>
      </x:c>
      <x:c r="C149" s="5" t="str">
        <x:v>Not extracted</x:v>
      </x:c>
      <x:c r="D149" s="5" t="str">
        <x:v>Not extracted</x:v>
      </x:c>
      <x:c r="E149" s="5" t="str">
        <x:v>Not extracted</x:v>
      </x:c>
      <x:c r="F149" s="5" t="str">
        <x:v>Not extracted</x:v>
      </x:c>
      <x:c r="G149" s="5" t="str">
        <x:v>Not extracted</x:v>
      </x:c>
      <x:c r="H149" s="5" t="str">
        <x:v>Not extracted</x:v>
      </x:c>
      <x:c r="I149" s="5" t="str">
        <x:v>Not extracted</x:v>
      </x:c>
      <x:c r="J149" s="5" t="str">
        <x:v>Not extracted</x:v>
      </x:c>
      <x:c r="K149" s="5" t="str">
        <x:v>Not extracted</x:v>
      </x:c>
      <x:c r="L149" s="5" t="str">
        <x:v>Not extracted</x:v>
      </x:c>
      <x:c r="M149" s="5" t="str">
        <x:v>Not extracted</x:v>
      </x:c>
      <x:c r="N149" s="5" t="str">
        <x:v>Not extracted</x:v>
      </x:c>
      <x:c r="O149" s="5" t="str">
        <x:v>Not extracted</x:v>
      </x:c>
      <x:c r="P149" s="5" t="str">
        <x:v>Not extracted</x:v>
      </x:c>
      <x:c r="Q149" s="5" t="str">
        <x:v>Not extracted</x:v>
      </x:c>
      <x:c r="R149" s="5" t="str">
        <x:v>Not extracted</x:v>
      </x:c>
      <x:c r="S149" s="5" t="str">
        <x:v>Not extracted</x:v>
      </x:c>
      <x:c r="T149" s="5" t="str">
        <x:v>Not assigned</x:v>
      </x:c>
      <x:c r="U149" s="8"/>
    </x:row>
    <x:row r="150" ht="40" customHeight="1">
      <x:c r="A150" s="5" t="str">
        <x:v>C0195</x:v>
      </x:c>
      <x:c r="B150" s="5" t="str">
        <x:v>Not extracted</x:v>
      </x:c>
      <x:c r="C150" s="5" t="str">
        <x:v>Not extracted</x:v>
      </x:c>
      <x:c r="D150" s="5" t="str">
        <x:v>Not extracted</x:v>
      </x:c>
      <x:c r="E150" s="5" t="str">
        <x:v>Not extracted</x:v>
      </x:c>
      <x:c r="F150" s="5" t="str">
        <x:v>Not extracted</x:v>
      </x:c>
      <x:c r="G150" s="5" t="str">
        <x:v>Not extracted</x:v>
      </x:c>
      <x:c r="H150" s="5" t="str">
        <x:v>Not extracted</x:v>
      </x:c>
      <x:c r="I150" s="5" t="str">
        <x:v>Not extracted</x:v>
      </x:c>
      <x:c r="J150" s="5" t="str">
        <x:v>Not extracted</x:v>
      </x:c>
      <x:c r="K150" s="5" t="str">
        <x:v>Not extracted</x:v>
      </x:c>
      <x:c r="L150" s="5" t="str">
        <x:v>Not extracted</x:v>
      </x:c>
      <x:c r="M150" s="5" t="str">
        <x:v>Not extracted</x:v>
      </x:c>
      <x:c r="N150" s="5" t="str">
        <x:v>Not extracted</x:v>
      </x:c>
      <x:c r="O150" s="5" t="str">
        <x:v>Not extracted</x:v>
      </x:c>
      <x:c r="P150" s="5" t="str">
        <x:v>Not extracted</x:v>
      </x:c>
      <x:c r="Q150" s="5" t="str">
        <x:v>Not extracted</x:v>
      </x:c>
      <x:c r="R150" s="5" t="str">
        <x:v>Not extracted</x:v>
      </x:c>
      <x:c r="S150" s="5" t="str">
        <x:v>Not extracted</x:v>
      </x:c>
      <x:c r="T150" s="5" t="str">
        <x:v>Not assigned</x:v>
      </x:c>
      <x:c r="U150" s="8"/>
    </x:row>
    <x:row r="151" ht="40" customHeight="1">
      <x:c r="A151" s="5" t="str">
        <x:v>C0197</x:v>
      </x:c>
      <x:c r="B151" s="5" t="str">
        <x:v>Not extracted</x:v>
      </x:c>
      <x:c r="C151" s="5" t="str">
        <x:v>Not extracted</x:v>
      </x:c>
      <x:c r="D151" s="5" t="str">
        <x:v>Not extracted</x:v>
      </x:c>
      <x:c r="E151" s="5" t="str">
        <x:v>Not extracted</x:v>
      </x:c>
      <x:c r="F151" s="5" t="str">
        <x:v>Not extracted</x:v>
      </x:c>
      <x:c r="G151" s="5" t="str">
        <x:v>Not extracted</x:v>
      </x:c>
      <x:c r="H151" s="5" t="str">
        <x:v>Not extracted</x:v>
      </x:c>
      <x:c r="I151" s="5" t="str">
        <x:v>Not extracted</x:v>
      </x:c>
      <x:c r="J151" s="5" t="str">
        <x:v>Not extracted</x:v>
      </x:c>
      <x:c r="K151" s="5" t="str">
        <x:v>Not extracted</x:v>
      </x:c>
      <x:c r="L151" s="5" t="str">
        <x:v>Not extracted</x:v>
      </x:c>
      <x:c r="M151" s="5" t="str">
        <x:v>Not extracted</x:v>
      </x:c>
      <x:c r="N151" s="5" t="str">
        <x:v>Not extracted</x:v>
      </x:c>
      <x:c r="O151" s="5" t="str">
        <x:v>Not extracted</x:v>
      </x:c>
      <x:c r="P151" s="5" t="str">
        <x:v>Not extracted</x:v>
      </x:c>
      <x:c r="Q151" s="5" t="str">
        <x:v>Not extracted</x:v>
      </x:c>
      <x:c r="R151" s="5" t="str">
        <x:v>Not extracted</x:v>
      </x:c>
      <x:c r="S151" s="5" t="str">
        <x:v>Not extracted</x:v>
      </x:c>
      <x:c r="T151" s="5" t="str">
        <x:v>Not assigned</x:v>
      </x:c>
      <x:c r="U151" s="8"/>
    </x:row>
    <x:row r="152" ht="40" customHeight="1">
      <x:c r="A152" s="5" t="str">
        <x:v>C0200</x:v>
      </x:c>
      <x:c r="B152" s="5" t="str">
        <x:v>Not extracted</x:v>
      </x:c>
      <x:c r="C152" s="5" t="str">
        <x:v>Not extracted</x:v>
      </x:c>
      <x:c r="D152" s="5" t="str">
        <x:v>Not extracted</x:v>
      </x:c>
      <x:c r="E152" s="5" t="str">
        <x:v>Not extracted</x:v>
      </x:c>
      <x:c r="F152" s="5" t="str">
        <x:v>Not extracted</x:v>
      </x:c>
      <x:c r="G152" s="5" t="str">
        <x:v>Not extracted</x:v>
      </x:c>
      <x:c r="H152" s="5" t="str">
        <x:v>Not extracted</x:v>
      </x:c>
      <x:c r="I152" s="5" t="str">
        <x:v>Not extracted</x:v>
      </x:c>
      <x:c r="J152" s="5" t="str">
        <x:v>Not extracted</x:v>
      </x:c>
      <x:c r="K152" s="5" t="str">
        <x:v>Not extracted</x:v>
      </x:c>
      <x:c r="L152" s="5" t="str">
        <x:v>Not extracted</x:v>
      </x:c>
      <x:c r="M152" s="5" t="str">
        <x:v>Not extracted</x:v>
      </x:c>
      <x:c r="N152" s="5" t="str">
        <x:v>Not extracted</x:v>
      </x:c>
      <x:c r="O152" s="5" t="str">
        <x:v>Not extracted</x:v>
      </x:c>
      <x:c r="P152" s="5" t="str">
        <x:v>Not extracted</x:v>
      </x:c>
      <x:c r="Q152" s="5" t="str">
        <x:v>Not extracted</x:v>
      </x:c>
      <x:c r="R152" s="5" t="str">
        <x:v>Not extracted</x:v>
      </x:c>
      <x:c r="S152" s="5" t="str">
        <x:v>Not extracted</x:v>
      </x:c>
      <x:c r="T152" s="5" t="str">
        <x:v>Not assigned</x:v>
      </x:c>
      <x:c r="U152" s="8"/>
    </x:row>
    <x:row r="153" ht="40" customHeight="1">
      <x:c r="A153" s="5" t="str">
        <x:v>C0201</x:v>
      </x:c>
      <x:c r="B153" s="5" t="str">
        <x:v>Not extracted</x:v>
      </x:c>
      <x:c r="C153" s="5" t="str">
        <x:v>Not extracted</x:v>
      </x:c>
      <x:c r="D153" s="5" t="str">
        <x:v>Not extracted</x:v>
      </x:c>
      <x:c r="E153" s="5" t="str">
        <x:v>Not extracted</x:v>
      </x:c>
      <x:c r="F153" s="5" t="str">
        <x:v>Not extracted</x:v>
      </x:c>
      <x:c r="G153" s="5" t="str">
        <x:v>Not extracted</x:v>
      </x:c>
      <x:c r="H153" s="5" t="str">
        <x:v>Not extracted</x:v>
      </x:c>
      <x:c r="I153" s="5" t="str">
        <x:v>Not extracted</x:v>
      </x:c>
      <x:c r="J153" s="5" t="str">
        <x:v>Not extracted</x:v>
      </x:c>
      <x:c r="K153" s="5" t="str">
        <x:v>Not extracted</x:v>
      </x:c>
      <x:c r="L153" s="5" t="str">
        <x:v>Not extracted</x:v>
      </x:c>
      <x:c r="M153" s="5" t="str">
        <x:v>Not extracted</x:v>
      </x:c>
      <x:c r="N153" s="5" t="str">
        <x:v>Not extracted</x:v>
      </x:c>
      <x:c r="O153" s="5" t="str">
        <x:v>Not extracted</x:v>
      </x:c>
      <x:c r="P153" s="5" t="str">
        <x:v>Not extracted</x:v>
      </x:c>
      <x:c r="Q153" s="5" t="str">
        <x:v>Not extracted</x:v>
      </x:c>
      <x:c r="R153" s="5" t="str">
        <x:v>Not extracted</x:v>
      </x:c>
      <x:c r="S153" s="5" t="str">
        <x:v>Not extracted</x:v>
      </x:c>
      <x:c r="T153" s="5" t="str">
        <x:v>Not assigned</x:v>
      </x:c>
      <x:c r="U153" s="8"/>
    </x:row>
    <x:row r="154" ht="40" customHeight="1">
      <x:c r="A154" s="5" t="str">
        <x:v>C0202</x:v>
      </x:c>
      <x:c r="B154" s="5" t="str">
        <x:v>Not extracted</x:v>
      </x:c>
      <x:c r="C154" s="5" t="str">
        <x:v>Not extracted</x:v>
      </x:c>
      <x:c r="D154" s="5" t="str">
        <x:v>Not extracted</x:v>
      </x:c>
      <x:c r="E154" s="5" t="str">
        <x:v>Not extracted</x:v>
      </x:c>
      <x:c r="F154" s="5" t="str">
        <x:v>Not extracted</x:v>
      </x:c>
      <x:c r="G154" s="5" t="str">
        <x:v>Not extracted</x:v>
      </x:c>
      <x:c r="H154" s="5" t="str">
        <x:v>Not extracted</x:v>
      </x:c>
      <x:c r="I154" s="5" t="str">
        <x:v>Not extracted</x:v>
      </x:c>
      <x:c r="J154" s="5" t="str">
        <x:v>Not extracted</x:v>
      </x:c>
      <x:c r="K154" s="5" t="str">
        <x:v>Not extracted</x:v>
      </x:c>
      <x:c r="L154" s="5" t="str">
        <x:v>Not extracted</x:v>
      </x:c>
      <x:c r="M154" s="5" t="str">
        <x:v>Not extracted</x:v>
      </x:c>
      <x:c r="N154" s="5" t="str">
        <x:v>Not extracted</x:v>
      </x:c>
      <x:c r="O154" s="5" t="str">
        <x:v>Not extracted</x:v>
      </x:c>
      <x:c r="P154" s="5" t="str">
        <x:v>Not extracted</x:v>
      </x:c>
      <x:c r="Q154" s="5" t="str">
        <x:v>Not extracted</x:v>
      </x:c>
      <x:c r="R154" s="5" t="str">
        <x:v>Not extracted</x:v>
      </x:c>
      <x:c r="S154" s="5" t="str">
        <x:v>Not extracted</x:v>
      </x:c>
      <x:c r="T154" s="5" t="str">
        <x:v>Not assigned</x:v>
      </x:c>
      <x:c r="U154" s="8"/>
    </x:row>
    <x:row r="155" ht="40" customHeight="1">
      <x:c r="A155" s="5" t="str">
        <x:v>C0203</x:v>
      </x:c>
      <x:c r="B155" s="5" t="str">
        <x:v>Not extracted</x:v>
      </x:c>
      <x:c r="C155" s="5" t="str">
        <x:v>Not extracted</x:v>
      </x:c>
      <x:c r="D155" s="5" t="str">
        <x:v>Not extracted</x:v>
      </x:c>
      <x:c r="E155" s="5" t="str">
        <x:v>Not extracted</x:v>
      </x:c>
      <x:c r="F155" s="5" t="str">
        <x:v>Not extracted</x:v>
      </x:c>
      <x:c r="G155" s="5" t="str">
        <x:v>Not extracted</x:v>
      </x:c>
      <x:c r="H155" s="5" t="str">
        <x:v>Not extracted</x:v>
      </x:c>
      <x:c r="I155" s="5" t="str">
        <x:v>Not extracted</x:v>
      </x:c>
      <x:c r="J155" s="5" t="str">
        <x:v>Not extracted</x:v>
      </x:c>
      <x:c r="K155" s="5" t="str">
        <x:v>Not extracted</x:v>
      </x:c>
      <x:c r="L155" s="5" t="str">
        <x:v>Not extracted</x:v>
      </x:c>
      <x:c r="M155" s="5" t="str">
        <x:v>Not extracted</x:v>
      </x:c>
      <x:c r="N155" s="5" t="str">
        <x:v>Not extracted</x:v>
      </x:c>
      <x:c r="O155" s="5" t="str">
        <x:v>Not extracted</x:v>
      </x:c>
      <x:c r="P155" s="5" t="str">
        <x:v>Not extracted</x:v>
      </x:c>
      <x:c r="Q155" s="5" t="str">
        <x:v>Not extracted</x:v>
      </x:c>
      <x:c r="R155" s="5" t="str">
        <x:v>Not extracted</x:v>
      </x:c>
      <x:c r="S155" s="5" t="str">
        <x:v>Not extracted</x:v>
      </x:c>
      <x:c r="T155" s="5" t="str">
        <x:v>Not assigned</x:v>
      </x:c>
      <x:c r="U155" s="8"/>
    </x:row>
    <x:row r="156" ht="40" customHeight="1">
      <x:c r="A156" s="5" t="str">
        <x:v>C0205</x:v>
      </x:c>
      <x:c r="B156" s="5" t="str">
        <x:v>Not extracted</x:v>
      </x:c>
      <x:c r="C156" s="5" t="str">
        <x:v>Not extracted</x:v>
      </x:c>
      <x:c r="D156" s="5" t="str">
        <x:v>Not extracted</x:v>
      </x:c>
      <x:c r="E156" s="5" t="str">
        <x:v>Not extracted</x:v>
      </x:c>
      <x:c r="F156" s="5" t="str">
        <x:v>Not extracted</x:v>
      </x:c>
      <x:c r="G156" s="5" t="str">
        <x:v>Not extracted</x:v>
      </x:c>
      <x:c r="H156" s="5" t="str">
        <x:v>Not extracted</x:v>
      </x:c>
      <x:c r="I156" s="5" t="str">
        <x:v>Not extracted</x:v>
      </x:c>
      <x:c r="J156" s="5" t="str">
        <x:v>Not extracted</x:v>
      </x:c>
      <x:c r="K156" s="5" t="str">
        <x:v>Not extracted</x:v>
      </x:c>
      <x:c r="L156" s="5" t="str">
        <x:v>Not extracted</x:v>
      </x:c>
      <x:c r="M156" s="5" t="str">
        <x:v>Not extracted</x:v>
      </x:c>
      <x:c r="N156" s="5" t="str">
        <x:v>Not extracted</x:v>
      </x:c>
      <x:c r="O156" s="5" t="str">
        <x:v>Not extracted</x:v>
      </x:c>
      <x:c r="P156" s="5" t="str">
        <x:v>Not extracted</x:v>
      </x:c>
      <x:c r="Q156" s="5" t="str">
        <x:v>Not extracted</x:v>
      </x:c>
      <x:c r="R156" s="5" t="str">
        <x:v>Not extracted</x:v>
      </x:c>
      <x:c r="S156" s="5" t="str">
        <x:v>Not extracted</x:v>
      </x:c>
      <x:c r="T156" s="5" t="str">
        <x:v>Not assigned</x:v>
      </x:c>
      <x:c r="U156" s="8"/>
    </x:row>
    <x:row r="157" ht="40" customHeight="1">
      <x:c r="A157" s="5" t="str">
        <x:v>C0206</x:v>
      </x:c>
      <x:c r="B157" s="5" t="str">
        <x:v>Not extracted</x:v>
      </x:c>
      <x:c r="C157" s="5" t="str">
        <x:v>Not extracted</x:v>
      </x:c>
      <x:c r="D157" s="5" t="str">
        <x:v>Not extracted</x:v>
      </x:c>
      <x:c r="E157" s="5" t="str">
        <x:v>Not extracted</x:v>
      </x:c>
      <x:c r="F157" s="5" t="str">
        <x:v>Not extracted</x:v>
      </x:c>
      <x:c r="G157" s="5" t="str">
        <x:v>Not extracted</x:v>
      </x:c>
      <x:c r="H157" s="5" t="str">
        <x:v>Not extracted</x:v>
      </x:c>
      <x:c r="I157" s="5" t="str">
        <x:v>Not extracted</x:v>
      </x:c>
      <x:c r="J157" s="5" t="str">
        <x:v>Not extracted</x:v>
      </x:c>
      <x:c r="K157" s="5" t="str">
        <x:v>Not extracted</x:v>
      </x:c>
      <x:c r="L157" s="5" t="str">
        <x:v>Not extracted</x:v>
      </x:c>
      <x:c r="M157" s="5" t="str">
        <x:v>Not extracted</x:v>
      </x:c>
      <x:c r="N157" s="5" t="str">
        <x:v>Not extracted</x:v>
      </x:c>
      <x:c r="O157" s="5" t="str">
        <x:v>Not extracted</x:v>
      </x:c>
      <x:c r="P157" s="5" t="str">
        <x:v>Not extracted</x:v>
      </x:c>
      <x:c r="Q157" s="5" t="str">
        <x:v>Not extracted</x:v>
      </x:c>
      <x:c r="R157" s="5" t="str">
        <x:v>Not extracted</x:v>
      </x:c>
      <x:c r="S157" s="5" t="str">
        <x:v>Not extracted</x:v>
      </x:c>
      <x:c r="T157" s="5" t="str">
        <x:v>Not assigned</x:v>
      </x:c>
      <x:c r="U157" s="8"/>
    </x:row>
    <x:row r="158" ht="40" customHeight="1">
      <x:c r="A158" s="5" t="str">
        <x:v>C0208</x:v>
      </x:c>
      <x:c r="B158" s="5" t="str">
        <x:v>Not extracted</x:v>
      </x:c>
      <x:c r="C158" s="5" t="str">
        <x:v>Not extracted</x:v>
      </x:c>
      <x:c r="D158" s="5" t="str">
        <x:v>Not extracted</x:v>
      </x:c>
      <x:c r="E158" s="5" t="str">
        <x:v>Not extracted</x:v>
      </x:c>
      <x:c r="F158" s="5" t="str">
        <x:v>Not extracted</x:v>
      </x:c>
      <x:c r="G158" s="5" t="str">
        <x:v>Not extracted</x:v>
      </x:c>
      <x:c r="H158" s="5" t="str">
        <x:v>Not extracted</x:v>
      </x:c>
      <x:c r="I158" s="5" t="str">
        <x:v>Not extracted</x:v>
      </x:c>
      <x:c r="J158" s="5" t="str">
        <x:v>Not extracted</x:v>
      </x:c>
      <x:c r="K158" s="5" t="str">
        <x:v>Not extracted</x:v>
      </x:c>
      <x:c r="L158" s="5" t="str">
        <x:v>Not extracted</x:v>
      </x:c>
      <x:c r="M158" s="5" t="str">
        <x:v>Not extracted</x:v>
      </x:c>
      <x:c r="N158" s="5" t="str">
        <x:v>Not extracted</x:v>
      </x:c>
      <x:c r="O158" s="5" t="str">
        <x:v>Not extracted</x:v>
      </x:c>
      <x:c r="P158" s="5" t="str">
        <x:v>Not extracted</x:v>
      </x:c>
      <x:c r="Q158" s="5" t="str">
        <x:v>Not extracted</x:v>
      </x:c>
      <x:c r="R158" s="5" t="str">
        <x:v>Not extracted</x:v>
      </x:c>
      <x:c r="S158" s="5" t="str">
        <x:v>Not extracted</x:v>
      </x:c>
      <x:c r="T158" s="5" t="str">
        <x:v>Not assigned</x:v>
      </x:c>
      <x:c r="U158" s="8"/>
    </x:row>
    <x:row r="159" ht="40" customHeight="1">
      <x:c r="A159" s="5" t="str">
        <x:v>C0210</x:v>
      </x:c>
      <x:c r="B159" s="5" t="str">
        <x:v>Not extracted</x:v>
      </x:c>
      <x:c r="C159" s="5" t="str">
        <x:v>Not extracted</x:v>
      </x:c>
      <x:c r="D159" s="5" t="str">
        <x:v>Not extracted</x:v>
      </x:c>
      <x:c r="E159" s="5" t="str">
        <x:v>Not extracted</x:v>
      </x:c>
      <x:c r="F159" s="5" t="str">
        <x:v>Not extracted</x:v>
      </x:c>
      <x:c r="G159" s="5" t="str">
        <x:v>Not extracted</x:v>
      </x:c>
      <x:c r="H159" s="5" t="str">
        <x:v>Not extracted</x:v>
      </x:c>
      <x:c r="I159" s="5" t="str">
        <x:v>Not extracted</x:v>
      </x:c>
      <x:c r="J159" s="5" t="str">
        <x:v>Not extracted</x:v>
      </x:c>
      <x:c r="K159" s="5" t="str">
        <x:v>Not extracted</x:v>
      </x:c>
      <x:c r="L159" s="5" t="str">
        <x:v>Not extracted</x:v>
      </x:c>
      <x:c r="M159" s="5" t="str">
        <x:v>Not extracted</x:v>
      </x:c>
      <x:c r="N159" s="5" t="str">
        <x:v>Not extracted</x:v>
      </x:c>
      <x:c r="O159" s="5" t="str">
        <x:v>Not extracted</x:v>
      </x:c>
      <x:c r="P159" s="5" t="str">
        <x:v>Not extracted</x:v>
      </x:c>
      <x:c r="Q159" s="5" t="str">
        <x:v>Not extracted</x:v>
      </x:c>
      <x:c r="R159" s="5" t="str">
        <x:v>Not extracted</x:v>
      </x:c>
      <x:c r="S159" s="5" t="str">
        <x:v>Not extracted</x:v>
      </x:c>
      <x:c r="T159" s="5" t="str">
        <x:v>Not assigned</x:v>
      </x:c>
      <x:c r="U159" s="8"/>
    </x:row>
    <x:row r="160" ht="40" customHeight="1">
      <x:c r="A160" s="5" t="str">
        <x:v>C0211</x:v>
      </x:c>
      <x:c r="B160" s="5" t="str">
        <x:v>Not extracted</x:v>
      </x:c>
      <x:c r="C160" s="5" t="str">
        <x:v>Not extracted</x:v>
      </x:c>
      <x:c r="D160" s="5" t="str">
        <x:v>Not extracted</x:v>
      </x:c>
      <x:c r="E160" s="5" t="str">
        <x:v>Not extracted</x:v>
      </x:c>
      <x:c r="F160" s="5" t="str">
        <x:v>Not extracted</x:v>
      </x:c>
      <x:c r="G160" s="5" t="str">
        <x:v>Not extracted</x:v>
      </x:c>
      <x:c r="H160" s="5" t="str">
        <x:v>Not extracted</x:v>
      </x:c>
      <x:c r="I160" s="5" t="str">
        <x:v>Not extracted</x:v>
      </x:c>
      <x:c r="J160" s="5" t="str">
        <x:v>Not extracted</x:v>
      </x:c>
      <x:c r="K160" s="5" t="str">
        <x:v>Not extracted</x:v>
      </x:c>
      <x:c r="L160" s="5" t="str">
        <x:v>Not extracted</x:v>
      </x:c>
      <x:c r="M160" s="5" t="str">
        <x:v>Not extracted</x:v>
      </x:c>
      <x:c r="N160" s="5" t="str">
        <x:v>Not extracted</x:v>
      </x:c>
      <x:c r="O160" s="5" t="str">
        <x:v>Not extracted</x:v>
      </x:c>
      <x:c r="P160" s="5" t="str">
        <x:v>Not extracted</x:v>
      </x:c>
      <x:c r="Q160" s="5" t="str">
        <x:v>Not extracted</x:v>
      </x:c>
      <x:c r="R160" s="5" t="str">
        <x:v>Not extracted</x:v>
      </x:c>
      <x:c r="S160" s="5" t="str">
        <x:v>Not extracted</x:v>
      </x:c>
      <x:c r="T160" s="5" t="str">
        <x:v>Not assigned</x:v>
      </x:c>
      <x:c r="U160" s="8"/>
    </x:row>
    <x:row r="161" ht="40" customHeight="1">
      <x:c r="A161" s="5" t="str">
        <x:v>C0213</x:v>
      </x:c>
      <x:c r="B161" s="5" t="str">
        <x:v>Not extracted</x:v>
      </x:c>
      <x:c r="C161" s="5" t="str">
        <x:v>Not extracted</x:v>
      </x:c>
      <x:c r="D161" s="5" t="str">
        <x:v>Not extracted</x:v>
      </x:c>
      <x:c r="E161" s="5" t="str">
        <x:v>Not extracted</x:v>
      </x:c>
      <x:c r="F161" s="5" t="str">
        <x:v>Not extracted</x:v>
      </x:c>
      <x:c r="G161" s="5" t="str">
        <x:v>Not extracted</x:v>
      </x:c>
      <x:c r="H161" s="5" t="str">
        <x:v>Not extracted</x:v>
      </x:c>
      <x:c r="I161" s="5" t="str">
        <x:v>Not extracted</x:v>
      </x:c>
      <x:c r="J161" s="5" t="str">
        <x:v>Not extracted</x:v>
      </x:c>
      <x:c r="K161" s="5" t="str">
        <x:v>Not extracted</x:v>
      </x:c>
      <x:c r="L161" s="5" t="str">
        <x:v>Not extracted</x:v>
      </x:c>
      <x:c r="M161" s="5" t="str">
        <x:v>Not extracted</x:v>
      </x:c>
      <x:c r="N161" s="5" t="str">
        <x:v>Not extracted</x:v>
      </x:c>
      <x:c r="O161" s="5" t="str">
        <x:v>Not extracted</x:v>
      </x:c>
      <x:c r="P161" s="5" t="str">
        <x:v>Not extracted</x:v>
      </x:c>
      <x:c r="Q161" s="5" t="str">
        <x:v>Not extracted</x:v>
      </x:c>
      <x:c r="R161" s="5" t="str">
        <x:v>Not extracted</x:v>
      </x:c>
      <x:c r="S161" s="5" t="str">
        <x:v>Not extracted</x:v>
      </x:c>
      <x:c r="T161" s="5" t="str">
        <x:v>Not assigned</x:v>
      </x:c>
      <x:c r="U161" s="8"/>
    </x:row>
    <x:row r="162" ht="40" customHeight="1">
      <x:c r="A162" s="5" t="str">
        <x:v>C0215</x:v>
      </x:c>
      <x:c r="B162" s="5" t="str">
        <x:v>Not extracted</x:v>
      </x:c>
      <x:c r="C162" s="5" t="str">
        <x:v>Not extracted</x:v>
      </x:c>
      <x:c r="D162" s="5" t="str">
        <x:v>Not extracted</x:v>
      </x:c>
      <x:c r="E162" s="5" t="str">
        <x:v>Not extracted</x:v>
      </x:c>
      <x:c r="F162" s="5" t="str">
        <x:v>Not extracted</x:v>
      </x:c>
      <x:c r="G162" s="5" t="str">
        <x:v>Not extracted</x:v>
      </x:c>
      <x:c r="H162" s="5" t="str">
        <x:v>Not extracted</x:v>
      </x:c>
      <x:c r="I162" s="5" t="str">
        <x:v>Not extracted</x:v>
      </x:c>
      <x:c r="J162" s="5" t="str">
        <x:v>Not extracted</x:v>
      </x:c>
      <x:c r="K162" s="5" t="str">
        <x:v>Not extracted</x:v>
      </x:c>
      <x:c r="L162" s="5" t="str">
        <x:v>Not extracted</x:v>
      </x:c>
      <x:c r="M162" s="5" t="str">
        <x:v>Not extracted</x:v>
      </x:c>
      <x:c r="N162" s="5" t="str">
        <x:v>Not extracted</x:v>
      </x:c>
      <x:c r="O162" s="5" t="str">
        <x:v>Not extracted</x:v>
      </x:c>
      <x:c r="P162" s="5" t="str">
        <x:v>Not extracted</x:v>
      </x:c>
      <x:c r="Q162" s="5" t="str">
        <x:v>Not extracted</x:v>
      </x:c>
      <x:c r="R162" s="5" t="str">
        <x:v>Not extracted</x:v>
      </x:c>
      <x:c r="S162" s="5" t="str">
        <x:v>Not extracted</x:v>
      </x:c>
      <x:c r="T162" s="5" t="str">
        <x:v>Not assigned</x:v>
      </x:c>
      <x:c r="U162" s="8"/>
    </x:row>
    <x:row r="163" ht="40" customHeight="1">
      <x:c r="A163" s="5" t="str">
        <x:v>C0218</x:v>
      </x:c>
      <x:c r="B163" s="5" t="str">
        <x:v>Not extracted</x:v>
      </x:c>
      <x:c r="C163" s="5" t="str">
        <x:v>Not extracted</x:v>
      </x:c>
      <x:c r="D163" s="5" t="str">
        <x:v>Not extracted</x:v>
      </x:c>
      <x:c r="E163" s="5" t="str">
        <x:v>Not extracted</x:v>
      </x:c>
      <x:c r="F163" s="5" t="str">
        <x:v>Not extracted</x:v>
      </x:c>
      <x:c r="G163" s="5" t="str">
        <x:v>Not extracted</x:v>
      </x:c>
      <x:c r="H163" s="5" t="str">
        <x:v>Not extracted</x:v>
      </x:c>
      <x:c r="I163" s="5" t="str">
        <x:v>Not extracted</x:v>
      </x:c>
      <x:c r="J163" s="5" t="str">
        <x:v>Not extracted</x:v>
      </x:c>
      <x:c r="K163" s="5" t="str">
        <x:v>Not extracted</x:v>
      </x:c>
      <x:c r="L163" s="5" t="str">
        <x:v>Not extracted</x:v>
      </x:c>
      <x:c r="M163" s="5" t="str">
        <x:v>Not extracted</x:v>
      </x:c>
      <x:c r="N163" s="5" t="str">
        <x:v>Not extracted</x:v>
      </x:c>
      <x:c r="O163" s="5" t="str">
        <x:v>Not extracted</x:v>
      </x:c>
      <x:c r="P163" s="5" t="str">
        <x:v>Not extracted</x:v>
      </x:c>
      <x:c r="Q163" s="5" t="str">
        <x:v>Not extracted</x:v>
      </x:c>
      <x:c r="R163" s="5" t="str">
        <x:v>Not extracted</x:v>
      </x:c>
      <x:c r="S163" s="5" t="str">
        <x:v>Not extracted</x:v>
      </x:c>
      <x:c r="T163" s="5" t="str">
        <x:v>Not assigned</x:v>
      </x:c>
      <x:c r="U163" s="8"/>
    </x:row>
    <x:row r="164" ht="40" customHeight="1">
      <x:c r="A164" s="5" t="str">
        <x:v>C0220</x:v>
      </x:c>
      <x:c r="B164" s="5" t="str">
        <x:v>Not extracted</x:v>
      </x:c>
      <x:c r="C164" s="5" t="str">
        <x:v>Not extracted</x:v>
      </x:c>
      <x:c r="D164" s="5" t="str">
        <x:v>Not extracted</x:v>
      </x:c>
      <x:c r="E164" s="5" t="str">
        <x:v>Not extracted</x:v>
      </x:c>
      <x:c r="F164" s="5" t="str">
        <x:v>Not extracted</x:v>
      </x:c>
      <x:c r="G164" s="5" t="str">
        <x:v>Not extracted</x:v>
      </x:c>
      <x:c r="H164" s="5" t="str">
        <x:v>Not extracted</x:v>
      </x:c>
      <x:c r="I164" s="5" t="str">
        <x:v>Not extracted</x:v>
      </x:c>
      <x:c r="J164" s="5" t="str">
        <x:v>Not extracted</x:v>
      </x:c>
      <x:c r="K164" s="5" t="str">
        <x:v>Not extracted</x:v>
      </x:c>
      <x:c r="L164" s="5" t="str">
        <x:v>Not extracted</x:v>
      </x:c>
      <x:c r="M164" s="5" t="str">
        <x:v>Not extracted</x:v>
      </x:c>
      <x:c r="N164" s="5" t="str">
        <x:v>Not extracted</x:v>
      </x:c>
      <x:c r="O164" s="5" t="str">
        <x:v>Not extracted</x:v>
      </x:c>
      <x:c r="P164" s="5" t="str">
        <x:v>Not extracted</x:v>
      </x:c>
      <x:c r="Q164" s="5" t="str">
        <x:v>Not extracted</x:v>
      </x:c>
      <x:c r="R164" s="5" t="str">
        <x:v>Not extracted</x:v>
      </x:c>
      <x:c r="S164" s="5" t="str">
        <x:v>Not extracted</x:v>
      </x:c>
      <x:c r="T164" s="5" t="str">
        <x:v>Not assigned</x:v>
      </x:c>
      <x:c r="U164" s="8"/>
    </x:row>
    <x:row r="165" ht="40" customHeight="1">
      <x:c r="A165" s="5" t="str">
        <x:v>C0221</x:v>
      </x:c>
      <x:c r="B165" s="5" t="str">
        <x:v>Not extracted</x:v>
      </x:c>
      <x:c r="C165" s="5" t="str">
        <x:v>Not extracted</x:v>
      </x:c>
      <x:c r="D165" s="5" t="str">
        <x:v>Not extracted</x:v>
      </x:c>
      <x:c r="E165" s="5" t="str">
        <x:v>Not extracted</x:v>
      </x:c>
      <x:c r="F165" s="5" t="str">
        <x:v>Not extracted</x:v>
      </x:c>
      <x:c r="G165" s="5" t="str">
        <x:v>Not extracted</x:v>
      </x:c>
      <x:c r="H165" s="5" t="str">
        <x:v>Not extracted</x:v>
      </x:c>
      <x:c r="I165" s="5" t="str">
        <x:v>Not extracted</x:v>
      </x:c>
      <x:c r="J165" s="5" t="str">
        <x:v>Not extracted</x:v>
      </x:c>
      <x:c r="K165" s="5" t="str">
        <x:v>Not extracted</x:v>
      </x:c>
      <x:c r="L165" s="5" t="str">
        <x:v>Not extracted</x:v>
      </x:c>
      <x:c r="M165" s="5" t="str">
        <x:v>Not extracted</x:v>
      </x:c>
      <x:c r="N165" s="5" t="str">
        <x:v>Not extracted</x:v>
      </x:c>
      <x:c r="O165" s="5" t="str">
        <x:v>Not extracted</x:v>
      </x:c>
      <x:c r="P165" s="5" t="str">
        <x:v>Not extracted</x:v>
      </x:c>
      <x:c r="Q165" s="5" t="str">
        <x:v>Not extracted</x:v>
      </x:c>
      <x:c r="R165" s="5" t="str">
        <x:v>Not extracted</x:v>
      </x:c>
      <x:c r="S165" s="5" t="str">
        <x:v>Not extracted</x:v>
      </x:c>
      <x:c r="T165" s="5" t="str">
        <x:v>Not assigned</x:v>
      </x:c>
      <x:c r="U165" s="8"/>
    </x:row>
    <x:row r="166" ht="40" customHeight="1">
      <x:c r="A166" s="5" t="str">
        <x:v>C0222</x:v>
      </x:c>
      <x:c r="B166" s="5" t="str">
        <x:v>Not extracted</x:v>
      </x:c>
      <x:c r="C166" s="5" t="str">
        <x:v>Not extracted</x:v>
      </x:c>
      <x:c r="D166" s="5" t="str">
        <x:v>Not extracted</x:v>
      </x:c>
      <x:c r="E166" s="5" t="str">
        <x:v>Not extracted</x:v>
      </x:c>
      <x:c r="F166" s="5" t="str">
        <x:v>Not extracted</x:v>
      </x:c>
      <x:c r="G166" s="5" t="str">
        <x:v>Not extracted</x:v>
      </x:c>
      <x:c r="H166" s="5" t="str">
        <x:v>Not extracted</x:v>
      </x:c>
      <x:c r="I166" s="5" t="str">
        <x:v>Not extracted</x:v>
      </x:c>
      <x:c r="J166" s="5" t="str">
        <x:v>Not extracted</x:v>
      </x:c>
      <x:c r="K166" s="5" t="str">
        <x:v>Not extracted</x:v>
      </x:c>
      <x:c r="L166" s="5" t="str">
        <x:v>Not extracted</x:v>
      </x:c>
      <x:c r="M166" s="5" t="str">
        <x:v>Not extracted</x:v>
      </x:c>
      <x:c r="N166" s="5" t="str">
        <x:v>Not extracted</x:v>
      </x:c>
      <x:c r="O166" s="5" t="str">
        <x:v>Not extracted</x:v>
      </x:c>
      <x:c r="P166" s="5" t="str">
        <x:v>Not extracted</x:v>
      </x:c>
      <x:c r="Q166" s="5" t="str">
        <x:v>Not extracted</x:v>
      </x:c>
      <x:c r="R166" s="5" t="str">
        <x:v>Not extracted</x:v>
      </x:c>
      <x:c r="S166" s="5" t="str">
        <x:v>Not extracted</x:v>
      </x:c>
      <x:c r="T166" s="5" t="str">
        <x:v>Not assigned</x:v>
      </x:c>
      <x:c r="U166" s="8"/>
    </x:row>
    <x:row r="167" ht="40" customHeight="1">
      <x:c r="A167" s="5" t="str">
        <x:v>C0223</x:v>
      </x:c>
      <x:c r="B167" s="5" t="str">
        <x:v>Not extracted</x:v>
      </x:c>
      <x:c r="C167" s="5" t="str">
        <x:v>Not extracted</x:v>
      </x:c>
      <x:c r="D167" s="5" t="str">
        <x:v>Not extracted</x:v>
      </x:c>
      <x:c r="E167" s="5" t="str">
        <x:v>Not extracted</x:v>
      </x:c>
      <x:c r="F167" s="5" t="str">
        <x:v>Not extracted</x:v>
      </x:c>
      <x:c r="G167" s="5" t="str">
        <x:v>Not extracted</x:v>
      </x:c>
      <x:c r="H167" s="5" t="str">
        <x:v>Not extracted</x:v>
      </x:c>
      <x:c r="I167" s="5" t="str">
        <x:v>Not extracted</x:v>
      </x:c>
      <x:c r="J167" s="5" t="str">
        <x:v>Not extracted</x:v>
      </x:c>
      <x:c r="K167" s="5" t="str">
        <x:v>Not extracted</x:v>
      </x:c>
      <x:c r="L167" s="5" t="str">
        <x:v>Not extracted</x:v>
      </x:c>
      <x:c r="M167" s="5" t="str">
        <x:v>Not extracted</x:v>
      </x:c>
      <x:c r="N167" s="5" t="str">
        <x:v>Not extracted</x:v>
      </x:c>
      <x:c r="O167" s="5" t="str">
        <x:v>Not extracted</x:v>
      </x:c>
      <x:c r="P167" s="5" t="str">
        <x:v>Not extracted</x:v>
      </x:c>
      <x:c r="Q167" s="5" t="str">
        <x:v>Not extracted</x:v>
      </x:c>
      <x:c r="R167" s="5" t="str">
        <x:v>Not extracted</x:v>
      </x:c>
      <x:c r="S167" s="5" t="str">
        <x:v>Not extracted</x:v>
      </x:c>
      <x:c r="T167" s="5" t="str">
        <x:v>Not assigned</x:v>
      </x:c>
      <x:c r="U167" s="8"/>
    </x:row>
    <x:row r="168" ht="40" customHeight="1">
      <x:c r="A168" s="5" t="str">
        <x:v>C0225</x:v>
      </x:c>
      <x:c r="B168" s="5" t="str">
        <x:v>Not extracted</x:v>
      </x:c>
      <x:c r="C168" s="5" t="str">
        <x:v>Not extracted</x:v>
      </x:c>
      <x:c r="D168" s="5" t="str">
        <x:v>Not extracted</x:v>
      </x:c>
      <x:c r="E168" s="5" t="str">
        <x:v>Not extracted</x:v>
      </x:c>
      <x:c r="F168" s="5" t="str">
        <x:v>Not extracted</x:v>
      </x:c>
      <x:c r="G168" s="5" t="str">
        <x:v>Not extracted</x:v>
      </x:c>
      <x:c r="H168" s="5" t="str">
        <x:v>Not extracted</x:v>
      </x:c>
      <x:c r="I168" s="5" t="str">
        <x:v>Not extracted</x:v>
      </x:c>
      <x:c r="J168" s="5" t="str">
        <x:v>Not extracted</x:v>
      </x:c>
      <x:c r="K168" s="5" t="str">
        <x:v>Not extracted</x:v>
      </x:c>
      <x:c r="L168" s="5" t="str">
        <x:v>Not extracted</x:v>
      </x:c>
      <x:c r="M168" s="5" t="str">
        <x:v>Not extracted</x:v>
      </x:c>
      <x:c r="N168" s="5" t="str">
        <x:v>Not extracted</x:v>
      </x:c>
      <x:c r="O168" s="5" t="str">
        <x:v>Not extracted</x:v>
      </x:c>
      <x:c r="P168" s="5" t="str">
        <x:v>Not extracted</x:v>
      </x:c>
      <x:c r="Q168" s="5" t="str">
        <x:v>Not extracted</x:v>
      </x:c>
      <x:c r="R168" s="5" t="str">
        <x:v>Not extracted</x:v>
      </x:c>
      <x:c r="S168" s="5" t="str">
        <x:v>Not extracted</x:v>
      </x:c>
      <x:c r="T168" s="5" t="str">
        <x:v>Not assigned</x:v>
      </x:c>
      <x:c r="U168" s="8"/>
    </x:row>
    <x:row r="169" ht="40" customHeight="1">
      <x:c r="A169" s="5" t="str">
        <x:v>C0226</x:v>
      </x:c>
      <x:c r="B169" s="5" t="str">
        <x:v>Not extracted</x:v>
      </x:c>
      <x:c r="C169" s="5" t="str">
        <x:v>Not extracted</x:v>
      </x:c>
      <x:c r="D169" s="5" t="str">
        <x:v>Not extracted</x:v>
      </x:c>
      <x:c r="E169" s="5" t="str">
        <x:v>Not extracted</x:v>
      </x:c>
      <x:c r="F169" s="5" t="str">
        <x:v>Not extracted</x:v>
      </x:c>
      <x:c r="G169" s="5" t="str">
        <x:v>Not extracted</x:v>
      </x:c>
      <x:c r="H169" s="5" t="str">
        <x:v>Not extracted</x:v>
      </x:c>
      <x:c r="I169" s="5" t="str">
        <x:v>Not extracted</x:v>
      </x:c>
      <x:c r="J169" s="5" t="str">
        <x:v>Not extracted</x:v>
      </x:c>
      <x:c r="K169" s="5" t="str">
        <x:v>Not extracted</x:v>
      </x:c>
      <x:c r="L169" s="5" t="str">
        <x:v>Not extracted</x:v>
      </x:c>
      <x:c r="M169" s="5" t="str">
        <x:v>Not extracted</x:v>
      </x:c>
      <x:c r="N169" s="5" t="str">
        <x:v>Not extracted</x:v>
      </x:c>
      <x:c r="O169" s="5" t="str">
        <x:v>Not extracted</x:v>
      </x:c>
      <x:c r="P169" s="5" t="str">
        <x:v>Not extracted</x:v>
      </x:c>
      <x:c r="Q169" s="5" t="str">
        <x:v>Not extracted</x:v>
      </x:c>
      <x:c r="R169" s="5" t="str">
        <x:v>Not extracted</x:v>
      </x:c>
      <x:c r="S169" s="5" t="str">
        <x:v>Not extracted</x:v>
      </x:c>
      <x:c r="T169" s="5" t="str">
        <x:v>Not assigned</x:v>
      </x:c>
      <x:c r="U169" s="8"/>
    </x:row>
    <x:row r="170" ht="40" customHeight="1">
      <x:c r="A170" s="5" t="str">
        <x:v>C0227</x:v>
      </x:c>
      <x:c r="B170" s="5" t="str">
        <x:v>Not extracted</x:v>
      </x:c>
      <x:c r="C170" s="5" t="str">
        <x:v>Not extracted</x:v>
      </x:c>
      <x:c r="D170" s="5" t="str">
        <x:v>Not extracted</x:v>
      </x:c>
      <x:c r="E170" s="5" t="str">
        <x:v>Not extracted</x:v>
      </x:c>
      <x:c r="F170" s="5" t="str">
        <x:v>Not extracted</x:v>
      </x:c>
      <x:c r="G170" s="5" t="str">
        <x:v>Not extracted</x:v>
      </x:c>
      <x:c r="H170" s="5" t="str">
        <x:v>Not extracted</x:v>
      </x:c>
      <x:c r="I170" s="5" t="str">
        <x:v>Not extracted</x:v>
      </x:c>
      <x:c r="J170" s="5" t="str">
        <x:v>Not extracted</x:v>
      </x:c>
      <x:c r="K170" s="5" t="str">
        <x:v>Not extracted</x:v>
      </x:c>
      <x:c r="L170" s="5" t="str">
        <x:v>Not extracted</x:v>
      </x:c>
      <x:c r="M170" s="5" t="str">
        <x:v>Not extracted</x:v>
      </x:c>
      <x:c r="N170" s="5" t="str">
        <x:v>Not extracted</x:v>
      </x:c>
      <x:c r="O170" s="5" t="str">
        <x:v>Not extracted</x:v>
      </x:c>
      <x:c r="P170" s="5" t="str">
        <x:v>Not extracted</x:v>
      </x:c>
      <x:c r="Q170" s="5" t="str">
        <x:v>Not extracted</x:v>
      </x:c>
      <x:c r="R170" s="5" t="str">
        <x:v>Not extracted</x:v>
      </x:c>
      <x:c r="S170" s="5" t="str">
        <x:v>Not extracted</x:v>
      </x:c>
      <x:c r="T170" s="5" t="str">
        <x:v>Not assigned</x:v>
      </x:c>
      <x:c r="U170" s="8"/>
    </x:row>
    <x:row r="171" ht="40" customHeight="1">
      <x:c r="A171" s="5" t="str">
        <x:v>C0228</x:v>
      </x:c>
      <x:c r="B171" s="5" t="str">
        <x:v>Not extracted</x:v>
      </x:c>
      <x:c r="C171" s="5" t="str">
        <x:v>Not extracted</x:v>
      </x:c>
      <x:c r="D171" s="5" t="str">
        <x:v>Not extracted</x:v>
      </x:c>
      <x:c r="E171" s="5" t="str">
        <x:v>Not extracted</x:v>
      </x:c>
      <x:c r="F171" s="5" t="str">
        <x:v>Not extracted</x:v>
      </x:c>
      <x:c r="G171" s="5" t="str">
        <x:v>Not extracted</x:v>
      </x:c>
      <x:c r="H171" s="5" t="str">
        <x:v>Not extracted</x:v>
      </x:c>
      <x:c r="I171" s="5" t="str">
        <x:v>Not extracted</x:v>
      </x:c>
      <x:c r="J171" s="5" t="str">
        <x:v>Not extracted</x:v>
      </x:c>
      <x:c r="K171" s="5" t="str">
        <x:v>Not extracted</x:v>
      </x:c>
      <x:c r="L171" s="5" t="str">
        <x:v>Not extracted</x:v>
      </x:c>
      <x:c r="M171" s="5" t="str">
        <x:v>Not extracted</x:v>
      </x:c>
      <x:c r="N171" s="5" t="str">
        <x:v>Not extracted</x:v>
      </x:c>
      <x:c r="O171" s="5" t="str">
        <x:v>Not extracted</x:v>
      </x:c>
      <x:c r="P171" s="5" t="str">
        <x:v>Not extracted</x:v>
      </x:c>
      <x:c r="Q171" s="5" t="str">
        <x:v>Not extracted</x:v>
      </x:c>
      <x:c r="R171" s="5" t="str">
        <x:v>Not extracted</x:v>
      </x:c>
      <x:c r="S171" s="5" t="str">
        <x:v>Not extracted</x:v>
      </x:c>
      <x:c r="T171" s="5" t="str">
        <x:v>Not assigned</x:v>
      </x:c>
      <x:c r="U171" s="8"/>
    </x:row>
    <x:row r="172" ht="40" customHeight="1">
      <x:c r="A172" s="5" t="str">
        <x:v>C0229</x:v>
      </x:c>
      <x:c r="B172" s="5" t="str">
        <x:v>Not extracted</x:v>
      </x:c>
      <x:c r="C172" s="5" t="str">
        <x:v>Not extracted</x:v>
      </x:c>
      <x:c r="D172" s="5" t="str">
        <x:v>Not extracted</x:v>
      </x:c>
      <x:c r="E172" s="5" t="str">
        <x:v>Not extracted</x:v>
      </x:c>
      <x:c r="F172" s="5" t="str">
        <x:v>Not extracted</x:v>
      </x:c>
      <x:c r="G172" s="5" t="str">
        <x:v>Not extracted</x:v>
      </x:c>
      <x:c r="H172" s="5" t="str">
        <x:v>Not extracted</x:v>
      </x:c>
      <x:c r="I172" s="5" t="str">
        <x:v>Not extracted</x:v>
      </x:c>
      <x:c r="J172" s="5" t="str">
        <x:v>Not extracted</x:v>
      </x:c>
      <x:c r="K172" s="5" t="str">
        <x:v>Not extracted</x:v>
      </x:c>
      <x:c r="L172" s="5" t="str">
        <x:v>Not extracted</x:v>
      </x:c>
      <x:c r="M172" s="5" t="str">
        <x:v>Not extracted</x:v>
      </x:c>
      <x:c r="N172" s="5" t="str">
        <x:v>Not extracted</x:v>
      </x:c>
      <x:c r="O172" s="5" t="str">
        <x:v>Not extracted</x:v>
      </x:c>
      <x:c r="P172" s="5" t="str">
        <x:v>Not extracted</x:v>
      </x:c>
      <x:c r="Q172" s="5" t="str">
        <x:v>Not extracted</x:v>
      </x:c>
      <x:c r="R172" s="5" t="str">
        <x:v>Not extracted</x:v>
      </x:c>
      <x:c r="S172" s="5" t="str">
        <x:v>Not extracted</x:v>
      </x:c>
      <x:c r="T172" s="5" t="str">
        <x:v>Not assigned</x:v>
      </x:c>
      <x:c r="U172" s="8"/>
    </x:row>
    <x:row r="173" ht="40" customHeight="1">
      <x:c r="A173" s="5" t="str">
        <x:v>C0230</x:v>
      </x:c>
      <x:c r="B173" s="5" t="str">
        <x:v>Not extracted</x:v>
      </x:c>
      <x:c r="C173" s="5" t="str">
        <x:v>Not extracted</x:v>
      </x:c>
      <x:c r="D173" s="5" t="str">
        <x:v>Not extracted</x:v>
      </x:c>
      <x:c r="E173" s="5" t="str">
        <x:v>Not extracted</x:v>
      </x:c>
      <x:c r="F173" s="5" t="str">
        <x:v>Not extracted</x:v>
      </x:c>
      <x:c r="G173" s="5" t="str">
        <x:v>Not extracted</x:v>
      </x:c>
      <x:c r="H173" s="5" t="str">
        <x:v>Not extracted</x:v>
      </x:c>
      <x:c r="I173" s="5" t="str">
        <x:v>Not extracted</x:v>
      </x:c>
      <x:c r="J173" s="5" t="str">
        <x:v>Not extracted</x:v>
      </x:c>
      <x:c r="K173" s="5" t="str">
        <x:v>Not extracted</x:v>
      </x:c>
      <x:c r="L173" s="5" t="str">
        <x:v>Not extracted</x:v>
      </x:c>
      <x:c r="M173" s="5" t="str">
        <x:v>Not extracted</x:v>
      </x:c>
      <x:c r="N173" s="5" t="str">
        <x:v>Not extracted</x:v>
      </x:c>
      <x:c r="O173" s="5" t="str">
        <x:v>Not extracted</x:v>
      </x:c>
      <x:c r="P173" s="5" t="str">
        <x:v>Not extracted</x:v>
      </x:c>
      <x:c r="Q173" s="5" t="str">
        <x:v>Not extracted</x:v>
      </x:c>
      <x:c r="R173" s="5" t="str">
        <x:v>Not extracted</x:v>
      </x:c>
      <x:c r="S173" s="5" t="str">
        <x:v>Not extracted</x:v>
      </x:c>
      <x:c r="T173" s="5" t="str">
        <x:v>Not assigned</x:v>
      </x:c>
      <x:c r="U173" s="8"/>
    </x:row>
    <x:row r="174" ht="40" customHeight="1">
      <x:c r="A174" s="5" t="str">
        <x:v>C0231</x:v>
      </x:c>
      <x:c r="B174" s="5" t="str">
        <x:v>Not extracted</x:v>
      </x:c>
      <x:c r="C174" s="5" t="str">
        <x:v>Not extracted</x:v>
      </x:c>
      <x:c r="D174" s="5" t="str">
        <x:v>Not extracted</x:v>
      </x:c>
      <x:c r="E174" s="5" t="str">
        <x:v>Not extracted</x:v>
      </x:c>
      <x:c r="F174" s="5" t="str">
        <x:v>Not extracted</x:v>
      </x:c>
      <x:c r="G174" s="5" t="str">
        <x:v>Not extracted</x:v>
      </x:c>
      <x:c r="H174" s="5" t="str">
        <x:v>Not extracted</x:v>
      </x:c>
      <x:c r="I174" s="5" t="str">
        <x:v>Not extracted</x:v>
      </x:c>
      <x:c r="J174" s="5" t="str">
        <x:v>Not extracted</x:v>
      </x:c>
      <x:c r="K174" s="5" t="str">
        <x:v>Not extracted</x:v>
      </x:c>
      <x:c r="L174" s="5" t="str">
        <x:v>Not extracted</x:v>
      </x:c>
      <x:c r="M174" s="5" t="str">
        <x:v>Not extracted</x:v>
      </x:c>
      <x:c r="N174" s="5" t="str">
        <x:v>Not extracted</x:v>
      </x:c>
      <x:c r="O174" s="5" t="str">
        <x:v>Not extracted</x:v>
      </x:c>
      <x:c r="P174" s="5" t="str">
        <x:v>Not extracted</x:v>
      </x:c>
      <x:c r="Q174" s="5" t="str">
        <x:v>Not extracted</x:v>
      </x:c>
      <x:c r="R174" s="5" t="str">
        <x:v>Not extracted</x:v>
      </x:c>
      <x:c r="S174" s="5" t="str">
        <x:v>Not extracted</x:v>
      </x:c>
      <x:c r="T174" s="5" t="str">
        <x:v>Not assigned</x:v>
      </x:c>
      <x:c r="U174" s="8"/>
    </x:row>
    <x:row r="175" ht="40" customHeight="1">
      <x:c r="A175" s="5" t="str">
        <x:v>C0232</x:v>
      </x:c>
      <x:c r="B175" s="5" t="str">
        <x:v>Not extracted</x:v>
      </x:c>
      <x:c r="C175" s="5" t="str">
        <x:v>Not extracted</x:v>
      </x:c>
      <x:c r="D175" s="5" t="str">
        <x:v>Not extracted</x:v>
      </x:c>
      <x:c r="E175" s="5" t="str">
        <x:v>Not extracted</x:v>
      </x:c>
      <x:c r="F175" s="5" t="str">
        <x:v>Not extracted</x:v>
      </x:c>
      <x:c r="G175" s="5" t="str">
        <x:v>Not extracted</x:v>
      </x:c>
      <x:c r="H175" s="5" t="str">
        <x:v>Not extracted</x:v>
      </x:c>
      <x:c r="I175" s="5" t="str">
        <x:v>Not extracted</x:v>
      </x:c>
      <x:c r="J175" s="5" t="str">
        <x:v>Not extracted</x:v>
      </x:c>
      <x:c r="K175" s="5" t="str">
        <x:v>Not extracted</x:v>
      </x:c>
      <x:c r="L175" s="5" t="str">
        <x:v>Not extracted</x:v>
      </x:c>
      <x:c r="M175" s="5" t="str">
        <x:v>Not extracted</x:v>
      </x:c>
      <x:c r="N175" s="5" t="str">
        <x:v>Not extracted</x:v>
      </x:c>
      <x:c r="O175" s="5" t="str">
        <x:v>Not extracted</x:v>
      </x:c>
      <x:c r="P175" s="5" t="str">
        <x:v>Not extracted</x:v>
      </x:c>
      <x:c r="Q175" s="5" t="str">
        <x:v>Not extracted</x:v>
      </x:c>
      <x:c r="R175" s="5" t="str">
        <x:v>Not extracted</x:v>
      </x:c>
      <x:c r="S175" s="5" t="str">
        <x:v>Not extracted</x:v>
      </x:c>
      <x:c r="T175" s="5" t="str">
        <x:v>Not assigned</x:v>
      </x:c>
      <x:c r="U175" s="8"/>
    </x:row>
    <x:row r="176" ht="40" customHeight="1">
      <x:c r="A176" s="5" t="str">
        <x:v>C0233</x:v>
      </x:c>
      <x:c r="B176" s="5" t="str">
        <x:v>Not extracted</x:v>
      </x:c>
      <x:c r="C176" s="5" t="str">
        <x:v>Not extracted</x:v>
      </x:c>
      <x:c r="D176" s="5" t="str">
        <x:v>Not extracted</x:v>
      </x:c>
      <x:c r="E176" s="5" t="str">
        <x:v>Not extracted</x:v>
      </x:c>
      <x:c r="F176" s="5" t="str">
        <x:v>Not extracted</x:v>
      </x:c>
      <x:c r="G176" s="5" t="str">
        <x:v>Not extracted</x:v>
      </x:c>
      <x:c r="H176" s="5" t="str">
        <x:v>Not extracted</x:v>
      </x:c>
      <x:c r="I176" s="5" t="str">
        <x:v>Not extracted</x:v>
      </x:c>
      <x:c r="J176" s="5" t="str">
        <x:v>Not extracted</x:v>
      </x:c>
      <x:c r="K176" s="5" t="str">
        <x:v>Not extracted</x:v>
      </x:c>
      <x:c r="L176" s="5" t="str">
        <x:v>Not extracted</x:v>
      </x:c>
      <x:c r="M176" s="5" t="str">
        <x:v>Not extracted</x:v>
      </x:c>
      <x:c r="N176" s="5" t="str">
        <x:v>Not extracted</x:v>
      </x:c>
      <x:c r="O176" s="5" t="str">
        <x:v>Not extracted</x:v>
      </x:c>
      <x:c r="P176" s="5" t="str">
        <x:v>Not extracted</x:v>
      </x:c>
      <x:c r="Q176" s="5" t="str">
        <x:v>Not extracted</x:v>
      </x:c>
      <x:c r="R176" s="5" t="str">
        <x:v>Not extracted</x:v>
      </x:c>
      <x:c r="S176" s="5" t="str">
        <x:v>Not extracted</x:v>
      </x:c>
      <x:c r="T176" s="5" t="str">
        <x:v>Not assigned</x:v>
      </x:c>
      <x:c r="U176" s="8"/>
    </x:row>
    <x:row r="177" ht="40" customHeight="1">
      <x:c r="A177" s="5" t="str">
        <x:v>C0234</x:v>
      </x:c>
      <x:c r="B177" s="5" t="str">
        <x:v>Not extracted</x:v>
      </x:c>
      <x:c r="C177" s="5" t="str">
        <x:v>Not extracted</x:v>
      </x:c>
      <x:c r="D177" s="5" t="str">
        <x:v>Not extracted</x:v>
      </x:c>
      <x:c r="E177" s="5" t="str">
        <x:v>Not extracted</x:v>
      </x:c>
      <x:c r="F177" s="5" t="str">
        <x:v>Not extracted</x:v>
      </x:c>
      <x:c r="G177" s="5" t="str">
        <x:v>Not extracted</x:v>
      </x:c>
      <x:c r="H177" s="5" t="str">
        <x:v>Not extracted</x:v>
      </x:c>
      <x:c r="I177" s="5" t="str">
        <x:v>Not extracted</x:v>
      </x:c>
      <x:c r="J177" s="5" t="str">
        <x:v>Not extracted</x:v>
      </x:c>
      <x:c r="K177" s="5" t="str">
        <x:v>Not extracted</x:v>
      </x:c>
      <x:c r="L177" s="5" t="str">
        <x:v>Not extracted</x:v>
      </x:c>
      <x:c r="M177" s="5" t="str">
        <x:v>Not extracted</x:v>
      </x:c>
      <x:c r="N177" s="5" t="str">
        <x:v>Not extracted</x:v>
      </x:c>
      <x:c r="O177" s="5" t="str">
        <x:v>Not extracted</x:v>
      </x:c>
      <x:c r="P177" s="5" t="str">
        <x:v>Not extracted</x:v>
      </x:c>
      <x:c r="Q177" s="5" t="str">
        <x:v>Not extracted</x:v>
      </x:c>
      <x:c r="R177" s="5" t="str">
        <x:v>Not extracted</x:v>
      </x:c>
      <x:c r="S177" s="5" t="str">
        <x:v>Not extracted</x:v>
      </x:c>
      <x:c r="T177" s="5" t="str">
        <x:v>Not assigned</x:v>
      </x:c>
      <x:c r="U177" s="8"/>
    </x:row>
    <x:row r="178" ht="40" customHeight="1">
      <x:c r="A178" s="5" t="str">
        <x:v>C0235</x:v>
      </x:c>
      <x:c r="B178" s="5" t="str">
        <x:v>Not extracted</x:v>
      </x:c>
      <x:c r="C178" s="5" t="str">
        <x:v>Not extracted</x:v>
      </x:c>
      <x:c r="D178" s="5" t="str">
        <x:v>Not extracted</x:v>
      </x:c>
      <x:c r="E178" s="5" t="str">
        <x:v>Not extracted</x:v>
      </x:c>
      <x:c r="F178" s="5" t="str">
        <x:v>Not extracted</x:v>
      </x:c>
      <x:c r="G178" s="5" t="str">
        <x:v>Not extracted</x:v>
      </x:c>
      <x:c r="H178" s="5" t="str">
        <x:v>Not extracted</x:v>
      </x:c>
      <x:c r="I178" s="5" t="str">
        <x:v>Not extracted</x:v>
      </x:c>
      <x:c r="J178" s="5" t="str">
        <x:v>Not extracted</x:v>
      </x:c>
      <x:c r="K178" s="5" t="str">
        <x:v>Not extracted</x:v>
      </x:c>
      <x:c r="L178" s="5" t="str">
        <x:v>Not extracted</x:v>
      </x:c>
      <x:c r="M178" s="5" t="str">
        <x:v>Not extracted</x:v>
      </x:c>
      <x:c r="N178" s="5" t="str">
        <x:v>Not extracted</x:v>
      </x:c>
      <x:c r="O178" s="5" t="str">
        <x:v>Not extracted</x:v>
      </x:c>
      <x:c r="P178" s="5" t="str">
        <x:v>Not extracted</x:v>
      </x:c>
      <x:c r="Q178" s="5" t="str">
        <x:v>Not extracted</x:v>
      </x:c>
      <x:c r="R178" s="5" t="str">
        <x:v>Not extracted</x:v>
      </x:c>
      <x:c r="S178" s="5" t="str">
        <x:v>Not extracted</x:v>
      </x:c>
      <x:c r="T178" s="5" t="str">
        <x:v>Not assigned</x:v>
      </x:c>
      <x:c r="U178" s="8"/>
    </x:row>
    <x:row r="179" ht="40" customHeight="1">
      <x:c r="A179" s="5" t="str">
        <x:v>C0236</x:v>
      </x:c>
      <x:c r="B179" s="5" t="str">
        <x:v>Not extracted</x:v>
      </x:c>
      <x:c r="C179" s="5" t="str">
        <x:v>Not extracted</x:v>
      </x:c>
      <x:c r="D179" s="5" t="str">
        <x:v>Not extracted</x:v>
      </x:c>
      <x:c r="E179" s="5" t="str">
        <x:v>Not extracted</x:v>
      </x:c>
      <x:c r="F179" s="5" t="str">
        <x:v>Not extracted</x:v>
      </x:c>
      <x:c r="G179" s="5" t="str">
        <x:v>Not extracted</x:v>
      </x:c>
      <x:c r="H179" s="5" t="str">
        <x:v>Not extracted</x:v>
      </x:c>
      <x:c r="I179" s="5" t="str">
        <x:v>Not extracted</x:v>
      </x:c>
      <x:c r="J179" s="5" t="str">
        <x:v>Not extracted</x:v>
      </x:c>
      <x:c r="K179" s="5" t="str">
        <x:v>Not extracted</x:v>
      </x:c>
      <x:c r="L179" s="5" t="str">
        <x:v>Not extracted</x:v>
      </x:c>
      <x:c r="M179" s="5" t="str">
        <x:v>Not extracted</x:v>
      </x:c>
      <x:c r="N179" s="5" t="str">
        <x:v>Not extracted</x:v>
      </x:c>
      <x:c r="O179" s="5" t="str">
        <x:v>Not extracted</x:v>
      </x:c>
      <x:c r="P179" s="5" t="str">
        <x:v>Not extracted</x:v>
      </x:c>
      <x:c r="Q179" s="5" t="str">
        <x:v>Not extracted</x:v>
      </x:c>
      <x:c r="R179" s="5" t="str">
        <x:v>Not extracted</x:v>
      </x:c>
      <x:c r="S179" s="5" t="str">
        <x:v>Not extracted</x:v>
      </x:c>
      <x:c r="T179" s="5" t="str">
        <x:v>Not assigned</x:v>
      </x:c>
      <x:c r="U179" s="8"/>
    </x:row>
    <x:row r="180" ht="40" customHeight="1">
      <x:c r="A180" s="5" t="str">
        <x:v>C0237</x:v>
      </x:c>
      <x:c r="B180" s="5" t="str">
        <x:v>Not extracted</x:v>
      </x:c>
      <x:c r="C180" s="5" t="str">
        <x:v>Not extracted</x:v>
      </x:c>
      <x:c r="D180" s="5" t="str">
        <x:v>Not extracted</x:v>
      </x:c>
      <x:c r="E180" s="5" t="str">
        <x:v>Not extracted</x:v>
      </x:c>
      <x:c r="F180" s="5" t="str">
        <x:v>Not extracted</x:v>
      </x:c>
      <x:c r="G180" s="5" t="str">
        <x:v>Not extracted</x:v>
      </x:c>
      <x:c r="H180" s="5" t="str">
        <x:v>Not extracted</x:v>
      </x:c>
      <x:c r="I180" s="5" t="str">
        <x:v>Not extracted</x:v>
      </x:c>
      <x:c r="J180" s="5" t="str">
        <x:v>Not extracted</x:v>
      </x:c>
      <x:c r="K180" s="5" t="str">
        <x:v>Not extracted</x:v>
      </x:c>
      <x:c r="L180" s="5" t="str">
        <x:v>Not extracted</x:v>
      </x:c>
      <x:c r="M180" s="5" t="str">
        <x:v>Not extracted</x:v>
      </x:c>
      <x:c r="N180" s="5" t="str">
        <x:v>Not extracted</x:v>
      </x:c>
      <x:c r="O180" s="5" t="str">
        <x:v>Not extracted</x:v>
      </x:c>
      <x:c r="P180" s="5" t="str">
        <x:v>Not extracted</x:v>
      </x:c>
      <x:c r="Q180" s="5" t="str">
        <x:v>Not extracted</x:v>
      </x:c>
      <x:c r="R180" s="5" t="str">
        <x:v>Not extracted</x:v>
      </x:c>
      <x:c r="S180" s="5" t="str">
        <x:v>Not extracted</x:v>
      </x:c>
      <x:c r="T180" s="5" t="str">
        <x:v>Not assigned</x:v>
      </x:c>
      <x:c r="U180" s="8"/>
    </x:row>
    <x:row r="181" ht="40" customHeight="1">
      <x:c r="A181" s="5" t="str">
        <x:v>C0238</x:v>
      </x:c>
      <x:c r="B181" s="5" t="str">
        <x:v>Not extracted</x:v>
      </x:c>
      <x:c r="C181" s="5" t="str">
        <x:v>Not extracted</x:v>
      </x:c>
      <x:c r="D181" s="5" t="str">
        <x:v>Not extracted</x:v>
      </x:c>
      <x:c r="E181" s="5" t="str">
        <x:v>Not extracted</x:v>
      </x:c>
      <x:c r="F181" s="5" t="str">
        <x:v>Not extracted</x:v>
      </x:c>
      <x:c r="G181" s="5" t="str">
        <x:v>Not extracted</x:v>
      </x:c>
      <x:c r="H181" s="5" t="str">
        <x:v>Not extracted</x:v>
      </x:c>
      <x:c r="I181" s="5" t="str">
        <x:v>Not extracted</x:v>
      </x:c>
      <x:c r="J181" s="5" t="str">
        <x:v>Not extracted</x:v>
      </x:c>
      <x:c r="K181" s="5" t="str">
        <x:v>Not extracted</x:v>
      </x:c>
      <x:c r="L181" s="5" t="str">
        <x:v>Not extracted</x:v>
      </x:c>
      <x:c r="M181" s="5" t="str">
        <x:v>Not extracted</x:v>
      </x:c>
      <x:c r="N181" s="5" t="str">
        <x:v>Not extracted</x:v>
      </x:c>
      <x:c r="O181" s="5" t="str">
        <x:v>Not extracted</x:v>
      </x:c>
      <x:c r="P181" s="5" t="str">
        <x:v>Not extracted</x:v>
      </x:c>
      <x:c r="Q181" s="5" t="str">
        <x:v>Not extracted</x:v>
      </x:c>
      <x:c r="R181" s="5" t="str">
        <x:v>Not extracted</x:v>
      </x:c>
      <x:c r="S181" s="5" t="str">
        <x:v>Not extracted</x:v>
      </x:c>
      <x:c r="T181" s="5" t="str">
        <x:v>Not assigned</x:v>
      </x:c>
      <x:c r="U181" s="8"/>
    </x:row>
    <x:row r="182" ht="40" customHeight="1">
      <x:c r="A182" s="5" t="str">
        <x:v>C0240</x:v>
      </x:c>
      <x:c r="B182" s="5" t="str">
        <x:v>Not extracted</x:v>
      </x:c>
      <x:c r="C182" s="5" t="str">
        <x:v>Not extracted</x:v>
      </x:c>
      <x:c r="D182" s="5" t="str">
        <x:v>Not extracted</x:v>
      </x:c>
      <x:c r="E182" s="5" t="str">
        <x:v>Not extracted</x:v>
      </x:c>
      <x:c r="F182" s="5" t="str">
        <x:v>Not extracted</x:v>
      </x:c>
      <x:c r="G182" s="5" t="str">
        <x:v>Not extracted</x:v>
      </x:c>
      <x:c r="H182" s="5" t="str">
        <x:v>Not extracted</x:v>
      </x:c>
      <x:c r="I182" s="5" t="str">
        <x:v>Not extracted</x:v>
      </x:c>
      <x:c r="J182" s="5" t="str">
        <x:v>Not extracted</x:v>
      </x:c>
      <x:c r="K182" s="5" t="str">
        <x:v>Not extracted</x:v>
      </x:c>
      <x:c r="L182" s="5" t="str">
        <x:v>Not extracted</x:v>
      </x:c>
      <x:c r="M182" s="5" t="str">
        <x:v>Not extracted</x:v>
      </x:c>
      <x:c r="N182" s="5" t="str">
        <x:v>Not extracted</x:v>
      </x:c>
      <x:c r="O182" s="5" t="str">
        <x:v>Not extracted</x:v>
      </x:c>
      <x:c r="P182" s="5" t="str">
        <x:v>Not extracted</x:v>
      </x:c>
      <x:c r="Q182" s="5" t="str">
        <x:v>Not extracted</x:v>
      </x:c>
      <x:c r="R182" s="5" t="str">
        <x:v>Not extracted</x:v>
      </x:c>
      <x:c r="S182" s="5" t="str">
        <x:v>Not extracted</x:v>
      </x:c>
      <x:c r="T182" s="5" t="str">
        <x:v>Not assigned</x:v>
      </x:c>
      <x:c r="U182" s="8"/>
    </x:row>
    <x:row r="183" ht="40" customHeight="1">
      <x:c r="A183" s="5" t="str">
        <x:v>C0241</x:v>
      </x:c>
      <x:c r="B183" s="5" t="str">
        <x:v>Not extracted</x:v>
      </x:c>
      <x:c r="C183" s="5" t="str">
        <x:v>Not extracted</x:v>
      </x:c>
      <x:c r="D183" s="5" t="str">
        <x:v>Not extracted</x:v>
      </x:c>
      <x:c r="E183" s="5" t="str">
        <x:v>Not extracted</x:v>
      </x:c>
      <x:c r="F183" s="5" t="str">
        <x:v>Not extracted</x:v>
      </x:c>
      <x:c r="G183" s="5" t="str">
        <x:v>Not extracted</x:v>
      </x:c>
      <x:c r="H183" s="5" t="str">
        <x:v>Not extracted</x:v>
      </x:c>
      <x:c r="I183" s="5" t="str">
        <x:v>Not extracted</x:v>
      </x:c>
      <x:c r="J183" s="5" t="str">
        <x:v>Not extracted</x:v>
      </x:c>
      <x:c r="K183" s="5" t="str">
        <x:v>Not extracted</x:v>
      </x:c>
      <x:c r="L183" s="5" t="str">
        <x:v>Not extracted</x:v>
      </x:c>
      <x:c r="M183" s="5" t="str">
        <x:v>Not extracted</x:v>
      </x:c>
      <x:c r="N183" s="5" t="str">
        <x:v>Not extracted</x:v>
      </x:c>
      <x:c r="O183" s="5" t="str">
        <x:v>Not extracted</x:v>
      </x:c>
      <x:c r="P183" s="5" t="str">
        <x:v>Not extracted</x:v>
      </x:c>
      <x:c r="Q183" s="5" t="str">
        <x:v>Not extracted</x:v>
      </x:c>
      <x:c r="R183" s="5" t="str">
        <x:v>Not extracted</x:v>
      </x:c>
      <x:c r="S183" s="5" t="str">
        <x:v>Not extracted</x:v>
      </x:c>
      <x:c r="T183" s="5" t="str">
        <x:v>Not assigned</x:v>
      </x:c>
      <x:c r="U183" s="8"/>
    </x:row>
    <x:row r="184" ht="40" customHeight="1">
      <x:c r="A184" s="5" t="str">
        <x:v>C0242</x:v>
      </x:c>
      <x:c r="B184" s="5" t="str">
        <x:v>Not extracted</x:v>
      </x:c>
      <x:c r="C184" s="5" t="str">
        <x:v>Not extracted</x:v>
      </x:c>
      <x:c r="D184" s="5" t="str">
        <x:v>Not extracted</x:v>
      </x:c>
      <x:c r="E184" s="5" t="str">
        <x:v>Not extracted</x:v>
      </x:c>
      <x:c r="F184" s="5" t="str">
        <x:v>Not extracted</x:v>
      </x:c>
      <x:c r="G184" s="5" t="str">
        <x:v>Not extracted</x:v>
      </x:c>
      <x:c r="H184" s="5" t="str">
        <x:v>Not extracted</x:v>
      </x:c>
      <x:c r="I184" s="5" t="str">
        <x:v>Not extracted</x:v>
      </x:c>
      <x:c r="J184" s="5" t="str">
        <x:v>Not extracted</x:v>
      </x:c>
      <x:c r="K184" s="5" t="str">
        <x:v>Not extracted</x:v>
      </x:c>
      <x:c r="L184" s="5" t="str">
        <x:v>Not extracted</x:v>
      </x:c>
      <x:c r="M184" s="5" t="str">
        <x:v>Not extracted</x:v>
      </x:c>
      <x:c r="N184" s="5" t="str">
        <x:v>Not extracted</x:v>
      </x:c>
      <x:c r="O184" s="5" t="str">
        <x:v>Not extracted</x:v>
      </x:c>
      <x:c r="P184" s="5" t="str">
        <x:v>Not extracted</x:v>
      </x:c>
      <x:c r="Q184" s="5" t="str">
        <x:v>Not extracted</x:v>
      </x:c>
      <x:c r="R184" s="5" t="str">
        <x:v>Not extracted</x:v>
      </x:c>
      <x:c r="S184" s="5" t="str">
        <x:v>Not extracted</x:v>
      </x:c>
      <x:c r="T184" s="5" t="str">
        <x:v>Not assigned</x:v>
      </x:c>
      <x:c r="U184" s="8"/>
    </x:row>
    <x:row r="185" ht="40" customHeight="1">
      <x:c r="A185" s="5" t="str">
        <x:v>C0243</x:v>
      </x:c>
      <x:c r="B185" s="5" t="str">
        <x:v>Not extracted</x:v>
      </x:c>
      <x:c r="C185" s="5" t="str">
        <x:v>Not extracted</x:v>
      </x:c>
      <x:c r="D185" s="5" t="str">
        <x:v>Not extracted</x:v>
      </x:c>
      <x:c r="E185" s="5" t="str">
        <x:v>Not extracted</x:v>
      </x:c>
      <x:c r="F185" s="5" t="str">
        <x:v>Not extracted</x:v>
      </x:c>
      <x:c r="G185" s="5" t="str">
        <x:v>Not extracted</x:v>
      </x:c>
      <x:c r="H185" s="5" t="str">
        <x:v>Not extracted</x:v>
      </x:c>
      <x:c r="I185" s="5" t="str">
        <x:v>Not extracted</x:v>
      </x:c>
      <x:c r="J185" s="5" t="str">
        <x:v>Not extracted</x:v>
      </x:c>
      <x:c r="K185" s="5" t="str">
        <x:v>Not extracted</x:v>
      </x:c>
      <x:c r="L185" s="5" t="str">
        <x:v>Not extracted</x:v>
      </x:c>
      <x:c r="M185" s="5" t="str">
        <x:v>Not extracted</x:v>
      </x:c>
      <x:c r="N185" s="5" t="str">
        <x:v>Not extracted</x:v>
      </x:c>
      <x:c r="O185" s="5" t="str">
        <x:v>Not extracted</x:v>
      </x:c>
      <x:c r="P185" s="5" t="str">
        <x:v>Not extracted</x:v>
      </x:c>
      <x:c r="Q185" s="5" t="str">
        <x:v>Not extracted</x:v>
      </x:c>
      <x:c r="R185" s="5" t="str">
        <x:v>Not extracted</x:v>
      </x:c>
      <x:c r="S185" s="5" t="str">
        <x:v>Not extracted</x:v>
      </x:c>
      <x:c r="T185" s="5" t="str">
        <x:v>Not assigned</x:v>
      </x:c>
      <x:c r="U185" s="8"/>
    </x:row>
    <x:row r="186" ht="40" customHeight="1">
      <x:c r="A186" s="5" t="str">
        <x:v>C0244</x:v>
      </x:c>
      <x:c r="B186" s="5" t="str">
        <x:v>Not extracted</x:v>
      </x:c>
      <x:c r="C186" s="5" t="str">
        <x:v>Not extracted</x:v>
      </x:c>
      <x:c r="D186" s="5" t="str">
        <x:v>Not extracted</x:v>
      </x:c>
      <x:c r="E186" s="5" t="str">
        <x:v>Not extracted</x:v>
      </x:c>
      <x:c r="F186" s="5" t="str">
        <x:v>Not extracted</x:v>
      </x:c>
      <x:c r="G186" s="5" t="str">
        <x:v>Not extracted</x:v>
      </x:c>
      <x:c r="H186" s="5" t="str">
        <x:v>Not extracted</x:v>
      </x:c>
      <x:c r="I186" s="5" t="str">
        <x:v>Not extracted</x:v>
      </x:c>
      <x:c r="J186" s="5" t="str">
        <x:v>Not extracted</x:v>
      </x:c>
      <x:c r="K186" s="5" t="str">
        <x:v>Not extracted</x:v>
      </x:c>
      <x:c r="L186" s="5" t="str">
        <x:v>Not extracted</x:v>
      </x:c>
      <x:c r="M186" s="5" t="str">
        <x:v>Not extracted</x:v>
      </x:c>
      <x:c r="N186" s="5" t="str">
        <x:v>Not extracted</x:v>
      </x:c>
      <x:c r="O186" s="5" t="str">
        <x:v>Not extracted</x:v>
      </x:c>
      <x:c r="P186" s="5" t="str">
        <x:v>Not extracted</x:v>
      </x:c>
      <x:c r="Q186" s="5" t="str">
        <x:v>Not extracted</x:v>
      </x:c>
      <x:c r="R186" s="5" t="str">
        <x:v>Not extracted</x:v>
      </x:c>
      <x:c r="S186" s="5" t="str">
        <x:v>Not extracted</x:v>
      </x:c>
      <x:c r="T186" s="5" t="str">
        <x:v>Not assigned</x:v>
      </x:c>
      <x:c r="U186" s="8"/>
    </x:row>
    <x:row r="187" ht="40" customHeight="1">
      <x:c r="A187" s="5" t="str">
        <x:v>C0245</x:v>
      </x:c>
      <x:c r="B187" s="5" t="str">
        <x:v>Not extracted</x:v>
      </x:c>
      <x:c r="C187" s="5" t="str">
        <x:v>Not extracted</x:v>
      </x:c>
      <x:c r="D187" s="5" t="str">
        <x:v>Not extracted</x:v>
      </x:c>
      <x:c r="E187" s="5" t="str">
        <x:v>Not extracted</x:v>
      </x:c>
      <x:c r="F187" s="5" t="str">
        <x:v>Not extracted</x:v>
      </x:c>
      <x:c r="G187" s="5" t="str">
        <x:v>Not extracted</x:v>
      </x:c>
      <x:c r="H187" s="5" t="str">
        <x:v>Not extracted</x:v>
      </x:c>
      <x:c r="I187" s="5" t="str">
        <x:v>Not extracted</x:v>
      </x:c>
      <x:c r="J187" s="5" t="str">
        <x:v>Not extracted</x:v>
      </x:c>
      <x:c r="K187" s="5" t="str">
        <x:v>Not extracted</x:v>
      </x:c>
      <x:c r="L187" s="5" t="str">
        <x:v>Not extracted</x:v>
      </x:c>
      <x:c r="M187" s="5" t="str">
        <x:v>Not extracted</x:v>
      </x:c>
      <x:c r="N187" s="5" t="str">
        <x:v>Not extracted</x:v>
      </x:c>
      <x:c r="O187" s="5" t="str">
        <x:v>Not extracted</x:v>
      </x:c>
      <x:c r="P187" s="5" t="str">
        <x:v>Not extracted</x:v>
      </x:c>
      <x:c r="Q187" s="5" t="str">
        <x:v>Not extracted</x:v>
      </x:c>
      <x:c r="R187" s="5" t="str">
        <x:v>Not extracted</x:v>
      </x:c>
      <x:c r="S187" s="5" t="str">
        <x:v>Not extracted</x:v>
      </x:c>
      <x:c r="T187" s="5" t="str">
        <x:v>Not assigned</x:v>
      </x:c>
      <x:c r="U187" s="8"/>
    </x:row>
    <x:row r="188" ht="40" customHeight="1">
      <x:c r="A188" s="5" t="str">
        <x:v>C0246</x:v>
      </x:c>
      <x:c r="B188" s="5" t="str">
        <x:v>Not extracted</x:v>
      </x:c>
      <x:c r="C188" s="5" t="str">
        <x:v>Not extracted</x:v>
      </x:c>
      <x:c r="D188" s="5" t="str">
        <x:v>Not extracted</x:v>
      </x:c>
      <x:c r="E188" s="5" t="str">
        <x:v>Not extracted</x:v>
      </x:c>
      <x:c r="F188" s="5" t="str">
        <x:v>Not extracted</x:v>
      </x:c>
      <x:c r="G188" s="5" t="str">
        <x:v>Not extracted</x:v>
      </x:c>
      <x:c r="H188" s="5" t="str">
        <x:v>Not extracted</x:v>
      </x:c>
      <x:c r="I188" s="5" t="str">
        <x:v>Not extracted</x:v>
      </x:c>
      <x:c r="J188" s="5" t="str">
        <x:v>Not extracted</x:v>
      </x:c>
      <x:c r="K188" s="5" t="str">
        <x:v>Not extracted</x:v>
      </x:c>
      <x:c r="L188" s="5" t="str">
        <x:v>Not extracted</x:v>
      </x:c>
      <x:c r="M188" s="5" t="str">
        <x:v>Not extracted</x:v>
      </x:c>
      <x:c r="N188" s="5" t="str">
        <x:v>Not extracted</x:v>
      </x:c>
      <x:c r="O188" s="5" t="str">
        <x:v>Not extracted</x:v>
      </x:c>
      <x:c r="P188" s="5" t="str">
        <x:v>Not extracted</x:v>
      </x:c>
      <x:c r="Q188" s="5" t="str">
        <x:v>Not extracted</x:v>
      </x:c>
      <x:c r="R188" s="5" t="str">
        <x:v>Not extracted</x:v>
      </x:c>
      <x:c r="S188" s="5" t="str">
        <x:v>Not extracted</x:v>
      </x:c>
      <x:c r="T188" s="5" t="str">
        <x:v>Not assigned</x:v>
      </x:c>
      <x:c r="U188" s="8"/>
    </x:row>
    <x:row r="189" ht="40" customHeight="1">
      <x:c r="A189" s="5" t="str">
        <x:v>C0247</x:v>
      </x:c>
      <x:c r="B189" s="5" t="str">
        <x:v>Not extracted</x:v>
      </x:c>
      <x:c r="C189" s="5" t="str">
        <x:v>Not extracted</x:v>
      </x:c>
      <x:c r="D189" s="5" t="str">
        <x:v>Not extracted</x:v>
      </x:c>
      <x:c r="E189" s="5" t="str">
        <x:v>Not extracted</x:v>
      </x:c>
      <x:c r="F189" s="5" t="str">
        <x:v>Not extracted</x:v>
      </x:c>
      <x:c r="G189" s="5" t="str">
        <x:v>Not extracted</x:v>
      </x:c>
      <x:c r="H189" s="5" t="str">
        <x:v>Not extracted</x:v>
      </x:c>
      <x:c r="I189" s="5" t="str">
        <x:v>Not extracted</x:v>
      </x:c>
      <x:c r="J189" s="5" t="str">
        <x:v>Not extracted</x:v>
      </x:c>
      <x:c r="K189" s="5" t="str">
        <x:v>Not extracted</x:v>
      </x:c>
      <x:c r="L189" s="5" t="str">
        <x:v>Not extracted</x:v>
      </x:c>
      <x:c r="M189" s="5" t="str">
        <x:v>Not extracted</x:v>
      </x:c>
      <x:c r="N189" s="5" t="str">
        <x:v>Not extracted</x:v>
      </x:c>
      <x:c r="O189" s="5" t="str">
        <x:v>Not extracted</x:v>
      </x:c>
      <x:c r="P189" s="5" t="str">
        <x:v>Not extracted</x:v>
      </x:c>
      <x:c r="Q189" s="5" t="str">
        <x:v>Not extracted</x:v>
      </x:c>
      <x:c r="R189" s="5" t="str">
        <x:v>Not extracted</x:v>
      </x:c>
      <x:c r="S189" s="5" t="str">
        <x:v>Not extracted</x:v>
      </x:c>
      <x:c r="T189" s="5" t="str">
        <x:v>Not assigned</x:v>
      </x:c>
      <x:c r="U189" s="8"/>
    </x:row>
    <x:row r="190" ht="40" customHeight="1">
      <x:c r="A190" s="5" t="str">
        <x:v>C0248</x:v>
      </x:c>
      <x:c r="B190" s="5" t="str">
        <x:v>Not extracted</x:v>
      </x:c>
      <x:c r="C190" s="5" t="str">
        <x:v>Not extracted</x:v>
      </x:c>
      <x:c r="D190" s="5" t="str">
        <x:v>Not extracted</x:v>
      </x:c>
      <x:c r="E190" s="5" t="str">
        <x:v>Not extracted</x:v>
      </x:c>
      <x:c r="F190" s="5" t="str">
        <x:v>Not extracted</x:v>
      </x:c>
      <x:c r="G190" s="5" t="str">
        <x:v>Not extracted</x:v>
      </x:c>
      <x:c r="H190" s="5" t="str">
        <x:v>Not extracted</x:v>
      </x:c>
      <x:c r="I190" s="5" t="str">
        <x:v>Not extracted</x:v>
      </x:c>
      <x:c r="J190" s="5" t="str">
        <x:v>Not extracted</x:v>
      </x:c>
      <x:c r="K190" s="5" t="str">
        <x:v>Not extracted</x:v>
      </x:c>
      <x:c r="L190" s="5" t="str">
        <x:v>Not extracted</x:v>
      </x:c>
      <x:c r="M190" s="5" t="str">
        <x:v>Not extracted</x:v>
      </x:c>
      <x:c r="N190" s="5" t="str">
        <x:v>Not extracted</x:v>
      </x:c>
      <x:c r="O190" s="5" t="str">
        <x:v>Not extracted</x:v>
      </x:c>
      <x:c r="P190" s="5" t="str">
        <x:v>Not extracted</x:v>
      </x:c>
      <x:c r="Q190" s="5" t="str">
        <x:v>Not extracted</x:v>
      </x:c>
      <x:c r="R190" s="5" t="str">
        <x:v>Not extracted</x:v>
      </x:c>
      <x:c r="S190" s="5" t="str">
        <x:v>Not extracted</x:v>
      </x:c>
      <x:c r="T190" s="5" t="str">
        <x:v>Not assigned</x:v>
      </x:c>
      <x:c r="U190" s="8"/>
    </x:row>
    <x:row r="191" ht="40" customHeight="1">
      <x:c r="A191" s="5" t="str">
        <x:v>C0249</x:v>
      </x:c>
      <x:c r="B191" s="5" t="str">
        <x:v>Not extracted</x:v>
      </x:c>
      <x:c r="C191" s="5" t="str">
        <x:v>Not extracted</x:v>
      </x:c>
      <x:c r="D191" s="5" t="str">
        <x:v>Not extracted</x:v>
      </x:c>
      <x:c r="E191" s="5" t="str">
        <x:v>Not extracted</x:v>
      </x:c>
      <x:c r="F191" s="5" t="str">
        <x:v>Not extracted</x:v>
      </x:c>
      <x:c r="G191" s="5" t="str">
        <x:v>Not extracted</x:v>
      </x:c>
      <x:c r="H191" s="5" t="str">
        <x:v>Not extracted</x:v>
      </x:c>
      <x:c r="I191" s="5" t="str">
        <x:v>Not extracted</x:v>
      </x:c>
      <x:c r="J191" s="5" t="str">
        <x:v>Not extracted</x:v>
      </x:c>
      <x:c r="K191" s="5" t="str">
        <x:v>Not extracted</x:v>
      </x:c>
      <x:c r="L191" s="5" t="str">
        <x:v>Not extracted</x:v>
      </x:c>
      <x:c r="M191" s="5" t="str">
        <x:v>Not extracted</x:v>
      </x:c>
      <x:c r="N191" s="5" t="str">
        <x:v>Not extracted</x:v>
      </x:c>
      <x:c r="O191" s="5" t="str">
        <x:v>Not extracted</x:v>
      </x:c>
      <x:c r="P191" s="5" t="str">
        <x:v>Not extracted</x:v>
      </x:c>
      <x:c r="Q191" s="5" t="str">
        <x:v>Not extracted</x:v>
      </x:c>
      <x:c r="R191" s="5" t="str">
        <x:v>Not extracted</x:v>
      </x:c>
      <x:c r="S191" s="5" t="str">
        <x:v>Not extracted</x:v>
      </x:c>
      <x:c r="T191" s="5" t="str">
        <x:v>Not assigned</x:v>
      </x:c>
      <x:c r="U191" s="8"/>
    </x:row>
    <x:row r="192" ht="40" customHeight="1">
      <x:c r="A192" s="5" t="str">
        <x:v>C0251</x:v>
      </x:c>
      <x:c r="B192" s="5" t="str">
        <x:v>Not extracted</x:v>
      </x:c>
      <x:c r="C192" s="5" t="str">
        <x:v>Not extracted</x:v>
      </x:c>
      <x:c r="D192" s="5" t="str">
        <x:v>Not extracted</x:v>
      </x:c>
      <x:c r="E192" s="5" t="str">
        <x:v>Not extracted</x:v>
      </x:c>
      <x:c r="F192" s="5" t="str">
        <x:v>Not extracted</x:v>
      </x:c>
      <x:c r="G192" s="5" t="str">
        <x:v>Not extracted</x:v>
      </x:c>
      <x:c r="H192" s="5" t="str">
        <x:v>Not extracted</x:v>
      </x:c>
      <x:c r="I192" s="5" t="str">
        <x:v>Not extracted</x:v>
      </x:c>
      <x:c r="J192" s="5" t="str">
        <x:v>Not extracted</x:v>
      </x:c>
      <x:c r="K192" s="5" t="str">
        <x:v>Not extracted</x:v>
      </x:c>
      <x:c r="L192" s="5" t="str">
        <x:v>Not extracted</x:v>
      </x:c>
      <x:c r="M192" s="5" t="str">
        <x:v>Not extracted</x:v>
      </x:c>
      <x:c r="N192" s="5" t="str">
        <x:v>Not extracted</x:v>
      </x:c>
      <x:c r="O192" s="5" t="str">
        <x:v>Not extracted</x:v>
      </x:c>
      <x:c r="P192" s="5" t="str">
        <x:v>Not extracted</x:v>
      </x:c>
      <x:c r="Q192" s="5" t="str">
        <x:v>Not extracted</x:v>
      </x:c>
      <x:c r="R192" s="5" t="str">
        <x:v>Not extracted</x:v>
      </x:c>
      <x:c r="S192" s="5" t="str">
        <x:v>Not extracted</x:v>
      </x:c>
      <x:c r="T192" s="5" t="str">
        <x:v>Not assigned</x:v>
      </x:c>
      <x:c r="U192" s="8"/>
    </x:row>
    <x:row r="193" ht="40" customHeight="1">
      <x:c r="A193" s="5" t="str">
        <x:v>C0252</x:v>
      </x:c>
      <x:c r="B193" s="5" t="str">
        <x:v>Not extracted</x:v>
      </x:c>
      <x:c r="C193" s="5" t="str">
        <x:v>Not extracted</x:v>
      </x:c>
      <x:c r="D193" s="5" t="str">
        <x:v>Not extracted</x:v>
      </x:c>
      <x:c r="E193" s="5" t="str">
        <x:v>Not extracted</x:v>
      </x:c>
      <x:c r="F193" s="5" t="str">
        <x:v>Not extracted</x:v>
      </x:c>
      <x:c r="G193" s="5" t="str">
        <x:v>Not extracted</x:v>
      </x:c>
      <x:c r="H193" s="5" t="str">
        <x:v>Not extracted</x:v>
      </x:c>
      <x:c r="I193" s="5" t="str">
        <x:v>Not extracted</x:v>
      </x:c>
      <x:c r="J193" s="5" t="str">
        <x:v>Not extracted</x:v>
      </x:c>
      <x:c r="K193" s="5" t="str">
        <x:v>Not extracted</x:v>
      </x:c>
      <x:c r="L193" s="5" t="str">
        <x:v>Not extracted</x:v>
      </x:c>
      <x:c r="M193" s="5" t="str">
        <x:v>Not extracted</x:v>
      </x:c>
      <x:c r="N193" s="5" t="str">
        <x:v>Not extracted</x:v>
      </x:c>
      <x:c r="O193" s="5" t="str">
        <x:v>Not extracted</x:v>
      </x:c>
      <x:c r="P193" s="5" t="str">
        <x:v>Not extracted</x:v>
      </x:c>
      <x:c r="Q193" s="5" t="str">
        <x:v>Not extracted</x:v>
      </x:c>
      <x:c r="R193" s="5" t="str">
        <x:v>Not extracted</x:v>
      </x:c>
      <x:c r="S193" s="5" t="str">
        <x:v>Not extracted</x:v>
      </x:c>
      <x:c r="T193" s="5" t="str">
        <x:v>Not assigned</x:v>
      </x:c>
      <x:c r="U193" s="8"/>
    </x:row>
    <x:row r="194" ht="40" customHeight="1">
      <x:c r="A194" s="5" t="str">
        <x:v>C0254</x:v>
      </x:c>
      <x:c r="B194" s="5" t="str">
        <x:v>Not extracted</x:v>
      </x:c>
      <x:c r="C194" s="5" t="str">
        <x:v>Not extracted</x:v>
      </x:c>
      <x:c r="D194" s="5" t="str">
        <x:v>Not extracted</x:v>
      </x:c>
      <x:c r="E194" s="5" t="str">
        <x:v>Not extracted</x:v>
      </x:c>
      <x:c r="F194" s="5" t="str">
        <x:v>Not extracted</x:v>
      </x:c>
      <x:c r="G194" s="5" t="str">
        <x:v>Not extracted</x:v>
      </x:c>
      <x:c r="H194" s="5" t="str">
        <x:v>Not extracted</x:v>
      </x:c>
      <x:c r="I194" s="5" t="str">
        <x:v>Not extracted</x:v>
      </x:c>
      <x:c r="J194" s="5" t="str">
        <x:v>Not extracted</x:v>
      </x:c>
      <x:c r="K194" s="5" t="str">
        <x:v>Not extracted</x:v>
      </x:c>
      <x:c r="L194" s="5" t="str">
        <x:v>Not extracted</x:v>
      </x:c>
      <x:c r="M194" s="5" t="str">
        <x:v>Not extracted</x:v>
      </x:c>
      <x:c r="N194" s="5" t="str">
        <x:v>Not extracted</x:v>
      </x:c>
      <x:c r="O194" s="5" t="str">
        <x:v>Not extracted</x:v>
      </x:c>
      <x:c r="P194" s="5" t="str">
        <x:v>Not extracted</x:v>
      </x:c>
      <x:c r="Q194" s="5" t="str">
        <x:v>Not extracted</x:v>
      </x:c>
      <x:c r="R194" s="5" t="str">
        <x:v>Not extracted</x:v>
      </x:c>
      <x:c r="S194" s="5" t="str">
        <x:v>Not extracted</x:v>
      </x:c>
      <x:c r="T194" s="5" t="str">
        <x:v>Not assigned</x:v>
      </x:c>
      <x:c r="U194" s="8"/>
    </x:row>
    <x:row r="195" ht="40" customHeight="1">
      <x:c r="A195" s="5" t="str">
        <x:v>C0257</x:v>
      </x:c>
      <x:c r="B195" s="5" t="str">
        <x:v>Not extracted</x:v>
      </x:c>
      <x:c r="C195" s="5" t="str">
        <x:v>Not extracted</x:v>
      </x:c>
      <x:c r="D195" s="5" t="str">
        <x:v>Not extracted</x:v>
      </x:c>
      <x:c r="E195" s="5" t="str">
        <x:v>Not extracted</x:v>
      </x:c>
      <x:c r="F195" s="5" t="str">
        <x:v>Not extracted</x:v>
      </x:c>
      <x:c r="G195" s="5" t="str">
        <x:v>Not extracted</x:v>
      </x:c>
      <x:c r="H195" s="5" t="str">
        <x:v>Not extracted</x:v>
      </x:c>
      <x:c r="I195" s="5" t="str">
        <x:v>Not extracted</x:v>
      </x:c>
      <x:c r="J195" s="5" t="str">
        <x:v>Not extracted</x:v>
      </x:c>
      <x:c r="K195" s="5" t="str">
        <x:v>Not extracted</x:v>
      </x:c>
      <x:c r="L195" s="5" t="str">
        <x:v>Not extracted</x:v>
      </x:c>
      <x:c r="M195" s="5" t="str">
        <x:v>Not extracted</x:v>
      </x:c>
      <x:c r="N195" s="5" t="str">
        <x:v>Not extracted</x:v>
      </x:c>
      <x:c r="O195" s="5" t="str">
        <x:v>Not extracted</x:v>
      </x:c>
      <x:c r="P195" s="5" t="str">
        <x:v>Not extracted</x:v>
      </x:c>
      <x:c r="Q195" s="5" t="str">
        <x:v>Not extracted</x:v>
      </x:c>
      <x:c r="R195" s="5" t="str">
        <x:v>Not extracted</x:v>
      </x:c>
      <x:c r="S195" s="5" t="str">
        <x:v>Not extracted</x:v>
      </x:c>
      <x:c r="T195" s="5" t="str">
        <x:v>Not assigned</x:v>
      </x:c>
      <x:c r="U195" s="8"/>
    </x:row>
    <x:row r="196" ht="40" customHeight="1">
      <x:c r="A196" s="5" t="str">
        <x:v>C0260</x:v>
      </x:c>
      <x:c r="B196" s="5" t="str">
        <x:v>Not extracted</x:v>
      </x:c>
      <x:c r="C196" s="5" t="str">
        <x:v>Not extracted</x:v>
      </x:c>
      <x:c r="D196" s="5" t="str">
        <x:v>Not extracted</x:v>
      </x:c>
      <x:c r="E196" s="5" t="str">
        <x:v>Not extracted</x:v>
      </x:c>
      <x:c r="F196" s="5" t="str">
        <x:v>Not extracted</x:v>
      </x:c>
      <x:c r="G196" s="5" t="str">
        <x:v>Not extracted</x:v>
      </x:c>
      <x:c r="H196" s="5" t="str">
        <x:v>Not extracted</x:v>
      </x:c>
      <x:c r="I196" s="5" t="str">
        <x:v>Not extracted</x:v>
      </x:c>
      <x:c r="J196" s="5" t="str">
        <x:v>Not extracted</x:v>
      </x:c>
      <x:c r="K196" s="5" t="str">
        <x:v>Not extracted</x:v>
      </x:c>
      <x:c r="L196" s="5" t="str">
        <x:v>Not extracted</x:v>
      </x:c>
      <x:c r="M196" s="5" t="str">
        <x:v>Not extracted</x:v>
      </x:c>
      <x:c r="N196" s="5" t="str">
        <x:v>Not extracted</x:v>
      </x:c>
      <x:c r="O196" s="5" t="str">
        <x:v>Not extracted</x:v>
      </x:c>
      <x:c r="P196" s="5" t="str">
        <x:v>Not extracted</x:v>
      </x:c>
      <x:c r="Q196" s="5" t="str">
        <x:v>Not extracted</x:v>
      </x:c>
      <x:c r="R196" s="5" t="str">
        <x:v>Not extracted</x:v>
      </x:c>
      <x:c r="S196" s="5" t="str">
        <x:v>Not extracted</x:v>
      </x:c>
      <x:c r="T196" s="5" t="str">
        <x:v>Not assigned</x:v>
      </x:c>
      <x:c r="U196" s="8"/>
    </x:row>
    <x:row r="197" ht="40" customHeight="1">
      <x:c r="A197" s="5" t="str">
        <x:v>C0264</x:v>
      </x:c>
      <x:c r="B197" s="5" t="str">
        <x:v>Not extracted</x:v>
      </x:c>
      <x:c r="C197" s="5" t="str">
        <x:v>Not extracted</x:v>
      </x:c>
      <x:c r="D197" s="5" t="str">
        <x:v>Not extracted</x:v>
      </x:c>
      <x:c r="E197" s="5" t="str">
        <x:v>Not extracted</x:v>
      </x:c>
      <x:c r="F197" s="5" t="str">
        <x:v>Not extracted</x:v>
      </x:c>
      <x:c r="G197" s="5" t="str">
        <x:v>Not extracted</x:v>
      </x:c>
      <x:c r="H197" s="5" t="str">
        <x:v>Not extracted</x:v>
      </x:c>
      <x:c r="I197" s="5" t="str">
        <x:v>Not extracted</x:v>
      </x:c>
      <x:c r="J197" s="5" t="str">
        <x:v>Not extracted</x:v>
      </x:c>
      <x:c r="K197" s="5" t="str">
        <x:v>Not extracted</x:v>
      </x:c>
      <x:c r="L197" s="5" t="str">
        <x:v>Not extracted</x:v>
      </x:c>
      <x:c r="M197" s="5" t="str">
        <x:v>Not extracted</x:v>
      </x:c>
      <x:c r="N197" s="5" t="str">
        <x:v>Not extracted</x:v>
      </x:c>
      <x:c r="O197" s="5" t="str">
        <x:v>Not extracted</x:v>
      </x:c>
      <x:c r="P197" s="5" t="str">
        <x:v>Not extracted</x:v>
      </x:c>
      <x:c r="Q197" s="5" t="str">
        <x:v>Not extracted</x:v>
      </x:c>
      <x:c r="R197" s="5" t="str">
        <x:v>Not extracted</x:v>
      </x:c>
      <x:c r="S197" s="5" t="str">
        <x:v>Not extracted</x:v>
      </x:c>
      <x:c r="T197" s="5" t="str">
        <x:v>Not assigned</x:v>
      </x:c>
      <x:c r="U197" s="8"/>
    </x:row>
    <x:row r="198" ht="40" customHeight="1">
      <x:c r="A198" s="5" t="str">
        <x:v>C0266</x:v>
      </x:c>
      <x:c r="B198" s="5" t="str">
        <x:v>Not extracted</x:v>
      </x:c>
      <x:c r="C198" s="5" t="str">
        <x:v>Not extracted</x:v>
      </x:c>
      <x:c r="D198" s="5" t="str">
        <x:v>Not extracted</x:v>
      </x:c>
      <x:c r="E198" s="5" t="str">
        <x:v>Not extracted</x:v>
      </x:c>
      <x:c r="F198" s="5" t="str">
        <x:v>Not extracted</x:v>
      </x:c>
      <x:c r="G198" s="5" t="str">
        <x:v>Not extracted</x:v>
      </x:c>
      <x:c r="H198" s="5" t="str">
        <x:v>Not extracted</x:v>
      </x:c>
      <x:c r="I198" s="5" t="str">
        <x:v>Not extracted</x:v>
      </x:c>
      <x:c r="J198" s="5" t="str">
        <x:v>Not extracted</x:v>
      </x:c>
      <x:c r="K198" s="5" t="str">
        <x:v>Not extracted</x:v>
      </x:c>
      <x:c r="L198" s="5" t="str">
        <x:v>Not extracted</x:v>
      </x:c>
      <x:c r="M198" s="5" t="str">
        <x:v>Not extracted</x:v>
      </x:c>
      <x:c r="N198" s="5" t="str">
        <x:v>Not extracted</x:v>
      </x:c>
      <x:c r="O198" s="5" t="str">
        <x:v>Not extracted</x:v>
      </x:c>
      <x:c r="P198" s="5" t="str">
        <x:v>Not extracted</x:v>
      </x:c>
      <x:c r="Q198" s="5" t="str">
        <x:v>Not extracted</x:v>
      </x:c>
      <x:c r="R198" s="5" t="str">
        <x:v>Not extracted</x:v>
      </x:c>
      <x:c r="S198" s="5" t="str">
        <x:v>Not extracted</x:v>
      </x:c>
      <x:c r="T198" s="5" t="str">
        <x:v>Not assigned</x:v>
      </x:c>
      <x:c r="U198" s="8"/>
    </x:row>
    <x:row r="199" ht="40" customHeight="1">
      <x:c r="A199" s="5" t="str">
        <x:v>C0267</x:v>
      </x:c>
      <x:c r="B199" s="5" t="str">
        <x:v>Not extracted</x:v>
      </x:c>
      <x:c r="C199" s="5" t="str">
        <x:v>Not extracted</x:v>
      </x:c>
      <x:c r="D199" s="5" t="str">
        <x:v>Not extracted</x:v>
      </x:c>
      <x:c r="E199" s="5" t="str">
        <x:v>Not extracted</x:v>
      </x:c>
      <x:c r="F199" s="5" t="str">
        <x:v>Not extracted</x:v>
      </x:c>
      <x:c r="G199" s="5" t="str">
        <x:v>Not extracted</x:v>
      </x:c>
      <x:c r="H199" s="5" t="str">
        <x:v>Not extracted</x:v>
      </x:c>
      <x:c r="I199" s="5" t="str">
        <x:v>Not extracted</x:v>
      </x:c>
      <x:c r="J199" s="5" t="str">
        <x:v>Not extracted</x:v>
      </x:c>
      <x:c r="K199" s="5" t="str">
        <x:v>Not extracted</x:v>
      </x:c>
      <x:c r="L199" s="5" t="str">
        <x:v>Not extracted</x:v>
      </x:c>
      <x:c r="M199" s="5" t="str">
        <x:v>Not extracted</x:v>
      </x:c>
      <x:c r="N199" s="5" t="str">
        <x:v>Not extracted</x:v>
      </x:c>
      <x:c r="O199" s="5" t="str">
        <x:v>Not extracted</x:v>
      </x:c>
      <x:c r="P199" s="5" t="str">
        <x:v>Not extracted</x:v>
      </x:c>
      <x:c r="Q199" s="5" t="str">
        <x:v>Not extracted</x:v>
      </x:c>
      <x:c r="R199" s="5" t="str">
        <x:v>Not extracted</x:v>
      </x:c>
      <x:c r="S199" s="5" t="str">
        <x:v>Not extracted</x:v>
      </x:c>
      <x:c r="T199" s="5" t="str">
        <x:v>Not assigned</x:v>
      </x:c>
      <x:c r="U199" s="8"/>
    </x:row>
    <x:row r="200" ht="40" customHeight="1">
      <x:c r="A200" s="5" t="str">
        <x:v>C0268</x:v>
      </x:c>
      <x:c r="B200" s="5" t="str">
        <x:v>Not extracted</x:v>
      </x:c>
      <x:c r="C200" s="5" t="str">
        <x:v>Not extracted</x:v>
      </x:c>
      <x:c r="D200" s="5" t="str">
        <x:v>Not extracted</x:v>
      </x:c>
      <x:c r="E200" s="5" t="str">
        <x:v>Not extracted</x:v>
      </x:c>
      <x:c r="F200" s="5" t="str">
        <x:v>Not extracted</x:v>
      </x:c>
      <x:c r="G200" s="5" t="str">
        <x:v>Not extracted</x:v>
      </x:c>
      <x:c r="H200" s="5" t="str">
        <x:v>Not extracted</x:v>
      </x:c>
      <x:c r="I200" s="5" t="str">
        <x:v>Not extracted</x:v>
      </x:c>
      <x:c r="J200" s="5" t="str">
        <x:v>Not extracted</x:v>
      </x:c>
      <x:c r="K200" s="5" t="str">
        <x:v>Not extracted</x:v>
      </x:c>
      <x:c r="L200" s="5" t="str">
        <x:v>Not extracted</x:v>
      </x:c>
      <x:c r="M200" s="5" t="str">
        <x:v>Not extracted</x:v>
      </x:c>
      <x:c r="N200" s="5" t="str">
        <x:v>Not extracted</x:v>
      </x:c>
      <x:c r="O200" s="5" t="str">
        <x:v>Not extracted</x:v>
      </x:c>
      <x:c r="P200" s="5" t="str">
        <x:v>Not extracted</x:v>
      </x:c>
      <x:c r="Q200" s="5" t="str">
        <x:v>Not extracted</x:v>
      </x:c>
      <x:c r="R200" s="5" t="str">
        <x:v>Not extracted</x:v>
      </x:c>
      <x:c r="S200" s="5" t="str">
        <x:v>Not extracted</x:v>
      </x:c>
      <x:c r="T200" s="5" t="str">
        <x:v>Not assigned</x:v>
      </x:c>
      <x:c r="U200" s="8"/>
    </x:row>
    <x:row r="201" ht="40" customHeight="1">
      <x:c r="A201" s="5" t="str">
        <x:v>C0276</x:v>
      </x:c>
      <x:c r="B201" s="5" t="str">
        <x:v>Not extracted</x:v>
      </x:c>
      <x:c r="C201" s="5" t="str">
        <x:v>Not extracted</x:v>
      </x:c>
      <x:c r="D201" s="5" t="str">
        <x:v>Not extracted</x:v>
      </x:c>
      <x:c r="E201" s="5" t="str">
        <x:v>Not extracted</x:v>
      </x:c>
      <x:c r="F201" s="5" t="str">
        <x:v>Not extracted</x:v>
      </x:c>
      <x:c r="G201" s="5" t="str">
        <x:v>Not extracted</x:v>
      </x:c>
      <x:c r="H201" s="5" t="str">
        <x:v>Not extracted</x:v>
      </x:c>
      <x:c r="I201" s="5" t="str">
        <x:v>Not extracted</x:v>
      </x:c>
      <x:c r="J201" s="5" t="str">
        <x:v>Not extracted</x:v>
      </x:c>
      <x:c r="K201" s="5" t="str">
        <x:v>Not extracted</x:v>
      </x:c>
      <x:c r="L201" s="5" t="str">
        <x:v>Not extracted</x:v>
      </x:c>
      <x:c r="M201" s="5" t="str">
        <x:v>Not extracted</x:v>
      </x:c>
      <x:c r="N201" s="5" t="str">
        <x:v>Not extracted</x:v>
      </x:c>
      <x:c r="O201" s="5" t="str">
        <x:v>Not extracted</x:v>
      </x:c>
      <x:c r="P201" s="5" t="str">
        <x:v>Not extracted</x:v>
      </x:c>
      <x:c r="Q201" s="5" t="str">
        <x:v>Not extracted</x:v>
      </x:c>
      <x:c r="R201" s="5" t="str">
        <x:v>Not extracted</x:v>
      </x:c>
      <x:c r="S201" s="5" t="str">
        <x:v>Not extracted</x:v>
      </x:c>
      <x:c r="T201" s="5" t="str">
        <x:v>Not assigned</x:v>
      </x:c>
      <x:c r="U201" s="8"/>
    </x:row>
    <x:row r="202" ht="40" customHeight="1">
      <x:c r="A202" s="5" t="str">
        <x:v>C0277</x:v>
      </x:c>
      <x:c r="B202" s="5" t="str">
        <x:v>Not extracted</x:v>
      </x:c>
      <x:c r="C202" s="5" t="str">
        <x:v>Not extracted</x:v>
      </x:c>
      <x:c r="D202" s="5" t="str">
        <x:v>Not extracted</x:v>
      </x:c>
      <x:c r="E202" s="5" t="str">
        <x:v>Not extracted</x:v>
      </x:c>
      <x:c r="F202" s="5" t="str">
        <x:v>Not extracted</x:v>
      </x:c>
      <x:c r="G202" s="5" t="str">
        <x:v>Not extracted</x:v>
      </x:c>
      <x:c r="H202" s="5" t="str">
        <x:v>Not extracted</x:v>
      </x:c>
      <x:c r="I202" s="5" t="str">
        <x:v>Not extracted</x:v>
      </x:c>
      <x:c r="J202" s="5" t="str">
        <x:v>Not extracted</x:v>
      </x:c>
      <x:c r="K202" s="5" t="str">
        <x:v>Not extracted</x:v>
      </x:c>
      <x:c r="L202" s="5" t="str">
        <x:v>Not extracted</x:v>
      </x:c>
      <x:c r="M202" s="5" t="str">
        <x:v>Not extracted</x:v>
      </x:c>
      <x:c r="N202" s="5" t="str">
        <x:v>Not extracted</x:v>
      </x:c>
      <x:c r="O202" s="5" t="str">
        <x:v>Not extracted</x:v>
      </x:c>
      <x:c r="P202" s="5" t="str">
        <x:v>Not extracted</x:v>
      </x:c>
      <x:c r="Q202" s="5" t="str">
        <x:v>Not extracted</x:v>
      </x:c>
      <x:c r="R202" s="5" t="str">
        <x:v>Not extracted</x:v>
      </x:c>
      <x:c r="S202" s="5" t="str">
        <x:v>Not extracted</x:v>
      </x:c>
      <x:c r="T202" s="5" t="str">
        <x:v>Not assigned</x:v>
      </x:c>
      <x:c r="U202" s="8"/>
    </x:row>
    <x:row r="203" ht="40" customHeight="1">
      <x:c r="A203" s="5" t="str">
        <x:v>C0278</x:v>
      </x:c>
      <x:c r="B203" s="5" t="str">
        <x:v>Not extracted</x:v>
      </x:c>
      <x:c r="C203" s="5" t="str">
        <x:v>Not extracted</x:v>
      </x:c>
      <x:c r="D203" s="5" t="str">
        <x:v>Not extracted</x:v>
      </x:c>
      <x:c r="E203" s="5" t="str">
        <x:v>Not extracted</x:v>
      </x:c>
      <x:c r="F203" s="5" t="str">
        <x:v>Not extracted</x:v>
      </x:c>
      <x:c r="G203" s="5" t="str">
        <x:v>Not extracted</x:v>
      </x:c>
      <x:c r="H203" s="5" t="str">
        <x:v>Not extracted</x:v>
      </x:c>
      <x:c r="I203" s="5" t="str">
        <x:v>Not extracted</x:v>
      </x:c>
      <x:c r="J203" s="5" t="str">
        <x:v>Not extracted</x:v>
      </x:c>
      <x:c r="K203" s="5" t="str">
        <x:v>Not extracted</x:v>
      </x:c>
      <x:c r="L203" s="5" t="str">
        <x:v>Not extracted</x:v>
      </x:c>
      <x:c r="M203" s="5" t="str">
        <x:v>Not extracted</x:v>
      </x:c>
      <x:c r="N203" s="5" t="str">
        <x:v>Not extracted</x:v>
      </x:c>
      <x:c r="O203" s="5" t="str">
        <x:v>Not extracted</x:v>
      </x:c>
      <x:c r="P203" s="5" t="str">
        <x:v>Not extracted</x:v>
      </x:c>
      <x:c r="Q203" s="5" t="str">
        <x:v>Not extracted</x:v>
      </x:c>
      <x:c r="R203" s="5" t="str">
        <x:v>Not extracted</x:v>
      </x:c>
      <x:c r="S203" s="5" t="str">
        <x:v>Not extracted</x:v>
      </x:c>
      <x:c r="T203" s="5" t="str">
        <x:v>Not assigned</x:v>
      </x:c>
      <x:c r="U203" s="8"/>
    </x:row>
    <x:row r="204" ht="40" customHeight="1">
      <x:c r="A204" s="5" t="str">
        <x:v>C0279</x:v>
      </x:c>
      <x:c r="B204" s="5" t="str">
        <x:v>Not extracted</x:v>
      </x:c>
      <x:c r="C204" s="5" t="str">
        <x:v>Not extracted</x:v>
      </x:c>
      <x:c r="D204" s="5" t="str">
        <x:v>Not extracted</x:v>
      </x:c>
      <x:c r="E204" s="5" t="str">
        <x:v>Not extracted</x:v>
      </x:c>
      <x:c r="F204" s="5" t="str">
        <x:v>Not extracted</x:v>
      </x:c>
      <x:c r="G204" s="5" t="str">
        <x:v>Not extracted</x:v>
      </x:c>
      <x:c r="H204" s="5" t="str">
        <x:v>Not extracted</x:v>
      </x:c>
      <x:c r="I204" s="5" t="str">
        <x:v>Not extracted</x:v>
      </x:c>
      <x:c r="J204" s="5" t="str">
        <x:v>Not extracted</x:v>
      </x:c>
      <x:c r="K204" s="5" t="str">
        <x:v>Not extracted</x:v>
      </x:c>
      <x:c r="L204" s="5" t="str">
        <x:v>Not extracted</x:v>
      </x:c>
      <x:c r="M204" s="5" t="str">
        <x:v>Not extracted</x:v>
      </x:c>
      <x:c r="N204" s="5" t="str">
        <x:v>Not extracted</x:v>
      </x:c>
      <x:c r="O204" s="5" t="str">
        <x:v>Not extracted</x:v>
      </x:c>
      <x:c r="P204" s="5" t="str">
        <x:v>Not extracted</x:v>
      </x:c>
      <x:c r="Q204" s="5" t="str">
        <x:v>Not extracted</x:v>
      </x:c>
      <x:c r="R204" s="5" t="str">
        <x:v>Not extracted</x:v>
      </x:c>
      <x:c r="S204" s="5" t="str">
        <x:v>Not extracted</x:v>
      </x:c>
      <x:c r="T204" s="5" t="str">
        <x:v>Not assigned</x:v>
      </x:c>
      <x:c r="U204" s="8"/>
    </x:row>
    <x:row r="205" ht="40" customHeight="1">
      <x:c r="A205" s="5" t="str">
        <x:v>C0280</x:v>
      </x:c>
      <x:c r="B205" s="5" t="str">
        <x:v>Not extracted</x:v>
      </x:c>
      <x:c r="C205" s="5" t="str">
        <x:v>Not extracted</x:v>
      </x:c>
      <x:c r="D205" s="5" t="str">
        <x:v>Not extracted</x:v>
      </x:c>
      <x:c r="E205" s="5" t="str">
        <x:v>Not extracted</x:v>
      </x:c>
      <x:c r="F205" s="5" t="str">
        <x:v>Not extracted</x:v>
      </x:c>
      <x:c r="G205" s="5" t="str">
        <x:v>Not extracted</x:v>
      </x:c>
      <x:c r="H205" s="5" t="str">
        <x:v>Not extracted</x:v>
      </x:c>
      <x:c r="I205" s="5" t="str">
        <x:v>Not extracted</x:v>
      </x:c>
      <x:c r="J205" s="5" t="str">
        <x:v>Not extracted</x:v>
      </x:c>
      <x:c r="K205" s="5" t="str">
        <x:v>Not extracted</x:v>
      </x:c>
      <x:c r="L205" s="5" t="str">
        <x:v>Not extracted</x:v>
      </x:c>
      <x:c r="M205" s="5" t="str">
        <x:v>Not extracted</x:v>
      </x:c>
      <x:c r="N205" s="5" t="str">
        <x:v>Not extracted</x:v>
      </x:c>
      <x:c r="O205" s="5" t="str">
        <x:v>Not extracted</x:v>
      </x:c>
      <x:c r="P205" s="5" t="str">
        <x:v>Not extracted</x:v>
      </x:c>
      <x:c r="Q205" s="5" t="str">
        <x:v>Not extracted</x:v>
      </x:c>
      <x:c r="R205" s="5" t="str">
        <x:v>Not extracted</x:v>
      </x:c>
      <x:c r="S205" s="5" t="str">
        <x:v>Not extracted</x:v>
      </x:c>
      <x:c r="T205" s="5" t="str">
        <x:v>Not assigned</x:v>
      </x:c>
      <x:c r="U205" s="8"/>
    </x:row>
    <x:row r="206" ht="40" customHeight="1">
      <x:c r="A206" s="5" t="str">
        <x:v>C0282</x:v>
      </x:c>
      <x:c r="B206" s="5" t="str">
        <x:v>Not extracted</x:v>
      </x:c>
      <x:c r="C206" s="5" t="str">
        <x:v>Not extracted</x:v>
      </x:c>
      <x:c r="D206" s="5" t="str">
        <x:v>Not extracted</x:v>
      </x:c>
      <x:c r="E206" s="5" t="str">
        <x:v>Not extracted</x:v>
      </x:c>
      <x:c r="F206" s="5" t="str">
        <x:v>Not extracted</x:v>
      </x:c>
      <x:c r="G206" s="5" t="str">
        <x:v>Not extracted</x:v>
      </x:c>
      <x:c r="H206" s="5" t="str">
        <x:v>Not extracted</x:v>
      </x:c>
      <x:c r="I206" s="5" t="str">
        <x:v>Not extracted</x:v>
      </x:c>
      <x:c r="J206" s="5" t="str">
        <x:v>Not extracted</x:v>
      </x:c>
      <x:c r="K206" s="5" t="str">
        <x:v>Not extracted</x:v>
      </x:c>
      <x:c r="L206" s="5" t="str">
        <x:v>Not extracted</x:v>
      </x:c>
      <x:c r="M206" s="5" t="str">
        <x:v>Not extracted</x:v>
      </x:c>
      <x:c r="N206" s="5" t="str">
        <x:v>Not extracted</x:v>
      </x:c>
      <x:c r="O206" s="5" t="str">
        <x:v>Not extracted</x:v>
      </x:c>
      <x:c r="P206" s="5" t="str">
        <x:v>Not extracted</x:v>
      </x:c>
      <x:c r="Q206" s="5" t="str">
        <x:v>Not extracted</x:v>
      </x:c>
      <x:c r="R206" s="5" t="str">
        <x:v>Not extracted</x:v>
      </x:c>
      <x:c r="S206" s="5" t="str">
        <x:v>Not extracted</x:v>
      </x:c>
      <x:c r="T206" s="5" t="str">
        <x:v>Not assigned</x:v>
      </x:c>
      <x:c r="U206" s="8"/>
    </x:row>
    <x:row r="207" ht="40" customHeight="1">
      <x:c r="A207" s="5" t="str">
        <x:v>C0288</x:v>
      </x:c>
      <x:c r="B207" s="5" t="str">
        <x:v>Not extracted</x:v>
      </x:c>
      <x:c r="C207" s="5" t="str">
        <x:v>Not extracted</x:v>
      </x:c>
      <x:c r="D207" s="5" t="str">
        <x:v>Not extracted</x:v>
      </x:c>
      <x:c r="E207" s="5" t="str">
        <x:v>Not extracted</x:v>
      </x:c>
      <x:c r="F207" s="5" t="str">
        <x:v>Not extracted</x:v>
      </x:c>
      <x:c r="G207" s="5" t="str">
        <x:v>Not extracted</x:v>
      </x:c>
      <x:c r="H207" s="5" t="str">
        <x:v>Not extracted</x:v>
      </x:c>
      <x:c r="I207" s="5" t="str">
        <x:v>Not extracted</x:v>
      </x:c>
      <x:c r="J207" s="5" t="str">
        <x:v>Not extracted</x:v>
      </x:c>
      <x:c r="K207" s="5" t="str">
        <x:v>Not extracted</x:v>
      </x:c>
      <x:c r="L207" s="5" t="str">
        <x:v>Not extracted</x:v>
      </x:c>
      <x:c r="M207" s="5" t="str">
        <x:v>Not extracted</x:v>
      </x:c>
      <x:c r="N207" s="5" t="str">
        <x:v>Not extracted</x:v>
      </x:c>
      <x:c r="O207" s="5" t="str">
        <x:v>Not extracted</x:v>
      </x:c>
      <x:c r="P207" s="5" t="str">
        <x:v>Not extracted</x:v>
      </x:c>
      <x:c r="Q207" s="5" t="str">
        <x:v>Not extracted</x:v>
      </x:c>
      <x:c r="R207" s="5" t="str">
        <x:v>Not extracted</x:v>
      </x:c>
      <x:c r="S207" s="5" t="str">
        <x:v>Not extracted</x:v>
      </x:c>
      <x:c r="T207" s="5" t="str">
        <x:v>Not assigned</x:v>
      </x:c>
      <x:c r="U207" s="8"/>
    </x:row>
    <x:row r="208" ht="40" customHeight="1">
      <x:c r="A208" s="5" t="str">
        <x:v>C0289</x:v>
      </x:c>
      <x:c r="B208" s="5" t="str">
        <x:v>Not extracted</x:v>
      </x:c>
      <x:c r="C208" s="5" t="str">
        <x:v>Not extracted</x:v>
      </x:c>
      <x:c r="D208" s="5" t="str">
        <x:v>Not extracted</x:v>
      </x:c>
      <x:c r="E208" s="5" t="str">
        <x:v>Not extracted</x:v>
      </x:c>
      <x:c r="F208" s="5" t="str">
        <x:v>Not extracted</x:v>
      </x:c>
      <x:c r="G208" s="5" t="str">
        <x:v>Not extracted</x:v>
      </x:c>
      <x:c r="H208" s="5" t="str">
        <x:v>Not extracted</x:v>
      </x:c>
      <x:c r="I208" s="5" t="str">
        <x:v>Not extracted</x:v>
      </x:c>
      <x:c r="J208" s="5" t="str">
        <x:v>Not extracted</x:v>
      </x:c>
      <x:c r="K208" s="5" t="str">
        <x:v>Not extracted</x:v>
      </x:c>
      <x:c r="L208" s="5" t="str">
        <x:v>Not extracted</x:v>
      </x:c>
      <x:c r="M208" s="5" t="str">
        <x:v>Not extracted</x:v>
      </x:c>
      <x:c r="N208" s="5" t="str">
        <x:v>Not extracted</x:v>
      </x:c>
      <x:c r="O208" s="5" t="str">
        <x:v>Not extracted</x:v>
      </x:c>
      <x:c r="P208" s="5" t="str">
        <x:v>Not extracted</x:v>
      </x:c>
      <x:c r="Q208" s="5" t="str">
        <x:v>Not extracted</x:v>
      </x:c>
      <x:c r="R208" s="5" t="str">
        <x:v>Not extracted</x:v>
      </x:c>
      <x:c r="S208" s="5" t="str">
        <x:v>Not extracted</x:v>
      </x:c>
      <x:c r="T208" s="5" t="str">
        <x:v>Not assigned</x:v>
      </x:c>
      <x:c r="U208" s="8"/>
    </x:row>
    <x:row r="209" ht="40" customHeight="1">
      <x:c r="A209" s="5" t="str">
        <x:v>C0290</x:v>
      </x:c>
      <x:c r="B209" s="5" t="str">
        <x:v>Not extracted</x:v>
      </x:c>
      <x:c r="C209" s="5" t="str">
        <x:v>Not extracted</x:v>
      </x:c>
      <x:c r="D209" s="5" t="str">
        <x:v>Not extracted</x:v>
      </x:c>
      <x:c r="E209" s="5" t="str">
        <x:v>Not extracted</x:v>
      </x:c>
      <x:c r="F209" s="5" t="str">
        <x:v>Not extracted</x:v>
      </x:c>
      <x:c r="G209" s="5" t="str">
        <x:v>Not extracted</x:v>
      </x:c>
      <x:c r="H209" s="5" t="str">
        <x:v>Not extracted</x:v>
      </x:c>
      <x:c r="I209" s="5" t="str">
        <x:v>Not extracted</x:v>
      </x:c>
      <x:c r="J209" s="5" t="str">
        <x:v>Not extracted</x:v>
      </x:c>
      <x:c r="K209" s="5" t="str">
        <x:v>Not extracted</x:v>
      </x:c>
      <x:c r="L209" s="5" t="str">
        <x:v>Not extracted</x:v>
      </x:c>
      <x:c r="M209" s="5" t="str">
        <x:v>Not extracted</x:v>
      </x:c>
      <x:c r="N209" s="5" t="str">
        <x:v>Not extracted</x:v>
      </x:c>
      <x:c r="O209" s="5" t="str">
        <x:v>Not extracted</x:v>
      </x:c>
      <x:c r="P209" s="5" t="str">
        <x:v>Not extracted</x:v>
      </x:c>
      <x:c r="Q209" s="5" t="str">
        <x:v>Not extracted</x:v>
      </x:c>
      <x:c r="R209" s="5" t="str">
        <x:v>Not extracted</x:v>
      </x:c>
      <x:c r="S209" s="5" t="str">
        <x:v>Not extracted</x:v>
      </x:c>
      <x:c r="T209" s="5" t="str">
        <x:v>Not assigned</x:v>
      </x:c>
      <x:c r="U209" s="8"/>
    </x:row>
    <x:row r="210" ht="40" customHeight="1">
      <x:c r="A210" s="5" t="str">
        <x:v>C0291</x:v>
      </x:c>
      <x:c r="B210" s="5" t="str">
        <x:v>Not extracted</x:v>
      </x:c>
      <x:c r="C210" s="5" t="str">
        <x:v>Not extracted</x:v>
      </x:c>
      <x:c r="D210" s="5" t="str">
        <x:v>Not extracted</x:v>
      </x:c>
      <x:c r="E210" s="5" t="str">
        <x:v>Not extracted</x:v>
      </x:c>
      <x:c r="F210" s="5" t="str">
        <x:v>Not extracted</x:v>
      </x:c>
      <x:c r="G210" s="5" t="str">
        <x:v>Not extracted</x:v>
      </x:c>
      <x:c r="H210" s="5" t="str">
        <x:v>Not extracted</x:v>
      </x:c>
      <x:c r="I210" s="5" t="str">
        <x:v>Not extracted</x:v>
      </x:c>
      <x:c r="J210" s="5" t="str">
        <x:v>Not extracted</x:v>
      </x:c>
      <x:c r="K210" s="5" t="str">
        <x:v>Not extracted</x:v>
      </x:c>
      <x:c r="L210" s="5" t="str">
        <x:v>Not extracted</x:v>
      </x:c>
      <x:c r="M210" s="5" t="str">
        <x:v>Not extracted</x:v>
      </x:c>
      <x:c r="N210" s="5" t="str">
        <x:v>Not extracted</x:v>
      </x:c>
      <x:c r="O210" s="5" t="str">
        <x:v>Not extracted</x:v>
      </x:c>
      <x:c r="P210" s="5" t="str">
        <x:v>Not extracted</x:v>
      </x:c>
      <x:c r="Q210" s="5" t="str">
        <x:v>Not extracted</x:v>
      </x:c>
      <x:c r="R210" s="5" t="str">
        <x:v>Not extracted</x:v>
      </x:c>
      <x:c r="S210" s="5" t="str">
        <x:v>Not extracted</x:v>
      </x:c>
      <x:c r="T210" s="5" t="str">
        <x:v>Not assigned</x:v>
      </x:c>
      <x:c r="U210" s="8"/>
    </x:row>
    <x:row r="211" ht="40" customHeight="1">
      <x:c r="A211" s="5" t="str">
        <x:v>C0293</x:v>
      </x:c>
      <x:c r="B211" s="5" t="str">
        <x:v>Not extracted</x:v>
      </x:c>
      <x:c r="C211" s="5" t="str">
        <x:v>Not extracted</x:v>
      </x:c>
      <x:c r="D211" s="5" t="str">
        <x:v>Not extracted</x:v>
      </x:c>
      <x:c r="E211" s="5" t="str">
        <x:v>Not extracted</x:v>
      </x:c>
      <x:c r="F211" s="5" t="str">
        <x:v>Not extracted</x:v>
      </x:c>
      <x:c r="G211" s="5" t="str">
        <x:v>Not extracted</x:v>
      </x:c>
      <x:c r="H211" s="5" t="str">
        <x:v>Not extracted</x:v>
      </x:c>
      <x:c r="I211" s="5" t="str">
        <x:v>Not extracted</x:v>
      </x:c>
      <x:c r="J211" s="5" t="str">
        <x:v>Not extracted</x:v>
      </x:c>
      <x:c r="K211" s="5" t="str">
        <x:v>Not extracted</x:v>
      </x:c>
      <x:c r="L211" s="5" t="str">
        <x:v>Not extracted</x:v>
      </x:c>
      <x:c r="M211" s="5" t="str">
        <x:v>Not extracted</x:v>
      </x:c>
      <x:c r="N211" s="5" t="str">
        <x:v>Not extracted</x:v>
      </x:c>
      <x:c r="O211" s="5" t="str">
        <x:v>Not extracted</x:v>
      </x:c>
      <x:c r="P211" s="5" t="str">
        <x:v>Not extracted</x:v>
      </x:c>
      <x:c r="Q211" s="5" t="str">
        <x:v>Not extracted</x:v>
      </x:c>
      <x:c r="R211" s="5" t="str">
        <x:v>Not extracted</x:v>
      </x:c>
      <x:c r="S211" s="5" t="str">
        <x:v>Not extracted</x:v>
      </x:c>
      <x:c r="T211" s="5" t="str">
        <x:v>Not assigned</x:v>
      </x:c>
      <x:c r="U211" s="8"/>
    </x:row>
    <x:row r="212" ht="40" customHeight="1">
      <x:c r="A212" s="5" t="str">
        <x:v>C0294</x:v>
      </x:c>
      <x:c r="B212" s="5" t="str">
        <x:v>Not extracted</x:v>
      </x:c>
      <x:c r="C212" s="5" t="str">
        <x:v>Not extracted</x:v>
      </x:c>
      <x:c r="D212" s="5" t="str">
        <x:v>Not extracted</x:v>
      </x:c>
      <x:c r="E212" s="5" t="str">
        <x:v>Not extracted</x:v>
      </x:c>
      <x:c r="F212" s="5" t="str">
        <x:v>Not extracted</x:v>
      </x:c>
      <x:c r="G212" s="5" t="str">
        <x:v>Not extracted</x:v>
      </x:c>
      <x:c r="H212" s="5" t="str">
        <x:v>Not extracted</x:v>
      </x:c>
      <x:c r="I212" s="5" t="str">
        <x:v>Not extracted</x:v>
      </x:c>
      <x:c r="J212" s="5" t="str">
        <x:v>Not extracted</x:v>
      </x:c>
      <x:c r="K212" s="5" t="str">
        <x:v>Not extracted</x:v>
      </x:c>
      <x:c r="L212" s="5" t="str">
        <x:v>Not extracted</x:v>
      </x:c>
      <x:c r="M212" s="5" t="str">
        <x:v>Not extracted</x:v>
      </x:c>
      <x:c r="N212" s="5" t="str">
        <x:v>Not extracted</x:v>
      </x:c>
      <x:c r="O212" s="5" t="str">
        <x:v>Not extracted</x:v>
      </x:c>
      <x:c r="P212" s="5" t="str">
        <x:v>Not extracted</x:v>
      </x:c>
      <x:c r="Q212" s="5" t="str">
        <x:v>Not extracted</x:v>
      </x:c>
      <x:c r="R212" s="5" t="str">
        <x:v>Not extracted</x:v>
      </x:c>
      <x:c r="S212" s="5" t="str">
        <x:v>Not extracted</x:v>
      </x:c>
      <x:c r="T212" s="5" t="str">
        <x:v>Not assigned</x:v>
      </x:c>
      <x:c r="U212" s="8"/>
    </x:row>
    <x:row r="213" ht="40" customHeight="1">
      <x:c r="A213" s="5" t="str">
        <x:v>C0295</x:v>
      </x:c>
      <x:c r="B213" s="5" t="str">
        <x:v>Not extracted</x:v>
      </x:c>
      <x:c r="C213" s="5" t="str">
        <x:v>Not extracted</x:v>
      </x:c>
      <x:c r="D213" s="5" t="str">
        <x:v>Not extracted</x:v>
      </x:c>
      <x:c r="E213" s="5" t="str">
        <x:v>Not extracted</x:v>
      </x:c>
      <x:c r="F213" s="5" t="str">
        <x:v>Not extracted</x:v>
      </x:c>
      <x:c r="G213" s="5" t="str">
        <x:v>Not extracted</x:v>
      </x:c>
      <x:c r="H213" s="5" t="str">
        <x:v>Not extracted</x:v>
      </x:c>
      <x:c r="I213" s="5" t="str">
        <x:v>Not extracted</x:v>
      </x:c>
      <x:c r="J213" s="5" t="str">
        <x:v>Not extracted</x:v>
      </x:c>
      <x:c r="K213" s="5" t="str">
        <x:v>Not extracted</x:v>
      </x:c>
      <x:c r="L213" s="5" t="str">
        <x:v>Not extracted</x:v>
      </x:c>
      <x:c r="M213" s="5" t="str">
        <x:v>Not extracted</x:v>
      </x:c>
      <x:c r="N213" s="5" t="str">
        <x:v>Not extracted</x:v>
      </x:c>
      <x:c r="O213" s="5" t="str">
        <x:v>Not extracted</x:v>
      </x:c>
      <x:c r="P213" s="5" t="str">
        <x:v>Not extracted</x:v>
      </x:c>
      <x:c r="Q213" s="5" t="str">
        <x:v>Not extracted</x:v>
      </x:c>
      <x:c r="R213" s="5" t="str">
        <x:v>Not extracted</x:v>
      </x:c>
      <x:c r="S213" s="5" t="str">
        <x:v>Not extracted</x:v>
      </x:c>
      <x:c r="T213" s="5" t="str">
        <x:v>Not assigned</x:v>
      </x:c>
      <x:c r="U213" s="8"/>
    </x:row>
    <x:row r="214" ht="40" customHeight="1">
      <x:c r="A214" s="5" t="str">
        <x:v>C0296</x:v>
      </x:c>
      <x:c r="B214" s="5" t="str">
        <x:v>Not extracted</x:v>
      </x:c>
      <x:c r="C214" s="5" t="str">
        <x:v>Not extracted</x:v>
      </x:c>
      <x:c r="D214" s="5" t="str">
        <x:v>Not extracted</x:v>
      </x:c>
      <x:c r="E214" s="5" t="str">
        <x:v>Not extracted</x:v>
      </x:c>
      <x:c r="F214" s="5" t="str">
        <x:v>Not extracted</x:v>
      </x:c>
      <x:c r="G214" s="5" t="str">
        <x:v>Not extracted</x:v>
      </x:c>
      <x:c r="H214" s="5" t="str">
        <x:v>Not extracted</x:v>
      </x:c>
      <x:c r="I214" s="5" t="str">
        <x:v>Not extracted</x:v>
      </x:c>
      <x:c r="J214" s="5" t="str">
        <x:v>Not extracted</x:v>
      </x:c>
      <x:c r="K214" s="5" t="str">
        <x:v>Not extracted</x:v>
      </x:c>
      <x:c r="L214" s="5" t="str">
        <x:v>Not extracted</x:v>
      </x:c>
      <x:c r="M214" s="5" t="str">
        <x:v>Not extracted</x:v>
      </x:c>
      <x:c r="N214" s="5" t="str">
        <x:v>Not extracted</x:v>
      </x:c>
      <x:c r="O214" s="5" t="str">
        <x:v>Not extracted</x:v>
      </x:c>
      <x:c r="P214" s="5" t="str">
        <x:v>Not extracted</x:v>
      </x:c>
      <x:c r="Q214" s="5" t="str">
        <x:v>Not extracted</x:v>
      </x:c>
      <x:c r="R214" s="5" t="str">
        <x:v>Not extracted</x:v>
      </x:c>
      <x:c r="S214" s="5" t="str">
        <x:v>Not extracted</x:v>
      </x:c>
      <x:c r="T214" s="5" t="str">
        <x:v>Not assigned</x:v>
      </x:c>
      <x:c r="U214" s="8"/>
    </x:row>
    <x:row r="215" ht="40" customHeight="1">
      <x:c r="A215" s="5" t="str">
        <x:v>C0298</x:v>
      </x:c>
      <x:c r="B215" s="5" t="str">
        <x:v>Not extracted</x:v>
      </x:c>
      <x:c r="C215" s="5" t="str">
        <x:v>Not extracted</x:v>
      </x:c>
      <x:c r="D215" s="5" t="str">
        <x:v>Not extracted</x:v>
      </x:c>
      <x:c r="E215" s="5" t="str">
        <x:v>Not extracted</x:v>
      </x:c>
      <x:c r="F215" s="5" t="str">
        <x:v>Not extracted</x:v>
      </x:c>
      <x:c r="G215" s="5" t="str">
        <x:v>Not extracted</x:v>
      </x:c>
      <x:c r="H215" s="5" t="str">
        <x:v>Not extracted</x:v>
      </x:c>
      <x:c r="I215" s="5" t="str">
        <x:v>Not extracted</x:v>
      </x:c>
      <x:c r="J215" s="5" t="str">
        <x:v>Not extracted</x:v>
      </x:c>
      <x:c r="K215" s="5" t="str">
        <x:v>Not extracted</x:v>
      </x:c>
      <x:c r="L215" s="5" t="str">
        <x:v>Not extracted</x:v>
      </x:c>
      <x:c r="M215" s="5" t="str">
        <x:v>Not extracted</x:v>
      </x:c>
      <x:c r="N215" s="5" t="str">
        <x:v>Not extracted</x:v>
      </x:c>
      <x:c r="O215" s="5" t="str">
        <x:v>Not extracted</x:v>
      </x:c>
      <x:c r="P215" s="5" t="str">
        <x:v>Not extracted</x:v>
      </x:c>
      <x:c r="Q215" s="5" t="str">
        <x:v>Not extracted</x:v>
      </x:c>
      <x:c r="R215" s="5" t="str">
        <x:v>Not extracted</x:v>
      </x:c>
      <x:c r="S215" s="5" t="str">
        <x:v>Not extracted</x:v>
      </x:c>
      <x:c r="T215" s="5" t="str">
        <x:v>Not assigned</x:v>
      </x:c>
      <x:c r="U215" s="8"/>
    </x:row>
    <x:row r="216" ht="40" customHeight="1">
      <x:c r="A216" s="5" t="str">
        <x:v>C0300</x:v>
      </x:c>
      <x:c r="B216" s="5" t="str">
        <x:v>Not extracted</x:v>
      </x:c>
      <x:c r="C216" s="5" t="str">
        <x:v>Not extracted</x:v>
      </x:c>
      <x:c r="D216" s="5" t="str">
        <x:v>Not extracted</x:v>
      </x:c>
      <x:c r="E216" s="5" t="str">
        <x:v>Not extracted</x:v>
      </x:c>
      <x:c r="F216" s="5" t="str">
        <x:v>Not extracted</x:v>
      </x:c>
      <x:c r="G216" s="5" t="str">
        <x:v>Not extracted</x:v>
      </x:c>
      <x:c r="H216" s="5" t="str">
        <x:v>Not extracted</x:v>
      </x:c>
      <x:c r="I216" s="5" t="str">
        <x:v>Not extracted</x:v>
      </x:c>
      <x:c r="J216" s="5" t="str">
        <x:v>Not extracted</x:v>
      </x:c>
      <x:c r="K216" s="5" t="str">
        <x:v>Not extracted</x:v>
      </x:c>
      <x:c r="L216" s="5" t="str">
        <x:v>Not extracted</x:v>
      </x:c>
      <x:c r="M216" s="5" t="str">
        <x:v>Not extracted</x:v>
      </x:c>
      <x:c r="N216" s="5" t="str">
        <x:v>Not extracted</x:v>
      </x:c>
      <x:c r="O216" s="5" t="str">
        <x:v>Not extracted</x:v>
      </x:c>
      <x:c r="P216" s="5" t="str">
        <x:v>Not extracted</x:v>
      </x:c>
      <x:c r="Q216" s="5" t="str">
        <x:v>Not extracted</x:v>
      </x:c>
      <x:c r="R216" s="5" t="str">
        <x:v>Not extracted</x:v>
      </x:c>
      <x:c r="S216" s="5" t="str">
        <x:v>Not extracted</x:v>
      </x:c>
      <x:c r="T216" s="5" t="str">
        <x:v>Not assigned</x:v>
      </x:c>
      <x:c r="U216" s="8"/>
    </x:row>
    <x:row r="217" ht="40" customHeight="1">
      <x:c r="A217" s="5" t="str">
        <x:v>C0301</x:v>
      </x:c>
      <x:c r="B217" s="5" t="str">
        <x:v>Not extracted</x:v>
      </x:c>
      <x:c r="C217" s="5" t="str">
        <x:v>Not extracted</x:v>
      </x:c>
      <x:c r="D217" s="5" t="str">
        <x:v>Not extracted</x:v>
      </x:c>
      <x:c r="E217" s="5" t="str">
        <x:v>Not extracted</x:v>
      </x:c>
      <x:c r="F217" s="5" t="str">
        <x:v>Not extracted</x:v>
      </x:c>
      <x:c r="G217" s="5" t="str">
        <x:v>Not extracted</x:v>
      </x:c>
      <x:c r="H217" s="5" t="str">
        <x:v>Not extracted</x:v>
      </x:c>
      <x:c r="I217" s="5" t="str">
        <x:v>Not extracted</x:v>
      </x:c>
      <x:c r="J217" s="5" t="str">
        <x:v>Not extracted</x:v>
      </x:c>
      <x:c r="K217" s="5" t="str">
        <x:v>Not extracted</x:v>
      </x:c>
      <x:c r="L217" s="5" t="str">
        <x:v>Not extracted</x:v>
      </x:c>
      <x:c r="M217" s="5" t="str">
        <x:v>Not extracted</x:v>
      </x:c>
      <x:c r="N217" s="5" t="str">
        <x:v>Not extracted</x:v>
      </x:c>
      <x:c r="O217" s="5" t="str">
        <x:v>Not extracted</x:v>
      </x:c>
      <x:c r="P217" s="5" t="str">
        <x:v>Not extracted</x:v>
      </x:c>
      <x:c r="Q217" s="5" t="str">
        <x:v>Not extracted</x:v>
      </x:c>
      <x:c r="R217" s="5" t="str">
        <x:v>Not extracted</x:v>
      </x:c>
      <x:c r="S217" s="5" t="str">
        <x:v>Not extracted</x:v>
      </x:c>
      <x:c r="T217" s="5" t="str">
        <x:v>Not assigned</x:v>
      </x:c>
      <x:c r="U217" s="8"/>
    </x:row>
    <x:row r="218" ht="40" customHeight="1">
      <x:c r="A218" s="5" t="str">
        <x:v>C0305</x:v>
      </x:c>
      <x:c r="B218" s="5" t="str">
        <x:v>Not extracted</x:v>
      </x:c>
      <x:c r="C218" s="5" t="str">
        <x:v>Not extracted</x:v>
      </x:c>
      <x:c r="D218" s="5" t="str">
        <x:v>Not extracted</x:v>
      </x:c>
      <x:c r="E218" s="5" t="str">
        <x:v>Not extracted</x:v>
      </x:c>
      <x:c r="F218" s="5" t="str">
        <x:v>Not extracted</x:v>
      </x:c>
      <x:c r="G218" s="5" t="str">
        <x:v>Not extracted</x:v>
      </x:c>
      <x:c r="H218" s="5" t="str">
        <x:v>Not extracted</x:v>
      </x:c>
      <x:c r="I218" s="5" t="str">
        <x:v>Not extracted</x:v>
      </x:c>
      <x:c r="J218" s="5" t="str">
        <x:v>Not extracted</x:v>
      </x:c>
      <x:c r="K218" s="5" t="str">
        <x:v>Not extracted</x:v>
      </x:c>
      <x:c r="L218" s="5" t="str">
        <x:v>Not extracted</x:v>
      </x:c>
      <x:c r="M218" s="5" t="str">
        <x:v>Not extracted</x:v>
      </x:c>
      <x:c r="N218" s="5" t="str">
        <x:v>Not extracted</x:v>
      </x:c>
      <x:c r="O218" s="5" t="str">
        <x:v>Not extracted</x:v>
      </x:c>
      <x:c r="P218" s="5" t="str">
        <x:v>Not extracted</x:v>
      </x:c>
      <x:c r="Q218" s="5" t="str">
        <x:v>Not extracted</x:v>
      </x:c>
      <x:c r="R218" s="5" t="str">
        <x:v>Not extracted</x:v>
      </x:c>
      <x:c r="S218" s="5" t="str">
        <x:v>Not extracted</x:v>
      </x:c>
      <x:c r="T218" s="5" t="str">
        <x:v>Not assigned</x:v>
      </x:c>
      <x:c r="U218" s="8"/>
    </x:row>
    <x:row r="219" ht="40" customHeight="1">
      <x:c r="A219" s="5" t="str">
        <x:v>C0306</x:v>
      </x:c>
      <x:c r="B219" s="5" t="str">
        <x:v>Not extracted</x:v>
      </x:c>
      <x:c r="C219" s="5" t="str">
        <x:v>Not extracted</x:v>
      </x:c>
      <x:c r="D219" s="5" t="str">
        <x:v>Not extracted</x:v>
      </x:c>
      <x:c r="E219" s="5" t="str">
        <x:v>Not extracted</x:v>
      </x:c>
      <x:c r="F219" s="5" t="str">
        <x:v>Not extracted</x:v>
      </x:c>
      <x:c r="G219" s="5" t="str">
        <x:v>Not extracted</x:v>
      </x:c>
      <x:c r="H219" s="5" t="str">
        <x:v>Not extracted</x:v>
      </x:c>
      <x:c r="I219" s="5" t="str">
        <x:v>Not extracted</x:v>
      </x:c>
      <x:c r="J219" s="5" t="str">
        <x:v>Not extracted</x:v>
      </x:c>
      <x:c r="K219" s="5" t="str">
        <x:v>Not extracted</x:v>
      </x:c>
      <x:c r="L219" s="5" t="str">
        <x:v>Not extracted</x:v>
      </x:c>
      <x:c r="M219" s="5" t="str">
        <x:v>Not extracted</x:v>
      </x:c>
      <x:c r="N219" s="5" t="str">
        <x:v>Not extracted</x:v>
      </x:c>
      <x:c r="O219" s="5" t="str">
        <x:v>Not extracted</x:v>
      </x:c>
      <x:c r="P219" s="5" t="str">
        <x:v>Not extracted</x:v>
      </x:c>
      <x:c r="Q219" s="5" t="str">
        <x:v>Not extracted</x:v>
      </x:c>
      <x:c r="R219" s="5" t="str">
        <x:v>Not extracted</x:v>
      </x:c>
      <x:c r="S219" s="5" t="str">
        <x:v>Not extracted</x:v>
      </x:c>
      <x:c r="T219" s="5" t="str">
        <x:v>Not assigned</x:v>
      </x:c>
      <x:c r="U219" s="8"/>
    </x:row>
    <x:row r="220" ht="40" customHeight="1">
      <x:c r="A220" s="5" t="str">
        <x:v>C0307</x:v>
      </x:c>
      <x:c r="B220" s="5" t="str">
        <x:v>Not extracted</x:v>
      </x:c>
      <x:c r="C220" s="5" t="str">
        <x:v>Not extracted</x:v>
      </x:c>
      <x:c r="D220" s="5" t="str">
        <x:v>Not extracted</x:v>
      </x:c>
      <x:c r="E220" s="5" t="str">
        <x:v>Not extracted</x:v>
      </x:c>
      <x:c r="F220" s="5" t="str">
        <x:v>Not extracted</x:v>
      </x:c>
      <x:c r="G220" s="5" t="str">
        <x:v>Not extracted</x:v>
      </x:c>
      <x:c r="H220" s="5" t="str">
        <x:v>Not extracted</x:v>
      </x:c>
      <x:c r="I220" s="5" t="str">
        <x:v>Not extracted</x:v>
      </x:c>
      <x:c r="J220" s="5" t="str">
        <x:v>Not extracted</x:v>
      </x:c>
      <x:c r="K220" s="5" t="str">
        <x:v>Not extracted</x:v>
      </x:c>
      <x:c r="L220" s="5" t="str">
        <x:v>Not extracted</x:v>
      </x:c>
      <x:c r="M220" s="5" t="str">
        <x:v>Not extracted</x:v>
      </x:c>
      <x:c r="N220" s="5" t="str">
        <x:v>Not extracted</x:v>
      </x:c>
      <x:c r="O220" s="5" t="str">
        <x:v>Not extracted</x:v>
      </x:c>
      <x:c r="P220" s="5" t="str">
        <x:v>Not extracted</x:v>
      </x:c>
      <x:c r="Q220" s="5" t="str">
        <x:v>Not extracted</x:v>
      </x:c>
      <x:c r="R220" s="5" t="str">
        <x:v>Not extracted</x:v>
      </x:c>
      <x:c r="S220" s="5" t="str">
        <x:v>Not extracted</x:v>
      </x:c>
      <x:c r="T220" s="5" t="str">
        <x:v>Not assigned</x:v>
      </x:c>
      <x:c r="U220" s="8"/>
    </x:row>
    <x:row r="221" ht="40" customHeight="1">
      <x:c r="A221" s="5" t="str">
        <x:v>C0309</x:v>
      </x:c>
      <x:c r="B221" s="5" t="str">
        <x:v>Not extracted</x:v>
      </x:c>
      <x:c r="C221" s="5" t="str">
        <x:v>Not extracted</x:v>
      </x:c>
      <x:c r="D221" s="5" t="str">
        <x:v>Not extracted</x:v>
      </x:c>
      <x:c r="E221" s="5" t="str">
        <x:v>Not extracted</x:v>
      </x:c>
      <x:c r="F221" s="5" t="str">
        <x:v>Not extracted</x:v>
      </x:c>
      <x:c r="G221" s="5" t="str">
        <x:v>Not extracted</x:v>
      </x:c>
      <x:c r="H221" s="5" t="str">
        <x:v>Not extracted</x:v>
      </x:c>
      <x:c r="I221" s="5" t="str">
        <x:v>Not extracted</x:v>
      </x:c>
      <x:c r="J221" s="5" t="str">
        <x:v>Not extracted</x:v>
      </x:c>
      <x:c r="K221" s="5" t="str">
        <x:v>Not extracted</x:v>
      </x:c>
      <x:c r="L221" s="5" t="str">
        <x:v>Not extracted</x:v>
      </x:c>
      <x:c r="M221" s="5" t="str">
        <x:v>Not extracted</x:v>
      </x:c>
      <x:c r="N221" s="5" t="str">
        <x:v>Not extracted</x:v>
      </x:c>
      <x:c r="O221" s="5" t="str">
        <x:v>Not extracted</x:v>
      </x:c>
      <x:c r="P221" s="5" t="str">
        <x:v>Not extracted</x:v>
      </x:c>
      <x:c r="Q221" s="5" t="str">
        <x:v>Not extracted</x:v>
      </x:c>
      <x:c r="R221" s="5" t="str">
        <x:v>Not extracted</x:v>
      </x:c>
      <x:c r="S221" s="5" t="str">
        <x:v>Not extracted</x:v>
      </x:c>
      <x:c r="T221" s="5" t="str">
        <x:v>Not assigned</x:v>
      </x:c>
      <x:c r="U221" s="8"/>
    </x:row>
    <x:row r="222" ht="40" customHeight="1">
      <x:c r="A222" s="5" t="str">
        <x:v>C0310</x:v>
      </x:c>
      <x:c r="B222" s="5" t="str">
        <x:v>Not extracted</x:v>
      </x:c>
      <x:c r="C222" s="5" t="str">
        <x:v>Not extracted</x:v>
      </x:c>
      <x:c r="D222" s="5" t="str">
        <x:v>Not extracted</x:v>
      </x:c>
      <x:c r="E222" s="5" t="str">
        <x:v>Not extracted</x:v>
      </x:c>
      <x:c r="F222" s="5" t="str">
        <x:v>Not extracted</x:v>
      </x:c>
      <x:c r="G222" s="5" t="str">
        <x:v>Not extracted</x:v>
      </x:c>
      <x:c r="H222" s="5" t="str">
        <x:v>Not extracted</x:v>
      </x:c>
      <x:c r="I222" s="5" t="str">
        <x:v>Not extracted</x:v>
      </x:c>
      <x:c r="J222" s="5" t="str">
        <x:v>Not extracted</x:v>
      </x:c>
      <x:c r="K222" s="5" t="str">
        <x:v>Not extracted</x:v>
      </x:c>
      <x:c r="L222" s="5" t="str">
        <x:v>Not extracted</x:v>
      </x:c>
      <x:c r="M222" s="5" t="str">
        <x:v>Not extracted</x:v>
      </x:c>
      <x:c r="N222" s="5" t="str">
        <x:v>Not extracted</x:v>
      </x:c>
      <x:c r="O222" s="5" t="str">
        <x:v>Not extracted</x:v>
      </x:c>
      <x:c r="P222" s="5" t="str">
        <x:v>Not extracted</x:v>
      </x:c>
      <x:c r="Q222" s="5" t="str">
        <x:v>Not extracted</x:v>
      </x:c>
      <x:c r="R222" s="5" t="str">
        <x:v>Not extracted</x:v>
      </x:c>
      <x:c r="S222" s="5" t="str">
        <x:v>Not extracted</x:v>
      </x:c>
      <x:c r="T222" s="5" t="str">
        <x:v>Not assigned</x:v>
      </x:c>
      <x:c r="U222" s="8"/>
    </x:row>
    <x:row r="223" ht="40" customHeight="1">
      <x:c r="A223" s="5" t="str">
        <x:v>C0311</x:v>
      </x:c>
      <x:c r="B223" s="5" t="str">
        <x:v>Not extracted</x:v>
      </x:c>
      <x:c r="C223" s="5" t="str">
        <x:v>Not extracted</x:v>
      </x:c>
      <x:c r="D223" s="5" t="str">
        <x:v>Not extracted</x:v>
      </x:c>
      <x:c r="E223" s="5" t="str">
        <x:v>Not extracted</x:v>
      </x:c>
      <x:c r="F223" s="5" t="str">
        <x:v>Not extracted</x:v>
      </x:c>
      <x:c r="G223" s="5" t="str">
        <x:v>Not extracted</x:v>
      </x:c>
      <x:c r="H223" s="5" t="str">
        <x:v>Not extracted</x:v>
      </x:c>
      <x:c r="I223" s="5" t="str">
        <x:v>Not extracted</x:v>
      </x:c>
      <x:c r="J223" s="5" t="str">
        <x:v>Not extracted</x:v>
      </x:c>
      <x:c r="K223" s="5" t="str">
        <x:v>Not extracted</x:v>
      </x:c>
      <x:c r="L223" s="5" t="str">
        <x:v>Not extracted</x:v>
      </x:c>
      <x:c r="M223" s="5" t="str">
        <x:v>Not extracted</x:v>
      </x:c>
      <x:c r="N223" s="5" t="str">
        <x:v>Not extracted</x:v>
      </x:c>
      <x:c r="O223" s="5" t="str">
        <x:v>Not extracted</x:v>
      </x:c>
      <x:c r="P223" s="5" t="str">
        <x:v>Not extracted</x:v>
      </x:c>
      <x:c r="Q223" s="5" t="str">
        <x:v>Not extracted</x:v>
      </x:c>
      <x:c r="R223" s="5" t="str">
        <x:v>Not extracted</x:v>
      </x:c>
      <x:c r="S223" s="5" t="str">
        <x:v>Not extracted</x:v>
      </x:c>
      <x:c r="T223" s="5" t="str">
        <x:v>Not assigned</x:v>
      </x:c>
      <x:c r="U223" s="8"/>
    </x:row>
    <x:row r="224" ht="40" customHeight="1">
      <x:c r="A224" s="5" t="str">
        <x:v>C0312</x:v>
      </x:c>
      <x:c r="B224" s="5" t="str">
        <x:v>Not extracted</x:v>
      </x:c>
      <x:c r="C224" s="5" t="str">
        <x:v>Not extracted</x:v>
      </x:c>
      <x:c r="D224" s="5" t="str">
        <x:v>Not extracted</x:v>
      </x:c>
      <x:c r="E224" s="5" t="str">
        <x:v>Not extracted</x:v>
      </x:c>
      <x:c r="F224" s="5" t="str">
        <x:v>Not extracted</x:v>
      </x:c>
      <x:c r="G224" s="5" t="str">
        <x:v>Not extracted</x:v>
      </x:c>
      <x:c r="H224" s="5" t="str">
        <x:v>Not extracted</x:v>
      </x:c>
      <x:c r="I224" s="5" t="str">
        <x:v>Not extracted</x:v>
      </x:c>
      <x:c r="J224" s="5" t="str">
        <x:v>Not extracted</x:v>
      </x:c>
      <x:c r="K224" s="5" t="str">
        <x:v>Not extracted</x:v>
      </x:c>
      <x:c r="L224" s="5" t="str">
        <x:v>Not extracted</x:v>
      </x:c>
      <x:c r="M224" s="5" t="str">
        <x:v>Not extracted</x:v>
      </x:c>
      <x:c r="N224" s="5" t="str">
        <x:v>Not extracted</x:v>
      </x:c>
      <x:c r="O224" s="5" t="str">
        <x:v>Not extracted</x:v>
      </x:c>
      <x:c r="P224" s="5" t="str">
        <x:v>Not extracted</x:v>
      </x:c>
      <x:c r="Q224" s="5" t="str">
        <x:v>Not extracted</x:v>
      </x:c>
      <x:c r="R224" s="5" t="str">
        <x:v>Not extracted</x:v>
      </x:c>
      <x:c r="S224" s="5" t="str">
        <x:v>Not extracted</x:v>
      </x:c>
      <x:c r="T224" s="5" t="str">
        <x:v>Not assigned</x:v>
      </x:c>
      <x:c r="U224" s="8"/>
    </x:row>
    <x:row r="225" ht="40" customHeight="1">
      <x:c r="A225" s="5" t="str">
        <x:v>C0313</x:v>
      </x:c>
      <x:c r="B225" s="5" t="str">
        <x:v>Not extracted</x:v>
      </x:c>
      <x:c r="C225" s="5" t="str">
        <x:v>Not extracted</x:v>
      </x:c>
      <x:c r="D225" s="5" t="str">
        <x:v>Not extracted</x:v>
      </x:c>
      <x:c r="E225" s="5" t="str">
        <x:v>Not extracted</x:v>
      </x:c>
      <x:c r="F225" s="5" t="str">
        <x:v>Not extracted</x:v>
      </x:c>
      <x:c r="G225" s="5" t="str">
        <x:v>Not extracted</x:v>
      </x:c>
      <x:c r="H225" s="5" t="str">
        <x:v>Not extracted</x:v>
      </x:c>
      <x:c r="I225" s="5" t="str">
        <x:v>Not extracted</x:v>
      </x:c>
      <x:c r="J225" s="5" t="str">
        <x:v>Not extracted</x:v>
      </x:c>
      <x:c r="K225" s="5" t="str">
        <x:v>Not extracted</x:v>
      </x:c>
      <x:c r="L225" s="5" t="str">
        <x:v>Not extracted</x:v>
      </x:c>
      <x:c r="M225" s="5" t="str">
        <x:v>Not extracted</x:v>
      </x:c>
      <x:c r="N225" s="5" t="str">
        <x:v>Not extracted</x:v>
      </x:c>
      <x:c r="O225" s="5" t="str">
        <x:v>Not extracted</x:v>
      </x:c>
      <x:c r="P225" s="5" t="str">
        <x:v>Not extracted</x:v>
      </x:c>
      <x:c r="Q225" s="5" t="str">
        <x:v>Not extracted</x:v>
      </x:c>
      <x:c r="R225" s="5" t="str">
        <x:v>Not extracted</x:v>
      </x:c>
      <x:c r="S225" s="5" t="str">
        <x:v>Not extracted</x:v>
      </x:c>
      <x:c r="T225" s="5" t="str">
        <x:v>Not assigned</x:v>
      </x:c>
      <x:c r="U225" s="8"/>
    </x:row>
    <x:row r="226" ht="40" customHeight="1">
      <x:c r="A226" s="5" t="str">
        <x:v>C0314</x:v>
      </x:c>
      <x:c r="B226" s="5" t="str">
        <x:v>Not extracted</x:v>
      </x:c>
      <x:c r="C226" s="5" t="str">
        <x:v>Not extracted</x:v>
      </x:c>
      <x:c r="D226" s="5" t="str">
        <x:v>Not extracted</x:v>
      </x:c>
      <x:c r="E226" s="5" t="str">
        <x:v>Not extracted</x:v>
      </x:c>
      <x:c r="F226" s="5" t="str">
        <x:v>Not extracted</x:v>
      </x:c>
      <x:c r="G226" s="5" t="str">
        <x:v>Not extracted</x:v>
      </x:c>
      <x:c r="H226" s="5" t="str">
        <x:v>Not extracted</x:v>
      </x:c>
      <x:c r="I226" s="5" t="str">
        <x:v>Not extracted</x:v>
      </x:c>
      <x:c r="J226" s="5" t="str">
        <x:v>Not extracted</x:v>
      </x:c>
      <x:c r="K226" s="5" t="str">
        <x:v>Not extracted</x:v>
      </x:c>
      <x:c r="L226" s="5" t="str">
        <x:v>Not extracted</x:v>
      </x:c>
      <x:c r="M226" s="5" t="str">
        <x:v>Not extracted</x:v>
      </x:c>
      <x:c r="N226" s="5" t="str">
        <x:v>Not extracted</x:v>
      </x:c>
      <x:c r="O226" s="5" t="str">
        <x:v>Not extracted</x:v>
      </x:c>
      <x:c r="P226" s="5" t="str">
        <x:v>Not extracted</x:v>
      </x:c>
      <x:c r="Q226" s="5" t="str">
        <x:v>Not extracted</x:v>
      </x:c>
      <x:c r="R226" s="5" t="str">
        <x:v>Not extracted</x:v>
      </x:c>
      <x:c r="S226" s="5" t="str">
        <x:v>Not extracted</x:v>
      </x:c>
      <x:c r="T226" s="5" t="str">
        <x:v>Not assigned</x:v>
      </x:c>
      <x:c r="U226" s="8"/>
    </x:row>
    <x:row r="227" ht="40" customHeight="1">
      <x:c r="A227" s="5" t="str">
        <x:v>C0315</x:v>
      </x:c>
      <x:c r="B227" s="5" t="str">
        <x:v>Not extracted</x:v>
      </x:c>
      <x:c r="C227" s="5" t="str">
        <x:v>Not extracted</x:v>
      </x:c>
      <x:c r="D227" s="5" t="str">
        <x:v>Not extracted</x:v>
      </x:c>
      <x:c r="E227" s="5" t="str">
        <x:v>Not extracted</x:v>
      </x:c>
      <x:c r="F227" s="5" t="str">
        <x:v>Not extracted</x:v>
      </x:c>
      <x:c r="G227" s="5" t="str">
        <x:v>Not extracted</x:v>
      </x:c>
      <x:c r="H227" s="5" t="str">
        <x:v>Not extracted</x:v>
      </x:c>
      <x:c r="I227" s="5" t="str">
        <x:v>Not extracted</x:v>
      </x:c>
      <x:c r="J227" s="5" t="str">
        <x:v>Not extracted</x:v>
      </x:c>
      <x:c r="K227" s="5" t="str">
        <x:v>Not extracted</x:v>
      </x:c>
      <x:c r="L227" s="5" t="str">
        <x:v>Not extracted</x:v>
      </x:c>
      <x:c r="M227" s="5" t="str">
        <x:v>Not extracted</x:v>
      </x:c>
      <x:c r="N227" s="5" t="str">
        <x:v>Not extracted</x:v>
      </x:c>
      <x:c r="O227" s="5" t="str">
        <x:v>Not extracted</x:v>
      </x:c>
      <x:c r="P227" s="5" t="str">
        <x:v>Not extracted</x:v>
      </x:c>
      <x:c r="Q227" s="5" t="str">
        <x:v>Not extracted</x:v>
      </x:c>
      <x:c r="R227" s="5" t="str">
        <x:v>Not extracted</x:v>
      </x:c>
      <x:c r="S227" s="5" t="str">
        <x:v>Not extracted</x:v>
      </x:c>
      <x:c r="T227" s="5" t="str">
        <x:v>Not assigned</x:v>
      </x:c>
      <x:c r="U227" s="8"/>
    </x:row>
    <x:row r="228" ht="40" customHeight="1">
      <x:c r="A228" s="5" t="str">
        <x:v>C0316</x:v>
      </x:c>
      <x:c r="B228" s="5" t="str">
        <x:v>Not extracted</x:v>
      </x:c>
      <x:c r="C228" s="5" t="str">
        <x:v>Not extracted</x:v>
      </x:c>
      <x:c r="D228" s="5" t="str">
        <x:v>Not extracted</x:v>
      </x:c>
      <x:c r="E228" s="5" t="str">
        <x:v>Not extracted</x:v>
      </x:c>
      <x:c r="F228" s="5" t="str">
        <x:v>Not extracted</x:v>
      </x:c>
      <x:c r="G228" s="5" t="str">
        <x:v>Not extracted</x:v>
      </x:c>
      <x:c r="H228" s="5" t="str">
        <x:v>Not extracted</x:v>
      </x:c>
      <x:c r="I228" s="5" t="str">
        <x:v>Not extracted</x:v>
      </x:c>
      <x:c r="J228" s="5" t="str">
        <x:v>Not extracted</x:v>
      </x:c>
      <x:c r="K228" s="5" t="str">
        <x:v>Not extracted</x:v>
      </x:c>
      <x:c r="L228" s="5" t="str">
        <x:v>Not extracted</x:v>
      </x:c>
      <x:c r="M228" s="5" t="str">
        <x:v>Not extracted</x:v>
      </x:c>
      <x:c r="N228" s="5" t="str">
        <x:v>Not extracted</x:v>
      </x:c>
      <x:c r="O228" s="5" t="str">
        <x:v>Not extracted</x:v>
      </x:c>
      <x:c r="P228" s="5" t="str">
        <x:v>Not extracted</x:v>
      </x:c>
      <x:c r="Q228" s="5" t="str">
        <x:v>Not extracted</x:v>
      </x:c>
      <x:c r="R228" s="5" t="str">
        <x:v>Not extracted</x:v>
      </x:c>
      <x:c r="S228" s="5" t="str">
        <x:v>Not extracted</x:v>
      </x:c>
      <x:c r="T228" s="5" t="str">
        <x:v>Not assigned</x:v>
      </x:c>
      <x:c r="U228" s="8"/>
    </x:row>
    <x:row r="229" ht="40" customHeight="1">
      <x:c r="A229" s="5" t="str">
        <x:v>C0317</x:v>
      </x:c>
      <x:c r="B229" s="5" t="str">
        <x:v>Not extracted</x:v>
      </x:c>
      <x:c r="C229" s="5" t="str">
        <x:v>Not extracted</x:v>
      </x:c>
      <x:c r="D229" s="5" t="str">
        <x:v>Not extracted</x:v>
      </x:c>
      <x:c r="E229" s="5" t="str">
        <x:v>Not extracted</x:v>
      </x:c>
      <x:c r="F229" s="5" t="str">
        <x:v>Not extracted</x:v>
      </x:c>
      <x:c r="G229" s="5" t="str">
        <x:v>Not extracted</x:v>
      </x:c>
      <x:c r="H229" s="5" t="str">
        <x:v>Not extracted</x:v>
      </x:c>
      <x:c r="I229" s="5" t="str">
        <x:v>Not extracted</x:v>
      </x:c>
      <x:c r="J229" s="5" t="str">
        <x:v>Not extracted</x:v>
      </x:c>
      <x:c r="K229" s="5" t="str">
        <x:v>Not extracted</x:v>
      </x:c>
      <x:c r="L229" s="5" t="str">
        <x:v>Not extracted</x:v>
      </x:c>
      <x:c r="M229" s="5" t="str">
        <x:v>Not extracted</x:v>
      </x:c>
      <x:c r="N229" s="5" t="str">
        <x:v>Not extracted</x:v>
      </x:c>
      <x:c r="O229" s="5" t="str">
        <x:v>Not extracted</x:v>
      </x:c>
      <x:c r="P229" s="5" t="str">
        <x:v>Not extracted</x:v>
      </x:c>
      <x:c r="Q229" s="5" t="str">
        <x:v>Not extracted</x:v>
      </x:c>
      <x:c r="R229" s="5" t="str">
        <x:v>Not extracted</x:v>
      </x:c>
      <x:c r="S229" s="5" t="str">
        <x:v>Not extracted</x:v>
      </x:c>
      <x:c r="T229" s="5" t="str">
        <x:v>Not assigned</x:v>
      </x:c>
      <x:c r="U229" s="8"/>
    </x:row>
    <x:row r="230" ht="40" customHeight="1">
      <x:c r="A230" s="5" t="str">
        <x:v>C0318</x:v>
      </x:c>
      <x:c r="B230" s="5" t="str">
        <x:v>Not extracted</x:v>
      </x:c>
      <x:c r="C230" s="5" t="str">
        <x:v>Not extracted</x:v>
      </x:c>
      <x:c r="D230" s="5" t="str">
        <x:v>Not extracted</x:v>
      </x:c>
      <x:c r="E230" s="5" t="str">
        <x:v>Not extracted</x:v>
      </x:c>
      <x:c r="F230" s="5" t="str">
        <x:v>Not extracted</x:v>
      </x:c>
      <x:c r="G230" s="5" t="str">
        <x:v>Not extracted</x:v>
      </x:c>
      <x:c r="H230" s="5" t="str">
        <x:v>Not extracted</x:v>
      </x:c>
      <x:c r="I230" s="5" t="str">
        <x:v>Not extracted</x:v>
      </x:c>
      <x:c r="J230" s="5" t="str">
        <x:v>Not extracted</x:v>
      </x:c>
      <x:c r="K230" s="5" t="str">
        <x:v>Not extracted</x:v>
      </x:c>
      <x:c r="L230" s="5" t="str">
        <x:v>Not extracted</x:v>
      </x:c>
      <x:c r="M230" s="5" t="str">
        <x:v>Not extracted</x:v>
      </x:c>
      <x:c r="N230" s="5" t="str">
        <x:v>Not extracted</x:v>
      </x:c>
      <x:c r="O230" s="5" t="str">
        <x:v>Not extracted</x:v>
      </x:c>
      <x:c r="P230" s="5" t="str">
        <x:v>Not extracted</x:v>
      </x:c>
      <x:c r="Q230" s="5" t="str">
        <x:v>Not extracted</x:v>
      </x:c>
      <x:c r="R230" s="5" t="str">
        <x:v>Not extracted</x:v>
      </x:c>
      <x:c r="S230" s="5" t="str">
        <x:v>Not extracted</x:v>
      </x:c>
      <x:c r="T230" s="5" t="str">
        <x:v>Not assigned</x:v>
      </x:c>
      <x:c r="U230" s="8"/>
    </x:row>
    <x:row r="231" ht="40" customHeight="1">
      <x:c r="A231" s="5" t="str">
        <x:v>C0319</x:v>
      </x:c>
      <x:c r="B231" s="5" t="str">
        <x:v>Not extracted</x:v>
      </x:c>
      <x:c r="C231" s="5" t="str">
        <x:v>Not extracted</x:v>
      </x:c>
      <x:c r="D231" s="5" t="str">
        <x:v>Not extracted</x:v>
      </x:c>
      <x:c r="E231" s="5" t="str">
        <x:v>Not extracted</x:v>
      </x:c>
      <x:c r="F231" s="5" t="str">
        <x:v>Not extracted</x:v>
      </x:c>
      <x:c r="G231" s="5" t="str">
        <x:v>Not extracted</x:v>
      </x:c>
      <x:c r="H231" s="5" t="str">
        <x:v>Not extracted</x:v>
      </x:c>
      <x:c r="I231" s="5" t="str">
        <x:v>Not extracted</x:v>
      </x:c>
      <x:c r="J231" s="5" t="str">
        <x:v>Not extracted</x:v>
      </x:c>
      <x:c r="K231" s="5" t="str">
        <x:v>Not extracted</x:v>
      </x:c>
      <x:c r="L231" s="5" t="str">
        <x:v>Not extracted</x:v>
      </x:c>
      <x:c r="M231" s="5" t="str">
        <x:v>Not extracted</x:v>
      </x:c>
      <x:c r="N231" s="5" t="str">
        <x:v>Not extracted</x:v>
      </x:c>
      <x:c r="O231" s="5" t="str">
        <x:v>Not extracted</x:v>
      </x:c>
      <x:c r="P231" s="5" t="str">
        <x:v>Not extracted</x:v>
      </x:c>
      <x:c r="Q231" s="5" t="str">
        <x:v>Not extracted</x:v>
      </x:c>
      <x:c r="R231" s="5" t="str">
        <x:v>Not extracted</x:v>
      </x:c>
      <x:c r="S231" s="5" t="str">
        <x:v>Not extracted</x:v>
      </x:c>
      <x:c r="T231" s="5" t="str">
        <x:v>Not assigned</x:v>
      </x:c>
      <x:c r="U231" s="8"/>
    </x:row>
    <x:row r="232" ht="40" customHeight="1">
      <x:c r="A232" s="5" t="str">
        <x:v>C0320</x:v>
      </x:c>
      <x:c r="B232" s="5" t="str">
        <x:v>Not extracted</x:v>
      </x:c>
      <x:c r="C232" s="5" t="str">
        <x:v>Not extracted</x:v>
      </x:c>
      <x:c r="D232" s="5" t="str">
        <x:v>Not extracted</x:v>
      </x:c>
      <x:c r="E232" s="5" t="str">
        <x:v>Not extracted</x:v>
      </x:c>
      <x:c r="F232" s="5" t="str">
        <x:v>Not extracted</x:v>
      </x:c>
      <x:c r="G232" s="5" t="str">
        <x:v>Not extracted</x:v>
      </x:c>
      <x:c r="H232" s="5" t="str">
        <x:v>Not extracted</x:v>
      </x:c>
      <x:c r="I232" s="5" t="str">
        <x:v>Not extracted</x:v>
      </x:c>
      <x:c r="J232" s="5" t="str">
        <x:v>Not extracted</x:v>
      </x:c>
      <x:c r="K232" s="5" t="str">
        <x:v>Not extracted</x:v>
      </x:c>
      <x:c r="L232" s="5" t="str">
        <x:v>Not extracted</x:v>
      </x:c>
      <x:c r="M232" s="5" t="str">
        <x:v>Not extracted</x:v>
      </x:c>
      <x:c r="N232" s="5" t="str">
        <x:v>Not extracted</x:v>
      </x:c>
      <x:c r="O232" s="5" t="str">
        <x:v>Not extracted</x:v>
      </x:c>
      <x:c r="P232" s="5" t="str">
        <x:v>Not extracted</x:v>
      </x:c>
      <x:c r="Q232" s="5" t="str">
        <x:v>Not extracted</x:v>
      </x:c>
      <x:c r="R232" s="5" t="str">
        <x:v>Not extracted</x:v>
      </x:c>
      <x:c r="S232" s="5" t="str">
        <x:v>Not extracted</x:v>
      </x:c>
      <x:c r="T232" s="5" t="str">
        <x:v>Not assigned</x:v>
      </x:c>
      <x:c r="U232" s="8"/>
    </x:row>
    <x:row r="233" ht="40" customHeight="1">
      <x:c r="A233" s="5" t="str">
        <x:v>C0321</x:v>
      </x:c>
      <x:c r="B233" s="5" t="str">
        <x:v>Not extracted</x:v>
      </x:c>
      <x:c r="C233" s="5" t="str">
        <x:v>Not extracted</x:v>
      </x:c>
      <x:c r="D233" s="5" t="str">
        <x:v>Not extracted</x:v>
      </x:c>
      <x:c r="E233" s="5" t="str">
        <x:v>Not extracted</x:v>
      </x:c>
      <x:c r="F233" s="5" t="str">
        <x:v>Not extracted</x:v>
      </x:c>
      <x:c r="G233" s="5" t="str">
        <x:v>Not extracted</x:v>
      </x:c>
      <x:c r="H233" s="5" t="str">
        <x:v>Not extracted</x:v>
      </x:c>
      <x:c r="I233" s="5" t="str">
        <x:v>Not extracted</x:v>
      </x:c>
      <x:c r="J233" s="5" t="str">
        <x:v>Not extracted</x:v>
      </x:c>
      <x:c r="K233" s="5" t="str">
        <x:v>Not extracted</x:v>
      </x:c>
      <x:c r="L233" s="5" t="str">
        <x:v>Not extracted</x:v>
      </x:c>
      <x:c r="M233" s="5" t="str">
        <x:v>Not extracted</x:v>
      </x:c>
      <x:c r="N233" s="5" t="str">
        <x:v>Not extracted</x:v>
      </x:c>
      <x:c r="O233" s="5" t="str">
        <x:v>Not extracted</x:v>
      </x:c>
      <x:c r="P233" s="5" t="str">
        <x:v>Not extracted</x:v>
      </x:c>
      <x:c r="Q233" s="5" t="str">
        <x:v>Not extracted</x:v>
      </x:c>
      <x:c r="R233" s="5" t="str">
        <x:v>Not extracted</x:v>
      </x:c>
      <x:c r="S233" s="5" t="str">
        <x:v>Not extracted</x:v>
      </x:c>
      <x:c r="T233" s="5" t="str">
        <x:v>Not assigned</x:v>
      </x:c>
      <x:c r="U233" s="8"/>
    </x:row>
    <x:row r="234" ht="40" customHeight="1">
      <x:c r="A234" s="5" t="str">
        <x:v>C0322</x:v>
      </x:c>
      <x:c r="B234" s="5" t="str">
        <x:v>Not extracted</x:v>
      </x:c>
      <x:c r="C234" s="5" t="str">
        <x:v>Not extracted</x:v>
      </x:c>
      <x:c r="D234" s="5" t="str">
        <x:v>Not extracted</x:v>
      </x:c>
      <x:c r="E234" s="5" t="str">
        <x:v>Not extracted</x:v>
      </x:c>
      <x:c r="F234" s="5" t="str">
        <x:v>Not extracted</x:v>
      </x:c>
      <x:c r="G234" s="5" t="str">
        <x:v>Not extracted</x:v>
      </x:c>
      <x:c r="H234" s="5" t="str">
        <x:v>Not extracted</x:v>
      </x:c>
      <x:c r="I234" s="5" t="str">
        <x:v>Not extracted</x:v>
      </x:c>
      <x:c r="J234" s="5" t="str">
        <x:v>Not extracted</x:v>
      </x:c>
      <x:c r="K234" s="5" t="str">
        <x:v>Not extracted</x:v>
      </x:c>
      <x:c r="L234" s="5" t="str">
        <x:v>Not extracted</x:v>
      </x:c>
      <x:c r="M234" s="5" t="str">
        <x:v>Not extracted</x:v>
      </x:c>
      <x:c r="N234" s="5" t="str">
        <x:v>Not extracted</x:v>
      </x:c>
      <x:c r="O234" s="5" t="str">
        <x:v>Not extracted</x:v>
      </x:c>
      <x:c r="P234" s="5" t="str">
        <x:v>Not extracted</x:v>
      </x:c>
      <x:c r="Q234" s="5" t="str">
        <x:v>Not extracted</x:v>
      </x:c>
      <x:c r="R234" s="5" t="str">
        <x:v>Not extracted</x:v>
      </x:c>
      <x:c r="S234" s="5" t="str">
        <x:v>Not extracted</x:v>
      </x:c>
      <x:c r="T234" s="5" t="str">
        <x:v>Not assigned</x:v>
      </x:c>
      <x:c r="U234" s="8"/>
    </x:row>
    <x:row r="235" ht="40" customHeight="1">
      <x:c r="A235" s="5" t="str">
        <x:v>C0324</x:v>
      </x:c>
      <x:c r="B235" s="5" t="str">
        <x:v>Not extracted</x:v>
      </x:c>
      <x:c r="C235" s="5" t="str">
        <x:v>Not extracted</x:v>
      </x:c>
      <x:c r="D235" s="5" t="str">
        <x:v>Not extracted</x:v>
      </x:c>
      <x:c r="E235" s="5" t="str">
        <x:v>Not extracted</x:v>
      </x:c>
      <x:c r="F235" s="5" t="str">
        <x:v>Not extracted</x:v>
      </x:c>
      <x:c r="G235" s="5" t="str">
        <x:v>Not extracted</x:v>
      </x:c>
      <x:c r="H235" s="5" t="str">
        <x:v>Not extracted</x:v>
      </x:c>
      <x:c r="I235" s="5" t="str">
        <x:v>Not extracted</x:v>
      </x:c>
      <x:c r="J235" s="5" t="str">
        <x:v>Not extracted</x:v>
      </x:c>
      <x:c r="K235" s="5" t="str">
        <x:v>Not extracted</x:v>
      </x:c>
      <x:c r="L235" s="5" t="str">
        <x:v>Not extracted</x:v>
      </x:c>
      <x:c r="M235" s="5" t="str">
        <x:v>Not extracted</x:v>
      </x:c>
      <x:c r="N235" s="5" t="str">
        <x:v>Not extracted</x:v>
      </x:c>
      <x:c r="O235" s="5" t="str">
        <x:v>Not extracted</x:v>
      </x:c>
      <x:c r="P235" s="5" t="str">
        <x:v>Not extracted</x:v>
      </x:c>
      <x:c r="Q235" s="5" t="str">
        <x:v>Not extracted</x:v>
      </x:c>
      <x:c r="R235" s="5" t="str">
        <x:v>Not extracted</x:v>
      </x:c>
      <x:c r="S235" s="5" t="str">
        <x:v>Not extracted</x:v>
      </x:c>
      <x:c r="T235" s="5" t="str">
        <x:v>Not assigned</x:v>
      </x:c>
      <x:c r="U235" s="8"/>
    </x:row>
    <x:row r="236" ht="40" customHeight="1">
      <x:c r="A236" s="5" t="str">
        <x:v>C0326</x:v>
      </x:c>
      <x:c r="B236" s="5" t="str">
        <x:v>Not extracted</x:v>
      </x:c>
      <x:c r="C236" s="5" t="str">
        <x:v>Not extracted</x:v>
      </x:c>
      <x:c r="D236" s="5" t="str">
        <x:v>Not extracted</x:v>
      </x:c>
      <x:c r="E236" s="5" t="str">
        <x:v>Not extracted</x:v>
      </x:c>
      <x:c r="F236" s="5" t="str">
        <x:v>Not extracted</x:v>
      </x:c>
      <x:c r="G236" s="5" t="str">
        <x:v>Not extracted</x:v>
      </x:c>
      <x:c r="H236" s="5" t="str">
        <x:v>Not extracted</x:v>
      </x:c>
      <x:c r="I236" s="5" t="str">
        <x:v>Not extracted</x:v>
      </x:c>
      <x:c r="J236" s="5" t="str">
        <x:v>Not extracted</x:v>
      </x:c>
      <x:c r="K236" s="5" t="str">
        <x:v>Not extracted</x:v>
      </x:c>
      <x:c r="L236" s="5" t="str">
        <x:v>Not extracted</x:v>
      </x:c>
      <x:c r="M236" s="5" t="str">
        <x:v>Not extracted</x:v>
      </x:c>
      <x:c r="N236" s="5" t="str">
        <x:v>Not extracted</x:v>
      </x:c>
      <x:c r="O236" s="5" t="str">
        <x:v>Not extracted</x:v>
      </x:c>
      <x:c r="P236" s="5" t="str">
        <x:v>Not extracted</x:v>
      </x:c>
      <x:c r="Q236" s="5" t="str">
        <x:v>Not extracted</x:v>
      </x:c>
      <x:c r="R236" s="5" t="str">
        <x:v>Not extracted</x:v>
      </x:c>
      <x:c r="S236" s="5" t="str">
        <x:v>Not extracted</x:v>
      </x:c>
      <x:c r="T236" s="5" t="str">
        <x:v>Not assigned</x:v>
      </x:c>
      <x:c r="U236" s="8"/>
    </x:row>
    <x:row r="237" ht="40" customHeight="1">
      <x:c r="A237" s="5" t="str">
        <x:v>C0327</x:v>
      </x:c>
      <x:c r="B237" s="5" t="str">
        <x:v>Not extracted</x:v>
      </x:c>
      <x:c r="C237" s="5" t="str">
        <x:v>Not extracted</x:v>
      </x:c>
      <x:c r="D237" s="5" t="str">
        <x:v>Not extracted</x:v>
      </x:c>
      <x:c r="E237" s="5" t="str">
        <x:v>Not extracted</x:v>
      </x:c>
      <x:c r="F237" s="5" t="str">
        <x:v>Not extracted</x:v>
      </x:c>
      <x:c r="G237" s="5" t="str">
        <x:v>Not extracted</x:v>
      </x:c>
      <x:c r="H237" s="5" t="str">
        <x:v>Not extracted</x:v>
      </x:c>
      <x:c r="I237" s="5" t="str">
        <x:v>Not extracted</x:v>
      </x:c>
      <x:c r="J237" s="5" t="str">
        <x:v>Not extracted</x:v>
      </x:c>
      <x:c r="K237" s="5" t="str">
        <x:v>Not extracted</x:v>
      </x:c>
      <x:c r="L237" s="5" t="str">
        <x:v>Not extracted</x:v>
      </x:c>
      <x:c r="M237" s="5" t="str">
        <x:v>Not extracted</x:v>
      </x:c>
      <x:c r="N237" s="5" t="str">
        <x:v>Not extracted</x:v>
      </x:c>
      <x:c r="O237" s="5" t="str">
        <x:v>Not extracted</x:v>
      </x:c>
      <x:c r="P237" s="5" t="str">
        <x:v>Not extracted</x:v>
      </x:c>
      <x:c r="Q237" s="5" t="str">
        <x:v>Not extracted</x:v>
      </x:c>
      <x:c r="R237" s="5" t="str">
        <x:v>Not extracted</x:v>
      </x:c>
      <x:c r="S237" s="5" t="str">
        <x:v>Not extracted</x:v>
      </x:c>
      <x:c r="T237" s="5" t="str">
        <x:v>Not assigned</x:v>
      </x:c>
      <x:c r="U237" s="8"/>
    </x:row>
  </x:sheetData>
  <x:dataValidations count="1">
    <x:dataValidation type="list" sqref="B8:B1000">
      <x:formula1>"Not extracted,Pilot section extraction,Full extraction,Human 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84daf4083b4b92"/>
  </x:tableParts>
</x:worksheet>
</file>

<file path=xl/worksheets/sheet7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8" hidden="0" customWidth="1"/>
    <x:col min="5" max="5" width="28" hidden="0" customWidth="1"/>
  </x:cols>
  <x:sheetData>
    <x:row r="2">
      <x:c r="A2" s="1" t="str">
        <x:v>Synthesis</x:v>
      </x:c>
    </x:row>
    <x:row r="4">
      <x:c r="A4" s="2" t="str">
        <x:v>Synthesis questions are populated as a working memo. They do not assert findings for the unscreened corpus.</x:v>
      </x:c>
    </x:row>
    <x:row r="7" ht="46" customHeight="1">
      <x:c r="A7" s="7" t="str">
        <x:v>Prompt</x:v>
      </x:c>
      <x:c r="B7" s="7" t="str">
        <x:v>Current position</x:v>
      </x:c>
      <x:c r="C7" s="7" t="str">
        <x:v>Evidence IDs</x:v>
      </x:c>
      <x:c r="D7" s="7" t="str">
        <x:v>Confidence / status</x:v>
      </x:c>
      <x:c r="E7" s="7" t="str">
        <x:v>Next step</x:v>
      </x:c>
    </x:row>
    <x:row r="8" ht="53" customHeight="1">
      <x:c r="A8" s="5" t="str">
        <x:v>Current review angle</x:v>
      </x:c>
      <x:c r="B8" s="5" t="str">
        <x:v>Map reliability evidence in AI visual industrial inspection before narrowing the title.</x:v>
      </x:c>
      <x:c r="C8" s="5" t="str">
        <x:v>Protocol v0.3</x:v>
      </x:c>
      <x:c r="D8" s="5" t="str">
        <x:v>Working scope</x:v>
      </x:c>
      <x:c r="E8" s="5" t="str">
        <x:v>Freeze after pilot eligibility and search refinement.</x:v>
      </x:c>
    </x:row>
    <x:row r="9" ht="53" customHeight="1">
      <x:c r="A9" s="5" t="str">
        <x:v>What the field does well</x:v>
      </x:c>
      <x:c r="B9" s="5" t="str">
        <x:v>Public benchmarks and established feature, reconstruction and foundation-model families provide a starting map.</x:v>
      </x:c>
      <x:c r="C9" s="5" t="str">
        <x:v>B01-B05; R01-R02</x:v>
      </x:c>
      <x:c r="D9" s="5" t="str">
        <x:v>Seed-level observation</x:v>
      </x:c>
      <x:c r="E9" s="5" t="str">
        <x:v>Chart coverage and validation conditions.</x:v>
      </x:c>
    </x:row>
    <x:row r="10" ht="68" customHeight="1">
      <x:c r="A10" s="5" t="str">
        <x:v>What the field keeps missing</x:v>
      </x:c>
      <x:c r="B10" s="5" t="str">
        <x:v>Candidate questions: independent data, target access, risk denominators and review workload. No field-wide omission established.</x:v>
      </x:c>
      <x:c r="C10" s="5" t="str">
        <x:v>P01-P03; P06-P09</x:v>
      </x:c>
      <x:c r="D10" s="5" t="str">
        <x:v>Questions to test</x:v>
      </x:c>
      <x:c r="E10" s="5" t="str">
        <x:v>Extract evidence before making gap claims.</x:v>
      </x:c>
    </x:row>
    <x:row r="11" ht="53" customHeight="1">
      <x:c r="A11" s="5" t="str">
        <x:v>Research opportunity</x:v>
      </x:c>
      <x:c r="B11" s="5" t="str">
        <x:v>Possible comparison of ranking gains versus missed defects at equal review workload across shifts.</x:v>
      </x:c>
      <x:c r="C11" s="5" t="str">
        <x:v>P03; P06; P09</x:v>
      </x:c>
      <x:c r="D11" s="5" t="str">
        <x:v>Novelty unconfirmed</x:v>
      </x:c>
      <x:c r="E11" s="5" t="str">
        <x:v>Stress-test against the expanded corpus.</x:v>
      </x:c>
    </x:row>
    <x:row r="12" ht="68" customHeight="1">
      <x:c r="A12" s="5" t="str">
        <x:v>Candidate papers to cite heavily</x:v>
      </x:c>
      <x:c r="B12" s="5" t="str">
        <x:v>Benchmark and method anchors plus nearest reliability precedents. This is a reading shortlist, not final citation allocation.</x:v>
      </x:c>
      <x:c r="C12" s="5" t="str">
        <x:v>B01; B02; B03; R02; P01; P03; P06; P09</x:v>
      </x:c>
      <x:c r="D12" s="5" t="str">
        <x:v>Provisional shortlist</x:v>
      </x:c>
      <x:c r="E12" s="5" t="str">
        <x:v>Read, verify bibliography and decide their role.</x:v>
      </x:c>
    </x:row>
    <x:row r="13" ht="53" customHeight="1">
      <x:c r="A13" s="5" t="str">
        <x:v>Open problems</x:v>
      </x:c>
      <x:c r="B13" s="5" t="str">
        <x:v>Calibration transfer, incomplete sensors, ground-truth limits and unsupported reporting remain investigation themes.</x:v>
      </x:c>
      <x:c r="C13" s="5" t="str">
        <x:v>S03-S13</x:v>
      </x:c>
      <x:c r="D13" s="5" t="str">
        <x:v>Not established gaps</x:v>
      </x:c>
      <x:c r="E13" s="5" t="str">
        <x:v>Map after charting and assess prior work.</x:v>
      </x:c>
    </x:row>
    <x:row r="14" ht="53" customHeight="1">
      <x:c r="A14" s="5" t="str">
        <x:v>Taxonomy</x:v>
      </x:c>
      <x:c r="B14" s="5" t="str">
        <x:v>Cluster and pillar assignments remain unassigned. Candidate axes: task, modality, method and reliability evidence.</x:v>
      </x:c>
      <x:c r="C14" s="5" t="str">
        <x:v>Protocol and dictionary</x:v>
      </x:c>
      <x:c r="D14" s="5" t="str">
        <x:v>Deferred until reading</x:v>
      </x:c>
      <x:c r="E14" s="5" t="str">
        <x:v>Pilot a codebook on 10 diverse papers.</x:v>
      </x:c>
    </x:row>
  </x:sheetData>
  <x:pageMargins left="0.7" right="0.7" top="0.75" bottom="0.75" header="0.3" footer="0.3"/>
  <x:tableParts count="1">
    <x:tablePart xmlns:r="http://schemas.openxmlformats.org/officeDocument/2006/relationships" r:id="Rc25c735bc7d849ed"/>
  </x:tableParts>
</x:worksheet>
</file>

<file path=xl/worksheets/sheet8.xml><?xml version="1.0" encoding="utf-8"?>
<x:worksheet xmlns:x="http://schemas.openxmlformats.org/spreadsheetml/2006/main">
  <x:sheetViews>
    <x:sheetView showGridLines="1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48" hidden="0" customWidth="1"/>
    <x:col min="12" max="12" width="28" hidden="0" customWidth="1"/>
  </x:cols>
  <x:sheetData>
    <x:row r="2">
      <x:c r="A2" s="1" t="str">
        <x:v>Data audit</x:v>
      </x:c>
    </x:row>
    <x:row r="4">
      <x:c r="A4" s="2" t="str">
        <x:v>Preserved session 2 dataset audit. Image-level duplicate and asset grouping checks are still pending.</x:v>
      </x:c>
    </x:row>
    <x:row r="7" ht="46" customHeight="1">
      <x:c r="A7" s="7" t="str">
        <x:v>ID</x:v>
      </x:c>
      <x:c r="B7" s="7" t="str">
        <x:v>Dataset</x:v>
      </x:c>
      <x:c r="C7" s="7" t="str">
        <x:v>Asset</x:v>
      </x:c>
      <x:c r="D7" s="7" t="str">
        <x:v>Data origin</x:v>
      </x:c>
      <x:c r="E7" s="7" t="str">
        <x:v>Image count</x:v>
      </x:c>
      <x:c r="F7" s="7" t="str">
        <x:v>Labels and split</x:v>
      </x:c>
      <x:c r="G7" s="7" t="str">
        <x:v>Domain information</x:v>
      </x:c>
      <x:c r="H7" s="7" t="str">
        <x:v>Dataset terms</x:v>
      </x:c>
      <x:c r="I7" s="7" t="str">
        <x:v>Audit stage</x:v>
      </x:c>
      <x:c r="J7" s="7" t="str">
        <x:v>Pending action</x:v>
      </x:c>
      <x:c r="K7" s="7" t="str">
        <x:v>Primary source URL</x:v>
      </x:c>
      <x:c r="L7" s="7" t="str">
        <x:v>Checked</x:v>
      </x:c>
    </x:row>
    <x:row r="8" ht="53" customHeight="1">
      <x:c r="A8" s="5" t="str">
        <x:v>D01</x:v>
      </x:c>
      <x:c r="B8" s="5" t="str">
        <x:v>MVTec AD 2</x:v>
      </x:c>
      <x:c r="C8" s="5" t="str">
        <x:v>Industrial inspection</x:v>
      </x:c>
      <x:c r="D8" s="5" t="str">
        <x:v>Real acquired benchmark</x:v>
      </x:c>
      <x:c r="E8" s="5"/>
      <x:c r="F8" s="5" t="str">
        <x:v>Normal training/validation; public and hidden-label test portions</x:v>
      </x:c>
      <x:c r="G8" s="5" t="str">
        <x:v>Lighting conditions</x:v>
      </x:c>
      <x:c r="H8" s="5" t="str">
        <x:v>CC BY-NC-SA 4.0</x:v>
      </x:c>
      <x:c r="I8" s="5" t="str">
        <x:v>Official documentation</x:v>
      </x:c>
      <x:c r="J8" s="5" t="str">
        <x:v>Inspect public condition identifiers and custom evaluation access</x:v>
      </x:c>
      <x:c r="K8" s="5" t="str">
        <x:v>https://www.mvtec.com/research-teaching/datasets/mvtec-ad-2</x:v>
      </x:c>
      <x:c r="L8" s="5" t="d">
        <x:v>2026-10-13T00:00:00.000Z</x:v>
      </x:c>
    </x:row>
    <x:row r="9" ht="40" customHeight="1">
      <x:c r="A9" s="5" t="str">
        <x:v>D02</x:v>
      </x:c>
      <x:c r="B9" s="5" t="str">
        <x:v>K-Pipelines</x:v>
      </x:c>
      <x:c r="C9" s="5" t="str">
        <x:v>Pipeline corrosion</x:v>
      </x:c>
      <x:c r="D9" s="5" t="str">
        <x:v>Synthetic</x:v>
      </x:c>
      <x:c r="E9" s="5" t="n">
        <x:v>600</x:v>
      </x:c>
      <x:c r="F9" s="5" t="str">
        <x:v>Binary image labels; augmented release 1,080</x:v>
      </x:c>
      <x:c r="G9" s="5" t="str">
        <x:v>Prompt-generated variation</x:v>
      </x:c>
      <x:c r="H9" s="5" t="str">
        <x:v>Repository GPL-3.0; dataset applicability to verify</x:v>
      </x:c>
      <x:c r="I9" s="5" t="str">
        <x:v>Author documentation</x:v>
      </x:c>
      <x:c r="J9" s="5" t="str">
        <x:v>Audit original/augmentation groups; no masks verified</x:v>
      </x:c>
      <x:c r="K9" s="5" t="str">
        <x:v>https://github.com/leoxthomas/K-Pipelines</x:v>
      </x:c>
      <x:c r="L9" s="5" t="d">
        <x:v>2026-10-13T00:00:00.000Z</x:v>
      </x:c>
    </x:row>
    <x:row r="10" ht="53" customHeight="1">
      <x:c r="A10" s="5" t="str">
        <x:v>D03</x:v>
      </x:c>
      <x:c r="B10" s="5" t="str">
        <x:v>Corrosion Condition State Semantic Segmentation</x:v>
      </x:c>
      <x:c r="C10" s="5" t="str">
        <x:v>Bridge corrosion</x:v>
      </x:c>
      <x:c r="D10" s="5" t="str">
        <x:v>Real inspection reports</x:v>
      </x:c>
      <x:c r="E10" s="5" t="n">
        <x:v>440</x:v>
      </x:c>
      <x:c r="F10" s="5" t="str">
        <x:v>4 classes; original images/JSON/masks; 396 train, 44 test</x:v>
      </x:c>
      <x:c r="G10" s="5" t="str">
        <x:v>Site/asset IDs not verified</x:v>
      </x:c>
      <x:c r="H10" s="5" t="str">
        <x:v>CC0 (primary dataset v2 record)</x:v>
      </x:c>
      <x:c r="I10" s="5" t="str">
        <x:v>Metadata and archive index</x:v>
      </x:c>
      <x:c r="J10" s="5" t="str">
        <x:v>Audit duplicates and parent assets; good class includes minimal corrosion</x:v>
      </x:c>
      <x:c r="K10" s="5" t="str">
        <x:v>https://api.figshare.com/v2/articles/16624663</x:v>
      </x:c>
      <x:c r="L10" s="5" t="d">
        <x:v>2026-10-13T00:00:00.000Z</x:v>
      </x:c>
    </x:row>
    <x:row r="11" ht="40" customHeight="1">
      <x:c r="A11" s="5" t="str">
        <x:v>D04</x:v>
      </x:c>
      <x:c r="B11" s="5" t="str">
        <x:v>SpotRust original images</x:v>
      </x:c>
      <x:c r="C11" s="5" t="str">
        <x:v>Industrial corrosion</x:v>
      </x:c>
      <x:c r="D11" s="5" t="str">
        <x:v>Real industrial site</x:v>
      </x:c>
      <x:c r="E11" s="5" t="n">
        <x:v>225</x:v>
      </x:c>
      <x:c r="F11" s="5" t="str">
        <x:v>Binary pixel labels; additional 14 novel images</x:v>
      </x:c>
      <x:c r="G11" s="5" t="str">
        <x:v>Novel imagery; original data restricted</x:v>
      </x:c>
      <x:c r="H11" s="5" t="str">
        <x:v>Controlled access</x:v>
      </x:c>
      <x:c r="I11" s="5" t="str">
        <x:v>Paper and author documentation</x:v>
      </x:c>
      <x:c r="J11" s="5" t="str">
        <x:v>Not an assumed public experiment source</x:v>
      </x:c>
      <x:c r="K11" s="5" t="str">
        <x:v>https://github.com/StuvX/SpotRust</x:v>
      </x:c>
      <x:c r="L11" s="5" t="d">
        <x:v>2026-10-13T00:00:00.000Z</x:v>
      </x:c>
    </x:row>
    <x:row r="12" ht="53" customHeight="1">
      <x:c r="A12" s="5" t="str">
        <x:v>D05</x:v>
      </x:c>
      <x:c r="B12" s="5" t="str">
        <x:v>Simulated CSP thermal images</x:v>
      </x:c>
      <x:c r="C12" s="5" t="str">
        <x:v>Solar receivers</x:v>
      </x:c>
      <x:c r="D12" s="5" t="str">
        <x:v>Simulated</x:v>
      </x:c>
      <x:c r="E12" s="5"/>
      <x:c r="F12" s="5" t="str">
        <x:v>Paper describes release; field data confidential</x:v>
      </x:c>
      <x:c r="G12" s="5" t="str">
        <x:v>Multiple simulated plants</x:v>
      </x:c>
      <x:c r="H12" s="5" t="str">
        <x:v>Dataset licence unverified</x:v>
      </x:c>
      <x:c r="I12" s="5" t="str">
        <x:v>Paper and author documentation</x:v>
      </x:c>
      <x:c r="J12" s="5" t="str">
        <x:v>README download link is TODO; resolve paper link and verify bytes</x:v>
      </x:c>
      <x:c r="K12" s="5" t="str">
        <x:v>https://github.com/yoest/reliable-ad-csp</x:v>
      </x:c>
      <x:c r="L12" s="5" t="d">
        <x:v>2026-10-13T00:00:00.000Z</x:v>
      </x:c>
    </x:row>
    <x:row r="13" ht="53" customHeight="1">
      <x:c r="A13" s="5" t="str">
        <x:v>D06</x:v>
      </x:c>
      <x:c r="B13" s="5" t="str">
        <x:v>AeBAD-S</x:v>
      </x:c>
      <x:c r="C13" s="5" t="str">
        <x:v>Aero-engine blade inspection</x:v>
      </x:c>
      <x:c r="D13" s="5" t="str">
        <x:v>Real acquired benchmark</x:v>
      </x:c>
      <x:c r="E13" s="5"/>
      <x:c r="F13" s="5" t="str">
        <x:v>Single-blade images; anomalies and normal cases</x:v>
      </x:c>
      <x:c r="G13" s="5" t="str">
        <x:v>Illumination, view, background and scale</x:v>
      </x:c>
      <x:c r="H13" s="5" t="str">
        <x:v>CC BY 4.0 (LICENSE-DATASET)</x:v>
      </x:c>
      <x:c r="I13" s="5" t="str">
        <x:v>Author documentation</x:v>
      </x:c>
      <x:c r="J13" s="5" t="str">
        <x:v>Download link listed; archive, masks and physical-blade grouping not audited</x:v>
      </x:c>
      <x:c r="K13" s="5" t="str">
        <x:v>https://github.com/zhangzilongc/MMR</x:v>
      </x:c>
      <x:c r="L13" s="5" t="d">
        <x:v>2026-10-13T00:00:00.000Z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515fcc3acec04bda"/>
  </x:tableParts>
</x:worksheet>
</file>

<file path=xl/worksheets/sheet9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2" hidden="0" customWidth="1"/>
    <x:col min="5" max="5" width="42" hidden="0" customWidth="1"/>
    <x:col min="6" max="6" width="28" hidden="0" customWidth="1"/>
    <x:col min="7" max="7" width="28" hidden="0" customWidth="1"/>
  </x:cols>
  <x:sheetData>
    <x:row r="2">
      <x:c r="A2" s="1" t="str">
        <x:v>Decisions</x:v>
      </x:c>
    </x:row>
    <x:row r="4">
      <x:c r="A4" s="2" t="str">
        <x:v>Historical decisions retained. DEC-014 updates the working review direction.</x:v>
      </x:c>
    </x:row>
    <x:row r="7" ht="46" customHeight="1">
      <x:c r="A7" s="7" t="str">
        <x:v>ID</x:v>
      </x:c>
      <x:c r="B7" s="7" t="str">
        <x:v>Decision</x:v>
      </x:c>
      <x:c r="C7" s="7" t="str">
        <x:v>Decision type</x:v>
      </x:c>
      <x:c r="D7" s="7" t="str">
        <x:v>Evidence or trigger</x:v>
      </x:c>
      <x:c r="E7" s="7" t="str">
        <x:v>Reason or next action</x:v>
      </x:c>
      <x:c r="F7" s="7" t="str">
        <x:v>Status</x:v>
      </x:c>
      <x:c r="G7" s="7" t="str">
        <x:v>Decision date</x:v>
      </x:c>
    </x:row>
    <x:row r="8" ht="40" customHeight="1">
      <x:c r="A8" s="5" t="str">
        <x:v>DEC-001</x:v>
      </x:c>
      <x:c r="B8" s="5" t="str">
        <x:v>Umbrella programme</x:v>
      </x:c>
      <x:c r="C8" s="5" t="str">
        <x:v>User requirement</x:v>
      </x:c>
      <x:c r="D8" s="5" t="str">
        <x:v>Shared conversation</x:v>
      </x:c>
      <x:c r="E8" s="5" t="str">
        <x:v>Keep linked, separately gated projects</x:v>
      </x:c>
      <x:c r="F8" s="5" t="str">
        <x:v>Active</x:v>
      </x:c>
      <x:c r="G8" s="5" t="d">
        <x:v>2026-10-13T00:00:00.000Z</x:v>
      </x:c>
    </x:row>
    <x:row r="9" ht="40" customHeight="1">
      <x:c r="A9" s="5" t="str">
        <x:v>DEC-002</x:v>
      </x:c>
      <x:c r="B9" s="5" t="str">
        <x:v>Connected review workstream</x:v>
      </x:c>
      <x:c r="C9" s="5" t="str">
        <x:v>User requirement</x:v>
      </x:c>
      <x:c r="D9" s="5" t="str">
        <x:v>Shared conversation</x:v>
      </x:c>
      <x:c r="E9" s="5" t="str">
        <x:v>Review informs candidate projects</x:v>
      </x:c>
      <x:c r="F9" s="5" t="str">
        <x:v>Active</x:v>
      </x:c>
      <x:c r="G9" s="5" t="d">
        <x:v>2026-10-13T00:00:00.000Z</x:v>
      </x:c>
    </x:row>
    <x:row r="10" ht="40" customHeight="1">
      <x:c r="A10" s="5" t="str">
        <x:v>DEC-003</x:v>
      </x:c>
      <x:c r="B10" s="5" t="str">
        <x:v>Visual-inspection scope</x:v>
      </x:c>
      <x:c r="C10" s="5" t="str">
        <x:v>Working scope</x:v>
      </x:c>
      <x:c r="D10" s="5" t="str">
        <x:v>R01-R08</x:v>
      </x:c>
      <x:c r="E10" s="5" t="str">
        <x:v>Narrow after closest-review comparison</x:v>
      </x:c>
      <x:c r="F10" s="5" t="str">
        <x:v>Open</x:v>
      </x:c>
      <x:c r="G10" s="5" t="d">
        <x:v>2026-10-13T00:00:00.000Z</x:v>
      </x:c>
    </x:row>
    <x:row r="11" ht="40" customHeight="1">
      <x:c r="A11" s="5" t="str">
        <x:v>DEC-004</x:v>
      </x:c>
      <x:c r="B11" s="5" t="str">
        <x:v>Corrosion first</x:v>
      </x:c>
      <x:c r="C11" s="5" t="str">
        <x:v>Provisional</x:v>
      </x:c>
      <x:c r="D11" s="5" t="str">
        <x:v>D03/P01/P10</x:v>
      </x:c>
      <x:c r="E11" s="5" t="str">
        <x:v>Priority depends on meaningful public data</x:v>
      </x:c>
      <x:c r="F11" s="5" t="str">
        <x:v>Open</x:v>
      </x:c>
      <x:c r="G11" s="5" t="d">
        <x:v>2026-10-13T00:00:00.000Z</x:v>
      </x:c>
    </x:row>
    <x:row r="12" ht="40" customHeight="1">
      <x:c r="A12" s="5" t="str">
        <x:v>DEC-005</x:v>
      </x:c>
      <x:c r="B12" s="5" t="str">
        <x:v>Uncertainty plus corrosion novelty</x:v>
      </x:c>
      <x:c r="C12" s="5" t="str">
        <x:v>Rejected claim</x:v>
      </x:c>
      <x:c r="D12" s="5" t="str">
        <x:v>P01</x:v>
      </x:c>
      <x:c r="E12" s="5" t="str">
        <x:v>Already studied</x:v>
      </x:c>
      <x:c r="F12" s="5" t="str">
        <x:v>Closed</x:v>
      </x:c>
      <x:c r="G12" s="5" t="d">
        <x:v>2026-10-13T00:00:00.000Z</x:v>
      </x:c>
    </x:row>
    <x:row r="13" ht="40" customHeight="1">
      <x:c r="A13" s="5" t="str">
        <x:v>DEC-006</x:v>
      </x:c>
      <x:c r="B13" s="5" t="str">
        <x:v>Shift anomaly-detection novelty</x:v>
      </x:c>
      <x:c r="C13" s="5" t="str">
        <x:v>Rejected claim</x:v>
      </x:c>
      <x:c r="D13" s="5" t="str">
        <x:v>P02/P08</x:v>
      </x:c>
      <x:c r="E13" s="5" t="str">
        <x:v>Already studied</x:v>
      </x:c>
      <x:c r="F13" s="5" t="str">
        <x:v>Closed</x:v>
      </x:c>
      <x:c r="G13" s="5" t="d">
        <x:v>2026-10-13T00:00:00.000Z</x:v>
      </x:c>
    </x:row>
    <x:row r="14" ht="40" customHeight="1">
      <x:c r="A14" s="5" t="str">
        <x:v>DEC-007</x:v>
      </x:c>
      <x:c r="B14" s="5" t="str">
        <x:v>Risk control plus abstention novelty</x:v>
      </x:c>
      <x:c r="C14" s="5" t="str">
        <x:v>Rejected claim</x:v>
      </x:c>
      <x:c r="D14" s="5" t="str">
        <x:v>P03/P09</x:v>
      </x:c>
      <x:c r="E14" s="5" t="str">
        <x:v>Already studied</x:v>
      </x:c>
      <x:c r="F14" s="5" t="str">
        <x:v>Closed</x:v>
      </x:c>
      <x:c r="G14" s="5" t="d">
        <x:v>2026-10-13T00:00:00.000Z</x:v>
      </x:c>
    </x:row>
    <x:row r="15" ht="40" customHeight="1">
      <x:c r="A15" s="5" t="str">
        <x:v>DEC-008</x:v>
      </x:c>
      <x:c r="B15" s="5" t="str">
        <x:v>K-Pipelines field evidence</x:v>
      </x:c>
      <x:c r="C15" s="5" t="str">
        <x:v>Evidence constraint</x:v>
      </x:c>
      <x:c r="D15" s="5" t="str">
        <x:v>D02</x:v>
      </x:c>
      <x:c r="E15" s="5" t="str">
        <x:v>Synthetic images cannot validate field deployment</x:v>
      </x:c>
      <x:c r="F15" s="5" t="str">
        <x:v>Active</x:v>
      </x:c>
      <x:c r="G15" s="5" t="d">
        <x:v>2026-10-13T00:00:00.000Z</x:v>
      </x:c>
    </x:row>
    <x:row r="16" ht="40" customHeight="1">
      <x:c r="A16" s="5" t="str">
        <x:v>DEC-009</x:v>
      </x:c>
      <x:c r="B16" s="5" t="str">
        <x:v>Technical implementation</x:v>
      </x:c>
      <x:c r="C16" s="5" t="str">
        <x:v>Not approved</x:v>
      </x:c>
      <x:c r="D16" s="5" t="str">
        <x:v>Novelty and data gates</x:v>
      </x:c>
      <x:c r="E16" s="5" t="str">
        <x:v>No model training yet</x:v>
      </x:c>
      <x:c r="F16" s="5" t="str">
        <x:v>Active</x:v>
      </x:c>
      <x:c r="G16" s="5" t="d">
        <x:v>2026-10-13T00:00:00.000Z</x:v>
      </x:c>
    </x:row>
    <x:row r="17" ht="40" customHeight="1">
      <x:c r="A17" s="5" t="str">
        <x:v>DEC-010</x:v>
      </x:c>
      <x:c r="B17" s="5" t="str">
        <x:v>Review has begun</x:v>
      </x:c>
      <x:c r="C17" s="5" t="str">
        <x:v>Clarification</x:v>
      </x:c>
      <x:c r="D17" s="5" t="str">
        <x:v>User question, 13 Oct 2026</x:v>
      </x:c>
      <x:c r="E17" s="5" t="str">
        <x:v>Scoping phase active; systematic screening not started</x:v>
      </x:c>
      <x:c r="F17" s="5" t="str">
        <x:v>Active</x:v>
      </x:c>
      <x:c r="G17" s="5" t="d">
        <x:v>2026-10-13T00:00:00.000Z</x:v>
      </x:c>
    </x:row>
    <x:row r="18" ht="40" customHeight="1">
      <x:c r="A18" s="5" t="str">
        <x:v>DEC-011</x:v>
      </x:c>
      <x:c r="B18" s="5" t="str">
        <x:v>Excel corpus tracker</x:v>
      </x:c>
      <x:c r="C18" s="5" t="str">
        <x:v>User authorised</x:v>
      </x:c>
      <x:c r="D18" s="5" t="str">
        <x:v>User request, 13 Oct 2026</x:v>
      </x:c>
      <x:c r="E18" s="5" t="str">
        <x:v>Stable IDs, sources, stage and pending actions</x:v>
      </x:c>
      <x:c r="F18" s="5" t="str">
        <x:v>Active</x:v>
      </x:c>
      <x:c r="G18" s="5" t="d">
        <x:v>2026-10-13T00:00:00.000Z</x:v>
      </x:c>
    </x:row>
    <x:row r="19" ht="40" customHeight="1">
      <x:c r="A19" s="5" t="str">
        <x:v>DEC-012</x:v>
      </x:c>
      <x:c r="B19" s="5" t="str">
        <x:v>Few-shot recalibration contribution</x:v>
      </x:c>
      <x:c r="C19" s="5" t="str">
        <x:v>Requires refinement</x:v>
      </x:c>
      <x:c r="D19" s="5" t="str">
        <x:v>P06/P03</x:v>
      </x:c>
      <x:c r="E19" s="5" t="str">
        <x:v>Separate feature correction and decision thresholds</x:v>
      </x:c>
      <x:c r="F19" s="5" t="str">
        <x:v>Open</x:v>
      </x:c>
      <x:c r="G19" s="5" t="d">
        <x:v>2026-10-13T00:00:00.000Z</x:v>
      </x:c>
    </x:row>
    <x:row r="20" ht="40" customHeight="1">
      <x:c r="A20" s="5" t="str">
        <x:v>DEC-013</x:v>
      </x:c>
      <x:c r="B20" s="5" t="str">
        <x:v>GitHub research foundation</x:v>
      </x:c>
      <x:c r="C20" s="5" t="str">
        <x:v>Prepared; upload pending</x:v>
      </x:c>
      <x:c r="D20" s="5" t="str">
        <x:v>Connected connector lacks repository creation</x:v>
      </x:c>
      <x:c r="E20" s="5" t="str">
        <x:v>Files ready; no remote repository created</x:v>
      </x:c>
      <x:c r="F20" s="5" t="str">
        <x:v>Open</x:v>
      </x:c>
      <x:c r="G20" s="5" t="d">
        <x:v>2026-10-13T00:00:00.000Z</x:v>
      </x:c>
    </x:row>
    <x:row r="21" ht="40" customHeight="1">
      <x:c r="A21" s="5" t="str">
        <x:v>DEC-014</x:v>
      </x:c>
      <x:c r="B21" s="5" t="str">
        <x:v>Broaden scoping before taxonomy</x:v>
      </x:c>
      <x:c r="C21" s="5" t="str">
        <x:v>User requirement</x:v>
      </x:c>
      <x:c r="D21" s="5" t="str">
        <x:v>User steering, 13 Oct 2026</x:v>
      </x:c>
      <x:c r="E21" s="5" t="str">
        <x:v>Do not force the previous narrow question onto literature</x:v>
      </x:c>
      <x:c r="F21" s="5" t="str">
        <x:v>Active</x:v>
      </x:c>
      <x:c r="G21" s="5" t="d">
        <x:v>2026-10-13T00:00:00.000Z</x:v>
      </x:c>
    </x:row>
    <x:row r="22" ht="40" customHeight="1">
      <x:c r="A22" s="5" t="str">
        <x:v>DEC-015</x:v>
      </x:c>
      <x:c r="B22" s="5" t="str">
        <x:v>PRISMA-ScR + PRISMA-S; JBI conduct</x:v>
      </x:c>
      <x:c r="C22" s="5" t="str">
        <x:v>Working methodology</x:v>
      </x:c>
      <x:c r="D22" s="5" t="str">
        <x:v>Official reporting and conduct guidance</x:v>
      </x:c>
      <x:c r="E22" s="5" t="str">
        <x:v>Protocol v0.3 drafted; not preregistered</x:v>
      </x:c>
      <x:c r="F22" s="5" t="str">
        <x:v>Active</x:v>
      </x:c>
      <x:c r="G22" s="5" t="d">
        <x:v>2026-10-13T00:00:00.000Z</x:v>
      </x:c>
    </x:row>
    <x:row r="23" ht="40" customHeight="1">
      <x:c r="A23" s="5" t="str">
        <x:v>DEC-016</x:v>
      </x:c>
      <x:c r="B23" s="5" t="str">
        <x:v>Preserve all intake records</x:v>
      </x:c>
      <x:c r="C23" s="5" t="str">
        <x:v>Evidence constraint</x:v>
      </x:c>
      <x:c r="D23" s="5" t="str">
        <x:v>Pilot API + seed snapshots</x:v>
      </x:c>
      <x:c r="E23" s="5" t="str">
        <x:v>Title prioritisation is not exclusion or inclusion</x:v>
      </x:c>
      <x:c r="F23" s="5" t="str">
        <x:v>Active</x:v>
      </x:c>
      <x:c r="G23" s="5" t="d">
        <x:v>2026-10-13T00:00:00.000Z</x:v>
      </x:c>
    </x:row>
    <x:row r="24" ht="40" customHeight="1">
      <x:c r="A24" s="5" t="str">
        <x:v>DEC-017</x:v>
      </x:c>
      <x:c r="B24" s="5" t="str">
        <x:v>Drive shared workspace</x:v>
      </x:c>
      <x:c r="C24" s="5" t="str">
        <x:v>User authorised</x:v>
      </x:c>
      <x:c r="D24" s="5" t="str">
        <x:v>Trustworthy_AI_Energy folder supplied</x:v>
      </x:c>
      <x:c r="E24" s="5" t="str">
        <x:v>Import shared tracker; preserve folder sharing</x:v>
      </x:c>
      <x:c r="F24" s="5" t="str">
        <x:v>Active</x:v>
      </x:c>
      <x:c r="G24" s="5" t="d">
        <x:v>2026-10-13T00:00:00.000Z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805a5a3644ce4b5a"/>
  </x:tableParts>
</x:worksheet>
</file>